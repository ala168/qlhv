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E:\AI\QLHV\Thang9\"/>
    </mc:Choice>
  </mc:AlternateContent>
  <bookViews>
    <workbookView xWindow="0" yWindow="0" windowWidth="30672" windowHeight="14604"/>
  </bookViews>
  <sheets>
    <sheet name="T12.10" sheetId="2" r:id="rId1"/>
    <sheet name="Sheet1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33" i="2" l="1"/>
  <c r="H32" i="2"/>
  <c r="H31" i="2"/>
  <c r="H30" i="2"/>
  <c r="H29" i="2"/>
  <c r="H28" i="2"/>
  <c r="H27" i="2"/>
  <c r="H26" i="2"/>
  <c r="H25" i="2"/>
  <c r="H24" i="2"/>
  <c r="H23" i="2"/>
  <c r="H22" i="2"/>
  <c r="H21" i="2"/>
  <c r="H20" i="2"/>
  <c r="H19" i="2"/>
  <c r="H18" i="2"/>
  <c r="H17" i="2"/>
  <c r="H16" i="2"/>
  <c r="H15" i="2"/>
  <c r="H14" i="2"/>
  <c r="H13" i="2"/>
  <c r="H12" i="2"/>
  <c r="H11" i="2"/>
  <c r="H10" i="2"/>
  <c r="H9" i="2"/>
  <c r="H34" i="2" s="1"/>
  <c r="D5" i="2"/>
</calcChain>
</file>

<file path=xl/sharedStrings.xml><?xml version="1.0" encoding="utf-8"?>
<sst xmlns="http://schemas.openxmlformats.org/spreadsheetml/2006/main" count="99" uniqueCount="48">
  <si>
    <t xml:space="preserve"> CÔNG TY TNHH TRI THỨC SAO VIỆT
Địa chỉ: Số P12-18 Eastern Park, ngõ 381 phố Ngọc Trì, Thạch Bàn, Long Biên, Hà Nội 
MST: 0110940616   -   STK: 2588666868   -   Ngân hàng MB - Chi nhánh Đông Hà Nội
website: trithucsaoviet.vn      -     email: trithucsaoviet@gmail.com
SDT liên hệ: 0763256433 (Mr Đức); 0919024319 (Mr Hải)</t>
  </si>
  <si>
    <t xml:space="preserve">DANH SÁCH HỌC SINH </t>
  </si>
  <si>
    <t xml:space="preserve">Tên Lớp: </t>
  </si>
  <si>
    <t>T12.10</t>
  </si>
  <si>
    <t>sĩ số</t>
  </si>
  <si>
    <t>Giáo viên phụ trách:</t>
  </si>
  <si>
    <t xml:space="preserve">Môn học: </t>
  </si>
  <si>
    <t>Toán</t>
  </si>
  <si>
    <t>Nguyễn Thị Mỹ Hạnh</t>
  </si>
  <si>
    <t>Stt</t>
  </si>
  <si>
    <t>Họ và tên học sinh</t>
  </si>
  <si>
    <t>Hiện đang học</t>
  </si>
  <si>
    <t>Ghi chú</t>
  </si>
  <si>
    <t>Số ca học</t>
  </si>
  <si>
    <t>Đơn giá</t>
  </si>
  <si>
    <t>thành tiền</t>
  </si>
  <si>
    <t>Lớp</t>
  </si>
  <si>
    <t>Trường</t>
  </si>
  <si>
    <t>Lê Hồng Anh</t>
  </si>
  <si>
    <t>12A10</t>
  </si>
  <si>
    <t>Lê Phương Anh</t>
  </si>
  <si>
    <t>Ng Bùi Minh Anh</t>
  </si>
  <si>
    <t>Con giáo viên</t>
  </si>
  <si>
    <t>Khúc T Diễm Quỳnh</t>
  </si>
  <si>
    <t>Nguyễn Yến Nhi</t>
  </si>
  <si>
    <t>Nguyễn Thị Mai Hoa</t>
  </si>
  <si>
    <t>Đinh Thu Trang</t>
  </si>
  <si>
    <t>Đỗ Quế Thảo Vy</t>
  </si>
  <si>
    <t>Nguyễn Đặng Bình Đạt</t>
  </si>
  <si>
    <t>Nguyễn Như Trung</t>
  </si>
  <si>
    <t>Vũ Đức Mạnh</t>
  </si>
  <si>
    <t>Mai Tiến Dũng</t>
  </si>
  <si>
    <t>Nguyễn Trung Nguyên</t>
  </si>
  <si>
    <t>Trần Thùy Dương</t>
  </si>
  <si>
    <t>Nguyễn Ngọc Thiện</t>
  </si>
  <si>
    <t>Trần Việt Thu Hà</t>
  </si>
  <si>
    <t>Doãn Việt Hoàng Anh</t>
  </si>
  <si>
    <t>Lê Thành Đạt</t>
  </si>
  <si>
    <t>Ng Hồng Đức</t>
  </si>
  <si>
    <t>Ng Hoàng Thống Nhất</t>
  </si>
  <si>
    <t>Nguyễn Tài Tuệ</t>
  </si>
  <si>
    <t>Đoàn Thành Trung</t>
  </si>
  <si>
    <t>Trần Tuấn Nam</t>
  </si>
  <si>
    <t>Nguyễn Lê Đức Anh</t>
  </si>
  <si>
    <t>Nguyễn Tuệ Anh</t>
  </si>
  <si>
    <t>Thành tiền</t>
  </si>
  <si>
    <t>Tính từ 25/2-31/3 năm 2025</t>
  </si>
  <si>
    <t>( đã trừ ca 1 ngày 22/3 nghỉ do coi thi)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</si>
</sst>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3"/>
      <scheme val="minor"/>
    </font>
    <font>
      <sz val="8"/>
      <color theme="1"/>
      <name val="Calibri Light"/>
      <family val="1"/>
      <charset val="163"/>
      <scheme val="major"/>
    </font>
    <font>
      <b/>
      <sz val="11"/>
      <color theme="1"/>
      <name val="Calibri"/>
      <family val="2"/>
      <charset val="163"/>
      <scheme val="minor"/>
    </font>
    <font>
      <sz val="14"/>
      <color theme="1"/>
      <name val="Calibri Light"/>
      <family val="1"/>
      <charset val="163"/>
      <scheme val="major"/>
    </font>
    <font>
      <sz val="11"/>
      <color theme="1"/>
      <name val="Calibri Light"/>
      <family val="1"/>
      <charset val="163"/>
      <scheme val="major"/>
    </font>
    <font>
      <b/>
      <sz val="11"/>
      <color theme="1"/>
      <name val="Calibri Light"/>
      <family val="1"/>
      <charset val="163"/>
      <scheme val="major"/>
    </font>
    <font>
      <sz val="11"/>
      <color rgb="FF000000"/>
      <name val="Calibri Light"/>
      <family val="1"/>
      <charset val="163"/>
      <scheme val="major"/>
    </font>
    <font>
      <b/>
      <sz val="11"/>
      <color rgb="FFFF0000"/>
      <name val="Calibri"/>
      <family val="2"/>
      <charset val="163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/>
  </cellStyleXfs>
  <cellXfs count="40">
    <xf numFmtId="0" fontId="0" fillId="0" borderId="0" xfId="0"/>
    <xf numFmtId="0" fontId="2" fillId="0" borderId="0" xfId="2"/>
    <xf numFmtId="0" fontId="3" fillId="0" borderId="0" xfId="2" applyFont="1" applyAlignment="1">
      <alignment horizontal="right" wrapText="1"/>
    </xf>
    <xf numFmtId="0" fontId="4" fillId="0" borderId="0" xfId="2" applyFont="1"/>
    <xf numFmtId="0" fontId="5" fillId="0" borderId="0" xfId="2" applyFont="1"/>
    <xf numFmtId="0" fontId="5" fillId="0" borderId="0" xfId="2" applyFont="1" applyAlignment="1">
      <alignment horizontal="center"/>
    </xf>
    <xf numFmtId="0" fontId="6" fillId="0" borderId="0" xfId="2" applyFont="1"/>
    <xf numFmtId="0" fontId="6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7" fillId="0" borderId="1" xfId="2" applyFont="1" applyBorder="1" applyAlignment="1">
      <alignment horizontal="center" vertical="center"/>
    </xf>
    <xf numFmtId="0" fontId="7" fillId="0" borderId="1" xfId="2" applyFont="1" applyBorder="1" applyAlignment="1">
      <alignment horizontal="center" vertical="center" wrapText="1"/>
    </xf>
    <xf numFmtId="0" fontId="2" fillId="0" borderId="2" xfId="2" applyBorder="1" applyAlignment="1">
      <alignment horizontal="center"/>
    </xf>
    <xf numFmtId="0" fontId="4" fillId="0" borderId="2" xfId="2" applyFont="1" applyBorder="1" applyAlignment="1">
      <alignment horizontal="center"/>
    </xf>
    <xf numFmtId="0" fontId="7" fillId="0" borderId="3" xfId="2" applyFont="1" applyBorder="1" applyAlignment="1">
      <alignment horizontal="center" vertical="center"/>
    </xf>
    <xf numFmtId="0" fontId="7" fillId="0" borderId="3" xfId="2" applyFont="1" applyBorder="1" applyAlignment="1">
      <alignment horizontal="center" vertical="center" wrapText="1"/>
    </xf>
    <xf numFmtId="0" fontId="7" fillId="0" borderId="3" xfId="2" applyFont="1" applyBorder="1" applyAlignment="1">
      <alignment horizontal="center" vertical="center"/>
    </xf>
    <xf numFmtId="0" fontId="2" fillId="0" borderId="4" xfId="2" applyBorder="1" applyAlignment="1">
      <alignment horizontal="center"/>
    </xf>
    <xf numFmtId="0" fontId="4" fillId="0" borderId="4" xfId="2" applyFont="1" applyBorder="1" applyAlignment="1">
      <alignment horizontal="center"/>
    </xf>
    <xf numFmtId="0" fontId="6" fillId="0" borderId="1" xfId="2" applyFont="1" applyBorder="1" applyAlignment="1">
      <alignment horizontal="center" vertical="center"/>
    </xf>
    <xf numFmtId="0" fontId="8" fillId="0" borderId="1" xfId="2" applyFont="1" applyBorder="1" applyAlignment="1">
      <alignment horizontal="left" vertical="center" shrinkToFit="1"/>
    </xf>
    <xf numFmtId="0" fontId="6" fillId="0" borderId="1" xfId="2" applyFont="1" applyBorder="1" applyAlignment="1">
      <alignment vertical="center"/>
    </xf>
    <xf numFmtId="0" fontId="6" fillId="0" borderId="1" xfId="2" applyFont="1" applyBorder="1" applyAlignment="1">
      <alignment vertical="center" wrapText="1"/>
    </xf>
    <xf numFmtId="164" fontId="6" fillId="0" borderId="1" xfId="1" applyNumberFormat="1" applyFont="1" applyBorder="1"/>
    <xf numFmtId="0" fontId="6" fillId="0" borderId="5" xfId="2" applyFont="1" applyBorder="1" applyAlignment="1">
      <alignment horizontal="center" vertical="center"/>
    </xf>
    <xf numFmtId="0" fontId="8" fillId="0" borderId="5" xfId="2" applyFont="1" applyBorder="1" applyAlignment="1">
      <alignment horizontal="left" vertical="center" shrinkToFit="1"/>
    </xf>
    <xf numFmtId="0" fontId="6" fillId="0" borderId="5" xfId="2" applyFont="1" applyBorder="1" applyAlignment="1">
      <alignment vertical="center"/>
    </xf>
    <xf numFmtId="0" fontId="6" fillId="0" borderId="5" xfId="2" applyFont="1" applyBorder="1" applyAlignment="1">
      <alignment vertical="center" wrapText="1"/>
    </xf>
    <xf numFmtId="0" fontId="6" fillId="2" borderId="5" xfId="2" applyFont="1" applyFill="1" applyBorder="1" applyAlignment="1">
      <alignment horizontal="center" vertical="center"/>
    </xf>
    <xf numFmtId="0" fontId="8" fillId="2" borderId="5" xfId="2" applyFont="1" applyFill="1" applyBorder="1" applyAlignment="1">
      <alignment horizontal="left" vertical="center" shrinkToFit="1"/>
    </xf>
    <xf numFmtId="0" fontId="6" fillId="2" borderId="5" xfId="2" applyFont="1" applyFill="1" applyBorder="1" applyAlignment="1">
      <alignment vertical="center"/>
    </xf>
    <xf numFmtId="0" fontId="6" fillId="2" borderId="5" xfId="2" applyFont="1" applyFill="1" applyBorder="1" applyAlignment="1">
      <alignment vertical="center" wrapText="1"/>
    </xf>
    <xf numFmtId="164" fontId="6" fillId="2" borderId="1" xfId="1" applyNumberFormat="1" applyFont="1" applyFill="1" applyBorder="1"/>
    <xf numFmtId="0" fontId="2" fillId="2" borderId="0" xfId="2" applyFill="1"/>
    <xf numFmtId="0" fontId="6" fillId="0" borderId="3" xfId="2" applyFont="1" applyBorder="1" applyAlignment="1">
      <alignment horizontal="center" vertical="center"/>
    </xf>
    <xf numFmtId="0" fontId="8" fillId="0" borderId="3" xfId="2" applyFont="1" applyBorder="1" applyAlignment="1">
      <alignment horizontal="left" vertical="center" shrinkToFit="1"/>
    </xf>
    <xf numFmtId="0" fontId="6" fillId="0" borderId="3" xfId="2" applyFont="1" applyBorder="1" applyAlignment="1">
      <alignment vertical="center"/>
    </xf>
    <xf numFmtId="0" fontId="6" fillId="0" borderId="3" xfId="2" applyFont="1" applyBorder="1" applyAlignment="1">
      <alignment vertical="center" wrapText="1"/>
    </xf>
    <xf numFmtId="164" fontId="2" fillId="0" borderId="0" xfId="1" applyNumberFormat="1" applyFont="1"/>
    <xf numFmtId="164" fontId="4" fillId="0" borderId="0" xfId="1" applyNumberFormat="1" applyFont="1"/>
    <xf numFmtId="0" fontId="9" fillId="0" borderId="0" xfId="2" applyFont="1"/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17929</xdr:colOff>
      <xdr:row>0</xdr:row>
      <xdr:rowOff>26897</xdr:rowOff>
    </xdr:from>
    <xdr:ext cx="1237131" cy="1224920"/>
    <xdr:pic>
      <xdr:nvPicPr>
        <xdr:cNvPr id="2" name="Picture 1">
          <a:extLst>
            <a:ext uri="{FF2B5EF4-FFF2-40B4-BE49-F238E27FC236}">
              <a16:creationId xmlns:a16="http://schemas.microsoft.com/office/drawing/2014/main" id="{47B539C0-B148-44CB-84C1-ED93A6DF6C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929" y="26897"/>
          <a:ext cx="1237131" cy="1224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9"/>
  <dimension ref="A1:BK36"/>
  <sheetViews>
    <sheetView tabSelected="1" topLeftCell="A20" workbookViewId="0">
      <selection activeCell="B31" sqref="B31"/>
    </sheetView>
  </sheetViews>
  <sheetFormatPr defaultColWidth="9.6640625" defaultRowHeight="14.4" x14ac:dyDescent="0.3"/>
  <cols>
    <col min="1" max="1" width="3.88671875" style="1" customWidth="1"/>
    <col min="2" max="2" width="20.77734375" style="1" customWidth="1"/>
    <col min="3" max="3" width="7.33203125" style="1" customWidth="1"/>
    <col min="4" max="4" width="15.77734375" style="1" bestFit="1" customWidth="1"/>
    <col min="5" max="5" width="12.44140625" style="1" customWidth="1"/>
    <col min="6" max="6" width="4.6640625" style="1" customWidth="1"/>
    <col min="7" max="7" width="8.88671875" style="1" customWidth="1"/>
    <col min="8" max="8" width="12.6640625" style="3" customWidth="1"/>
    <col min="9" max="16384" width="9.6640625" style="1"/>
  </cols>
  <sheetData>
    <row r="1" spans="1:63" ht="52.2" customHeight="1" x14ac:dyDescent="0.3">
      <c r="B1" s="2" t="s">
        <v>0</v>
      </c>
      <c r="C1" s="2"/>
      <c r="D1" s="2"/>
      <c r="E1" s="2"/>
    </row>
    <row r="2" spans="1:63" ht="31.95" customHeight="1" x14ac:dyDescent="0.35">
      <c r="A2" s="4"/>
      <c r="B2" s="5" t="s">
        <v>1</v>
      </c>
      <c r="C2" s="5"/>
      <c r="D2" s="5"/>
      <c r="E2" s="5"/>
    </row>
    <row r="3" spans="1:63" ht="18" customHeight="1" x14ac:dyDescent="0.35">
      <c r="A3" s="4"/>
      <c r="B3" s="4"/>
      <c r="C3" s="4"/>
      <c r="D3" s="4"/>
      <c r="E3" s="4"/>
    </row>
    <row r="4" spans="1:63" ht="22.95" customHeight="1" x14ac:dyDescent="0.3">
      <c r="A4" s="6" t="s">
        <v>2</v>
      </c>
      <c r="B4" s="6"/>
      <c r="C4" s="6" t="s">
        <v>3</v>
      </c>
      <c r="D4" s="7" t="s">
        <v>4</v>
      </c>
      <c r="E4" s="6" t="s">
        <v>5</v>
      </c>
    </row>
    <row r="5" spans="1:63" x14ac:dyDescent="0.3">
      <c r="A5" s="6" t="s">
        <v>6</v>
      </c>
      <c r="B5" s="6"/>
      <c r="C5" s="6" t="s">
        <v>7</v>
      </c>
      <c r="D5" s="8">
        <f>COUNTA($C$9:$C$45)</f>
        <v>25</v>
      </c>
      <c r="E5" s="6" t="s">
        <v>8</v>
      </c>
    </row>
    <row r="7" spans="1:63" x14ac:dyDescent="0.3">
      <c r="A7" s="9" t="s">
        <v>9</v>
      </c>
      <c r="B7" s="9" t="s">
        <v>10</v>
      </c>
      <c r="C7" s="10" t="s">
        <v>11</v>
      </c>
      <c r="D7" s="10"/>
      <c r="E7" s="9" t="s">
        <v>12</v>
      </c>
      <c r="F7" s="11" t="s">
        <v>13</v>
      </c>
      <c r="G7" s="11" t="s">
        <v>14</v>
      </c>
      <c r="H7" s="12" t="s">
        <v>15</v>
      </c>
    </row>
    <row r="8" spans="1:63" x14ac:dyDescent="0.3">
      <c r="A8" s="13"/>
      <c r="B8" s="13"/>
      <c r="C8" s="14" t="s">
        <v>16</v>
      </c>
      <c r="D8" s="15" t="s">
        <v>17</v>
      </c>
      <c r="E8" s="13"/>
      <c r="F8" s="16"/>
      <c r="G8" s="16"/>
      <c r="H8" s="17"/>
    </row>
    <row r="9" spans="1:63" ht="16.95" customHeight="1" x14ac:dyDescent="0.3">
      <c r="A9" s="18">
        <v>1</v>
      </c>
      <c r="B9" s="19" t="s">
        <v>18</v>
      </c>
      <c r="C9" s="20" t="s">
        <v>19</v>
      </c>
      <c r="D9" s="6" t="s">
        <v>3</v>
      </c>
      <c r="E9" s="21"/>
      <c r="F9" s="22">
        <v>8</v>
      </c>
      <c r="G9" s="22">
        <v>100000</v>
      </c>
      <c r="H9" s="22">
        <f t="shared" ref="H9:H33" si="0">F9*G9</f>
        <v>800000</v>
      </c>
    </row>
    <row r="10" spans="1:63" ht="16.95" customHeight="1" x14ac:dyDescent="0.3">
      <c r="A10" s="23">
        <v>2</v>
      </c>
      <c r="B10" s="24" t="s">
        <v>20</v>
      </c>
      <c r="C10" s="25" t="s">
        <v>19</v>
      </c>
      <c r="D10" s="6" t="s">
        <v>3</v>
      </c>
      <c r="E10" s="26"/>
      <c r="F10" s="22">
        <v>8</v>
      </c>
      <c r="G10" s="22">
        <v>100000</v>
      </c>
      <c r="H10" s="22">
        <f t="shared" si="0"/>
        <v>800000</v>
      </c>
    </row>
    <row r="11" spans="1:63" s="32" customFormat="1" ht="16.95" customHeight="1" x14ac:dyDescent="0.3">
      <c r="A11" s="27">
        <v>3</v>
      </c>
      <c r="B11" s="28" t="s">
        <v>21</v>
      </c>
      <c r="C11" s="29" t="s">
        <v>19</v>
      </c>
      <c r="D11" s="6" t="s">
        <v>3</v>
      </c>
      <c r="E11" s="30" t="s">
        <v>22</v>
      </c>
      <c r="F11" s="22">
        <v>0</v>
      </c>
      <c r="G11" s="22">
        <v>100000</v>
      </c>
      <c r="H11" s="31">
        <f t="shared" si="0"/>
        <v>0</v>
      </c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</row>
    <row r="12" spans="1:63" ht="16.95" customHeight="1" x14ac:dyDescent="0.3">
      <c r="A12" s="23">
        <v>4</v>
      </c>
      <c r="B12" s="24" t="s">
        <v>23</v>
      </c>
      <c r="C12" s="25" t="s">
        <v>19</v>
      </c>
      <c r="D12" s="6" t="s">
        <v>3</v>
      </c>
      <c r="E12" s="26"/>
      <c r="F12" s="22">
        <v>8</v>
      </c>
      <c r="G12" s="22">
        <v>100000</v>
      </c>
      <c r="H12" s="22">
        <f t="shared" si="0"/>
        <v>800000</v>
      </c>
    </row>
    <row r="13" spans="1:63" ht="16.95" customHeight="1" x14ac:dyDescent="0.3">
      <c r="A13" s="23">
        <v>5</v>
      </c>
      <c r="B13" s="24" t="s">
        <v>24</v>
      </c>
      <c r="C13" s="25" t="s">
        <v>19</v>
      </c>
      <c r="D13" s="6" t="s">
        <v>3</v>
      </c>
      <c r="E13" s="26"/>
      <c r="F13" s="22">
        <v>8</v>
      </c>
      <c r="G13" s="22">
        <v>100000</v>
      </c>
      <c r="H13" s="22">
        <f t="shared" si="0"/>
        <v>800000</v>
      </c>
    </row>
    <row r="14" spans="1:63" ht="16.95" customHeight="1" x14ac:dyDescent="0.3">
      <c r="A14" s="23">
        <v>6</v>
      </c>
      <c r="B14" s="24" t="s">
        <v>25</v>
      </c>
      <c r="C14" s="25" t="s">
        <v>19</v>
      </c>
      <c r="D14" s="6" t="s">
        <v>3</v>
      </c>
      <c r="E14" s="26"/>
      <c r="F14" s="22">
        <v>8</v>
      </c>
      <c r="G14" s="22">
        <v>100000</v>
      </c>
      <c r="H14" s="22">
        <f t="shared" si="0"/>
        <v>800000</v>
      </c>
    </row>
    <row r="15" spans="1:63" ht="16.95" customHeight="1" x14ac:dyDescent="0.3">
      <c r="A15" s="23">
        <v>7</v>
      </c>
      <c r="B15" s="24" t="s">
        <v>26</v>
      </c>
      <c r="C15" s="25" t="s">
        <v>19</v>
      </c>
      <c r="D15" s="6" t="s">
        <v>3</v>
      </c>
      <c r="E15" s="26"/>
      <c r="F15" s="22">
        <v>8</v>
      </c>
      <c r="G15" s="22">
        <v>100000</v>
      </c>
      <c r="H15" s="22">
        <f t="shared" si="0"/>
        <v>800000</v>
      </c>
    </row>
    <row r="16" spans="1:63" ht="16.95" customHeight="1" x14ac:dyDescent="0.3">
      <c r="A16" s="23">
        <v>8</v>
      </c>
      <c r="B16" s="24" t="s">
        <v>27</v>
      </c>
      <c r="C16" s="25" t="s">
        <v>19</v>
      </c>
      <c r="D16" s="6" t="s">
        <v>3</v>
      </c>
      <c r="E16" s="26"/>
      <c r="F16" s="22">
        <v>8</v>
      </c>
      <c r="G16" s="22">
        <v>100000</v>
      </c>
      <c r="H16" s="22">
        <f t="shared" si="0"/>
        <v>800000</v>
      </c>
    </row>
    <row r="17" spans="1:63" ht="16.95" customHeight="1" x14ac:dyDescent="0.3">
      <c r="A17" s="23">
        <v>9</v>
      </c>
      <c r="B17" s="24" t="s">
        <v>28</v>
      </c>
      <c r="C17" s="25" t="s">
        <v>19</v>
      </c>
      <c r="D17" s="6" t="s">
        <v>3</v>
      </c>
      <c r="E17" s="26"/>
      <c r="F17" s="22">
        <v>8</v>
      </c>
      <c r="G17" s="22">
        <v>100000</v>
      </c>
      <c r="H17" s="22">
        <f t="shared" si="0"/>
        <v>800000</v>
      </c>
    </row>
    <row r="18" spans="1:63" ht="16.95" customHeight="1" x14ac:dyDescent="0.3">
      <c r="A18" s="23">
        <v>10</v>
      </c>
      <c r="B18" s="24" t="s">
        <v>29</v>
      </c>
      <c r="C18" s="25" t="s">
        <v>19</v>
      </c>
      <c r="D18" s="6" t="s">
        <v>3</v>
      </c>
      <c r="E18" s="26"/>
      <c r="F18" s="22">
        <v>8</v>
      </c>
      <c r="G18" s="22">
        <v>100000</v>
      </c>
      <c r="H18" s="22">
        <f t="shared" si="0"/>
        <v>800000</v>
      </c>
    </row>
    <row r="19" spans="1:63" ht="16.95" customHeight="1" x14ac:dyDescent="0.3">
      <c r="A19" s="23">
        <v>11</v>
      </c>
      <c r="B19" s="24" t="s">
        <v>30</v>
      </c>
      <c r="C19" s="25" t="s">
        <v>19</v>
      </c>
      <c r="D19" s="6" t="s">
        <v>3</v>
      </c>
      <c r="E19" s="26"/>
      <c r="F19" s="22">
        <v>8</v>
      </c>
      <c r="G19" s="22">
        <v>100000</v>
      </c>
      <c r="H19" s="22">
        <f t="shared" si="0"/>
        <v>800000</v>
      </c>
    </row>
    <row r="20" spans="1:63" ht="16.95" customHeight="1" x14ac:dyDescent="0.3">
      <c r="A20" s="23">
        <v>12</v>
      </c>
      <c r="B20" s="24" t="s">
        <v>31</v>
      </c>
      <c r="C20" s="25" t="s">
        <v>19</v>
      </c>
      <c r="D20" s="6" t="s">
        <v>3</v>
      </c>
      <c r="E20" s="26"/>
      <c r="F20" s="22">
        <v>8</v>
      </c>
      <c r="G20" s="22">
        <v>100000</v>
      </c>
      <c r="H20" s="22">
        <f t="shared" si="0"/>
        <v>800000</v>
      </c>
    </row>
    <row r="21" spans="1:63" ht="16.95" customHeight="1" x14ac:dyDescent="0.3">
      <c r="A21" s="23">
        <v>13</v>
      </c>
      <c r="B21" s="24" t="s">
        <v>32</v>
      </c>
      <c r="C21" s="25" t="s">
        <v>19</v>
      </c>
      <c r="D21" s="6" t="s">
        <v>3</v>
      </c>
      <c r="E21" s="26"/>
      <c r="F21" s="22">
        <v>8</v>
      </c>
      <c r="G21" s="22">
        <v>100000</v>
      </c>
      <c r="H21" s="22">
        <f t="shared" si="0"/>
        <v>800000</v>
      </c>
    </row>
    <row r="22" spans="1:63" ht="16.95" customHeight="1" x14ac:dyDescent="0.3">
      <c r="A22" s="23">
        <v>14</v>
      </c>
      <c r="B22" s="24" t="s">
        <v>33</v>
      </c>
      <c r="C22" s="25" t="s">
        <v>19</v>
      </c>
      <c r="D22" s="6" t="s">
        <v>3</v>
      </c>
      <c r="E22" s="26"/>
      <c r="F22" s="22">
        <v>8</v>
      </c>
      <c r="G22" s="22">
        <v>100000</v>
      </c>
      <c r="H22" s="22">
        <f t="shared" si="0"/>
        <v>800000</v>
      </c>
    </row>
    <row r="23" spans="1:63" ht="16.95" customHeight="1" x14ac:dyDescent="0.3">
      <c r="A23" s="23">
        <v>15</v>
      </c>
      <c r="B23" s="24" t="s">
        <v>34</v>
      </c>
      <c r="C23" s="25" t="s">
        <v>19</v>
      </c>
      <c r="D23" s="6" t="s">
        <v>3</v>
      </c>
      <c r="E23" s="26"/>
      <c r="F23" s="22">
        <v>8</v>
      </c>
      <c r="G23" s="22">
        <v>100000</v>
      </c>
      <c r="H23" s="22">
        <f t="shared" si="0"/>
        <v>800000</v>
      </c>
    </row>
    <row r="24" spans="1:63" s="32" customFormat="1" ht="16.95" customHeight="1" x14ac:dyDescent="0.3">
      <c r="A24" s="27">
        <v>16</v>
      </c>
      <c r="B24" s="28" t="s">
        <v>35</v>
      </c>
      <c r="C24" s="29" t="s">
        <v>19</v>
      </c>
      <c r="D24" s="6" t="s">
        <v>3</v>
      </c>
      <c r="E24" s="30" t="s">
        <v>22</v>
      </c>
      <c r="F24" s="22">
        <v>0</v>
      </c>
      <c r="G24" s="22">
        <v>100000</v>
      </c>
      <c r="H24" s="31">
        <f t="shared" si="0"/>
        <v>0</v>
      </c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</row>
    <row r="25" spans="1:63" s="32" customFormat="1" ht="16.95" customHeight="1" x14ac:dyDescent="0.3">
      <c r="A25" s="27">
        <v>17</v>
      </c>
      <c r="B25" s="28" t="s">
        <v>36</v>
      </c>
      <c r="C25" s="29" t="s">
        <v>19</v>
      </c>
      <c r="D25" s="6" t="s">
        <v>3</v>
      </c>
      <c r="E25" s="30" t="s">
        <v>22</v>
      </c>
      <c r="F25" s="22">
        <v>0</v>
      </c>
      <c r="G25" s="22">
        <v>100000</v>
      </c>
      <c r="H25" s="31">
        <f t="shared" si="0"/>
        <v>0</v>
      </c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</row>
    <row r="26" spans="1:63" ht="16.95" customHeight="1" x14ac:dyDescent="0.3">
      <c r="A26" s="23">
        <v>18</v>
      </c>
      <c r="B26" s="24" t="s">
        <v>37</v>
      </c>
      <c r="C26" s="25" t="s">
        <v>19</v>
      </c>
      <c r="D26" s="6" t="s">
        <v>3</v>
      </c>
      <c r="E26" s="26"/>
      <c r="F26" s="22">
        <v>8</v>
      </c>
      <c r="G26" s="22">
        <v>100000</v>
      </c>
      <c r="H26" s="22">
        <f t="shared" si="0"/>
        <v>800000</v>
      </c>
    </row>
    <row r="27" spans="1:63" ht="16.95" customHeight="1" x14ac:dyDescent="0.3">
      <c r="A27" s="23">
        <v>19</v>
      </c>
      <c r="B27" s="24" t="s">
        <v>38</v>
      </c>
      <c r="C27" s="25" t="s">
        <v>19</v>
      </c>
      <c r="D27" s="6" t="s">
        <v>3</v>
      </c>
      <c r="E27" s="26"/>
      <c r="F27" s="22">
        <v>8</v>
      </c>
      <c r="G27" s="22">
        <v>100000</v>
      </c>
      <c r="H27" s="22">
        <f t="shared" si="0"/>
        <v>800000</v>
      </c>
    </row>
    <row r="28" spans="1:63" ht="16.95" customHeight="1" x14ac:dyDescent="0.3">
      <c r="A28" s="23">
        <v>20</v>
      </c>
      <c r="B28" s="24" t="s">
        <v>39</v>
      </c>
      <c r="C28" s="25" t="s">
        <v>19</v>
      </c>
      <c r="D28" s="6" t="s">
        <v>3</v>
      </c>
      <c r="E28" s="26"/>
      <c r="F28" s="22">
        <v>8</v>
      </c>
      <c r="G28" s="22">
        <v>100000</v>
      </c>
      <c r="H28" s="22">
        <f t="shared" si="0"/>
        <v>800000</v>
      </c>
    </row>
    <row r="29" spans="1:63" ht="16.95" customHeight="1" x14ac:dyDescent="0.3">
      <c r="A29" s="23">
        <v>21</v>
      </c>
      <c r="B29" s="24" t="s">
        <v>40</v>
      </c>
      <c r="C29" s="25" t="s">
        <v>19</v>
      </c>
      <c r="D29" s="6" t="s">
        <v>3</v>
      </c>
      <c r="E29" s="26"/>
      <c r="F29" s="22">
        <v>8</v>
      </c>
      <c r="G29" s="22">
        <v>100000</v>
      </c>
      <c r="H29" s="22">
        <f t="shared" si="0"/>
        <v>800000</v>
      </c>
    </row>
    <row r="30" spans="1:63" ht="16.95" customHeight="1" x14ac:dyDescent="0.3">
      <c r="A30" s="23">
        <v>22</v>
      </c>
      <c r="B30" s="24" t="s">
        <v>41</v>
      </c>
      <c r="C30" s="25" t="s">
        <v>19</v>
      </c>
      <c r="D30" s="6" t="s">
        <v>3</v>
      </c>
      <c r="E30" s="26"/>
      <c r="F30" s="22">
        <v>8</v>
      </c>
      <c r="G30" s="22">
        <v>100000</v>
      </c>
      <c r="H30" s="22">
        <f t="shared" si="0"/>
        <v>800000</v>
      </c>
    </row>
    <row r="31" spans="1:63" ht="16.95" customHeight="1" x14ac:dyDescent="0.3">
      <c r="A31" s="23">
        <v>23</v>
      </c>
      <c r="B31" s="24" t="s">
        <v>42</v>
      </c>
      <c r="C31" s="25" t="s">
        <v>19</v>
      </c>
      <c r="D31" s="6" t="s">
        <v>3</v>
      </c>
      <c r="E31" s="26"/>
      <c r="F31" s="22">
        <v>8</v>
      </c>
      <c r="G31" s="22">
        <v>100000</v>
      </c>
      <c r="H31" s="22">
        <f t="shared" si="0"/>
        <v>800000</v>
      </c>
    </row>
    <row r="32" spans="1:63" ht="16.95" customHeight="1" x14ac:dyDescent="0.3">
      <c r="A32" s="23">
        <v>24</v>
      </c>
      <c r="B32" s="24" t="s">
        <v>43</v>
      </c>
      <c r="C32" s="25" t="s">
        <v>19</v>
      </c>
      <c r="D32" s="6" t="s">
        <v>3</v>
      </c>
      <c r="E32" s="26"/>
      <c r="F32" s="22">
        <v>8</v>
      </c>
      <c r="G32" s="22">
        <v>100000</v>
      </c>
      <c r="H32" s="22">
        <f t="shared" si="0"/>
        <v>800000</v>
      </c>
    </row>
    <row r="33" spans="1:8" ht="16.95" customHeight="1" x14ac:dyDescent="0.3">
      <c r="A33" s="33">
        <v>25</v>
      </c>
      <c r="B33" s="34" t="s">
        <v>44</v>
      </c>
      <c r="C33" s="35" t="s">
        <v>19</v>
      </c>
      <c r="D33" s="6" t="s">
        <v>3</v>
      </c>
      <c r="E33" s="36"/>
      <c r="F33" s="22">
        <v>8</v>
      </c>
      <c r="G33" s="22">
        <v>100000</v>
      </c>
      <c r="H33" s="22">
        <f t="shared" si="0"/>
        <v>800000</v>
      </c>
    </row>
    <row r="34" spans="1:8" x14ac:dyDescent="0.3">
      <c r="B34" s="1" t="s">
        <v>45</v>
      </c>
      <c r="F34" s="37"/>
      <c r="G34" s="37"/>
      <c r="H34" s="38">
        <f>SUM(H9:H33)</f>
        <v>17600000</v>
      </c>
    </row>
    <row r="36" spans="1:8" x14ac:dyDescent="0.3">
      <c r="B36" s="1" t="s">
        <v>46</v>
      </c>
      <c r="D36" s="39" t="s">
        <v>47</v>
      </c>
      <c r="E36" s="39"/>
    </row>
  </sheetData>
  <mergeCells count="9">
    <mergeCell ref="F7:F8"/>
    <mergeCell ref="G7:G8"/>
    <mergeCell ref="H7:H8"/>
    <mergeCell ref="B1:E1"/>
    <mergeCell ref="B2:E2"/>
    <mergeCell ref="A7:A8"/>
    <mergeCell ref="B7:B8"/>
    <mergeCell ref="C7:D7"/>
    <mergeCell ref="E7:E8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T12.10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test</dc:creator>
  <cp:lastModifiedBy>test</cp:lastModifiedBy>
  <dcterms:created xsi:type="dcterms:W3CDTF">2025-08-29T03:14:05Z</dcterms:created>
  <dcterms:modified xsi:type="dcterms:W3CDTF">2025-08-29T03:14:05Z</dcterms:modified>
</cp:coreProperties>
</file>