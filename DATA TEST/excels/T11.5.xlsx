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E:\AI\QLHV\Thang9\"/>
    </mc:Choice>
  </mc:AlternateContent>
  <bookViews>
    <workbookView xWindow="0" yWindow="0" windowWidth="30672" windowHeight="14604"/>
  </bookViews>
  <sheets>
    <sheet name="T11.5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9" i="2" l="1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30" i="2" s="1"/>
  <c r="D5" i="2"/>
</calcChain>
</file>

<file path=xl/sharedStrings.xml><?xml version="1.0" encoding="utf-8"?>
<sst xmlns="http://schemas.openxmlformats.org/spreadsheetml/2006/main" count="83" uniqueCount="42">
  <si>
    <t xml:space="preserve"> CÔNG TY TNHH TRI THỨC SAO VIỆT
Địa chỉ: Số P12-18 Eastern Park, ngõ 381 phố Ngọc Trì, Thạch Bàn, Long Biên, Hà Nội 
MST: 0110940616   -   STK: 2588666868   -   Ngân hàng MB - Chi nhánh Đông Hà Nội
website: trithucsaoviet.vn      -     email: trithucsaoviet@gmail.com
SDT liên hệ: 0763256433 (Mr Đức); 0919024319 (Mr Hải)</t>
  </si>
  <si>
    <t xml:space="preserve">DANH SÁCH HỌC SINH </t>
  </si>
  <si>
    <t xml:space="preserve">Tên Lớp: </t>
  </si>
  <si>
    <t>T11.5</t>
  </si>
  <si>
    <t>sĩ số</t>
  </si>
  <si>
    <t>Giáo viên phụ trách:</t>
  </si>
  <si>
    <t xml:space="preserve">Môn học:  </t>
  </si>
  <si>
    <t>Toán</t>
  </si>
  <si>
    <t>Nguyễn Minh Huy</t>
  </si>
  <si>
    <t>Stt</t>
  </si>
  <si>
    <t>Họ và tên học sinh</t>
  </si>
  <si>
    <t>Hiện đang học</t>
  </si>
  <si>
    <t>Ghi chú</t>
  </si>
  <si>
    <t>Số ca học</t>
  </si>
  <si>
    <t>Đơn giá</t>
  </si>
  <si>
    <t>thành tiền</t>
  </si>
  <si>
    <t>Lớp</t>
  </si>
  <si>
    <t>Trường</t>
  </si>
  <si>
    <t>Phạm Hoàng An</t>
  </si>
  <si>
    <t>11A5</t>
  </si>
  <si>
    <t>Nguyễn Diệu Anh</t>
  </si>
  <si>
    <t>Lý Trần Gia Bảo</t>
  </si>
  <si>
    <t>Phạm Nhật Bằng</t>
  </si>
  <si>
    <t>Lê Thái Duy</t>
  </si>
  <si>
    <t>Lê Nguyễn Bảo Châm</t>
  </si>
  <si>
    <t>Đỗ Minh Hoàng</t>
  </si>
  <si>
    <t>Nguyễn Duy Hưng</t>
  </si>
  <si>
    <t>Nguyễn Anh Kiệt</t>
  </si>
  <si>
    <t>Hoàng Thùy Linh</t>
  </si>
  <si>
    <t>Bùi Đức Minh</t>
  </si>
  <si>
    <t>Hoàng Nhật Minh</t>
  </si>
  <si>
    <t>Lê Linh Nga</t>
  </si>
  <si>
    <t>Nguyễn Hạnh Nguyên</t>
  </si>
  <si>
    <t>Đông Thị Nhung</t>
  </si>
  <si>
    <t>Đinh Thị Minh Phương</t>
  </si>
  <si>
    <t>Nguyễn Thị Kim Sa</t>
  </si>
  <si>
    <t>Lê Đức Tâm</t>
  </si>
  <si>
    <t>Nguyễn Đan Thu</t>
  </si>
  <si>
    <t>Phạm Anh Vũ</t>
  </si>
  <si>
    <t>Vũ Hải Yến</t>
  </si>
  <si>
    <t>Thành tiền</t>
  </si>
  <si>
    <t>Tính từ 25/2-31/3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</si>
</sst>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8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  <charset val="163"/>
    </font>
    <font>
      <sz val="11"/>
      <color theme="1"/>
      <name val="Calibri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0"/>
  </cellStyleXfs>
  <cellXfs count="29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right" wrapText="1"/>
    </xf>
    <xf numFmtId="0" fontId="1" fillId="0" borderId="0" xfId="0" applyFont="1"/>
    <xf numFmtId="0" fontId="3" fillId="0" borderId="0" xfId="0" applyFont="1" applyAlignment="1">
      <alignment horizontal="center"/>
    </xf>
    <xf numFmtId="0" fontId="4" fillId="0" borderId="0" xfId="0" applyFont="1"/>
    <xf numFmtId="0" fontId="4" fillId="0" borderId="0" xfId="1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/>
    <xf numFmtId="0" fontId="4" fillId="0" borderId="1" xfId="1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5" xfId="1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6" xfId="0" applyFont="1" applyBorder="1"/>
    <xf numFmtId="0" fontId="4" fillId="0" borderId="6" xfId="1" applyFont="1" applyBorder="1"/>
    <xf numFmtId="3" fontId="4" fillId="0" borderId="6" xfId="1" applyNumberFormat="1" applyFont="1" applyBorder="1"/>
    <xf numFmtId="0" fontId="4" fillId="0" borderId="7" xfId="0" applyFont="1" applyBorder="1" applyAlignment="1">
      <alignment horizontal="center"/>
    </xf>
    <xf numFmtId="0" fontId="4" fillId="0" borderId="7" xfId="0" applyFont="1" applyBorder="1"/>
    <xf numFmtId="0" fontId="4" fillId="0" borderId="7" xfId="1" applyFont="1" applyBorder="1"/>
    <xf numFmtId="3" fontId="4" fillId="0" borderId="7" xfId="1" applyNumberFormat="1" applyFont="1" applyBorder="1"/>
    <xf numFmtId="0" fontId="4" fillId="0" borderId="8" xfId="0" applyFont="1" applyBorder="1" applyAlignment="1">
      <alignment horizontal="center"/>
    </xf>
    <xf numFmtId="0" fontId="4" fillId="0" borderId="8" xfId="0" applyFont="1" applyBorder="1"/>
    <xf numFmtId="0" fontId="4" fillId="0" borderId="8" xfId="1" applyFont="1" applyBorder="1"/>
    <xf numFmtId="3" fontId="4" fillId="0" borderId="8" xfId="1" applyNumberFormat="1" applyFont="1" applyBorder="1"/>
    <xf numFmtId="0" fontId="4" fillId="0" borderId="0" xfId="1" applyFont="1"/>
    <xf numFmtId="3" fontId="4" fillId="0" borderId="0" xfId="0" applyNumberFormat="1" applyFont="1"/>
  </cellXfs>
  <cellStyles count="2">
    <cellStyle name="Normal" xfId="0" builtinId="0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</xdr:colOff>
      <xdr:row>0</xdr:row>
      <xdr:rowOff>0</xdr:rowOff>
    </xdr:from>
    <xdr:ext cx="967740" cy="958188"/>
    <xdr:pic>
      <xdr:nvPicPr>
        <xdr:cNvPr id="2" name="Picture 1">
          <a:extLst>
            <a:ext uri="{FF2B5EF4-FFF2-40B4-BE49-F238E27FC236}">
              <a16:creationId xmlns:a16="http://schemas.microsoft.com/office/drawing/2014/main" id="{C430E3B6-833B-4250-80ED-496BD3EA3A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" y="0"/>
          <a:ext cx="967740" cy="9581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8"/>
  <dimension ref="A1:H32"/>
  <sheetViews>
    <sheetView tabSelected="1" topLeftCell="A4" workbookViewId="0">
      <selection activeCell="A9" sqref="A9:H29"/>
    </sheetView>
  </sheetViews>
  <sheetFormatPr defaultColWidth="10.109375" defaultRowHeight="13.8" x14ac:dyDescent="0.25"/>
  <cols>
    <col min="1" max="1" width="5" style="1" customWidth="1"/>
    <col min="2" max="2" width="21" style="3" customWidth="1"/>
    <col min="3" max="3" width="5.77734375" style="3" bestFit="1" customWidth="1"/>
    <col min="4" max="4" width="15.77734375" style="3" bestFit="1" customWidth="1"/>
    <col min="5" max="5" width="11.33203125" style="3" customWidth="1"/>
    <col min="6" max="6" width="3.5546875" style="3" customWidth="1"/>
    <col min="7" max="7" width="10.21875" style="3" bestFit="1" customWidth="1"/>
    <col min="8" max="8" width="11.109375" style="3" bestFit="1" customWidth="1"/>
    <col min="9" max="16384" width="10.109375" style="3"/>
  </cols>
  <sheetData>
    <row r="1" spans="1:8" ht="57" customHeight="1" x14ac:dyDescent="0.25">
      <c r="B1" s="2" t="s">
        <v>0</v>
      </c>
      <c r="C1" s="2"/>
      <c r="D1" s="2"/>
      <c r="E1" s="2"/>
      <c r="F1" s="2"/>
      <c r="G1" s="2"/>
      <c r="H1" s="2"/>
    </row>
    <row r="2" spans="1:8" x14ac:dyDescent="0.25">
      <c r="A2" s="4" t="s">
        <v>1</v>
      </c>
      <c r="B2" s="4"/>
      <c r="C2" s="4"/>
      <c r="D2" s="4"/>
      <c r="E2" s="4"/>
    </row>
    <row r="4" spans="1:8" x14ac:dyDescent="0.25">
      <c r="A4" s="5" t="s">
        <v>2</v>
      </c>
      <c r="B4" s="5"/>
      <c r="C4" s="5" t="s">
        <v>3</v>
      </c>
      <c r="D4" s="6" t="s">
        <v>4</v>
      </c>
      <c r="E4" s="5" t="s">
        <v>5</v>
      </c>
      <c r="F4" s="5"/>
      <c r="G4" s="5"/>
      <c r="H4" s="5"/>
    </row>
    <row r="5" spans="1:8" x14ac:dyDescent="0.25">
      <c r="A5" s="5" t="s">
        <v>6</v>
      </c>
      <c r="B5" s="5"/>
      <c r="C5" s="5" t="s">
        <v>7</v>
      </c>
      <c r="D5" s="1">
        <f>COUNTA($C$9:$C$35)</f>
        <v>21</v>
      </c>
      <c r="E5" s="5" t="s">
        <v>8</v>
      </c>
      <c r="F5" s="5"/>
      <c r="G5" s="5"/>
      <c r="H5" s="5"/>
    </row>
    <row r="6" spans="1:8" x14ac:dyDescent="0.25">
      <c r="A6" s="7"/>
      <c r="B6" s="5"/>
      <c r="C6" s="5"/>
      <c r="D6" s="5"/>
      <c r="E6" s="5"/>
      <c r="F6" s="5"/>
      <c r="G6" s="5"/>
      <c r="H6" s="5"/>
    </row>
    <row r="7" spans="1:8" x14ac:dyDescent="0.25">
      <c r="A7" s="8" t="s">
        <v>9</v>
      </c>
      <c r="B7" s="8" t="s">
        <v>10</v>
      </c>
      <c r="C7" s="9" t="s">
        <v>11</v>
      </c>
      <c r="D7" s="10"/>
      <c r="E7" s="11" t="s">
        <v>12</v>
      </c>
      <c r="F7" s="12" t="s">
        <v>13</v>
      </c>
      <c r="G7" s="12" t="s">
        <v>14</v>
      </c>
      <c r="H7" s="12" t="s">
        <v>15</v>
      </c>
    </row>
    <row r="8" spans="1:8" x14ac:dyDescent="0.25">
      <c r="A8" s="13"/>
      <c r="B8" s="13"/>
      <c r="C8" s="11" t="s">
        <v>16</v>
      </c>
      <c r="D8" s="11" t="s">
        <v>17</v>
      </c>
      <c r="E8" s="11"/>
      <c r="F8" s="14"/>
      <c r="G8" s="14"/>
      <c r="H8" s="14"/>
    </row>
    <row r="9" spans="1:8" x14ac:dyDescent="0.25">
      <c r="A9" s="15">
        <v>1</v>
      </c>
      <c r="B9" s="16" t="s">
        <v>18</v>
      </c>
      <c r="C9" s="16" t="s">
        <v>19</v>
      </c>
      <c r="D9" s="5" t="s">
        <v>3</v>
      </c>
      <c r="E9" s="16"/>
      <c r="F9" s="17">
        <v>10</v>
      </c>
      <c r="G9" s="18">
        <v>100000</v>
      </c>
      <c r="H9" s="18">
        <f t="shared" ref="H9:H29" si="0">F9*G9</f>
        <v>1000000</v>
      </c>
    </row>
    <row r="10" spans="1:8" x14ac:dyDescent="0.25">
      <c r="A10" s="19">
        <v>2</v>
      </c>
      <c r="B10" s="20" t="s">
        <v>20</v>
      </c>
      <c r="C10" s="20" t="s">
        <v>19</v>
      </c>
      <c r="D10" s="5" t="s">
        <v>3</v>
      </c>
      <c r="E10" s="20"/>
      <c r="F10" s="21">
        <v>10</v>
      </c>
      <c r="G10" s="22">
        <v>100000</v>
      </c>
      <c r="H10" s="22">
        <f t="shared" si="0"/>
        <v>1000000</v>
      </c>
    </row>
    <row r="11" spans="1:8" x14ac:dyDescent="0.25">
      <c r="A11" s="19">
        <v>3</v>
      </c>
      <c r="B11" s="20" t="s">
        <v>21</v>
      </c>
      <c r="C11" s="20" t="s">
        <v>19</v>
      </c>
      <c r="D11" s="5" t="s">
        <v>3</v>
      </c>
      <c r="E11" s="20"/>
      <c r="F11" s="21">
        <v>10</v>
      </c>
      <c r="G11" s="22">
        <v>100000</v>
      </c>
      <c r="H11" s="22">
        <f t="shared" si="0"/>
        <v>1000000</v>
      </c>
    </row>
    <row r="12" spans="1:8" x14ac:dyDescent="0.25">
      <c r="A12" s="19">
        <v>4</v>
      </c>
      <c r="B12" s="20" t="s">
        <v>22</v>
      </c>
      <c r="C12" s="20" t="s">
        <v>19</v>
      </c>
      <c r="D12" s="5" t="s">
        <v>3</v>
      </c>
      <c r="E12" s="20"/>
      <c r="F12" s="21">
        <v>10</v>
      </c>
      <c r="G12" s="22">
        <v>100000</v>
      </c>
      <c r="H12" s="22">
        <f t="shared" si="0"/>
        <v>1000000</v>
      </c>
    </row>
    <row r="13" spans="1:8" x14ac:dyDescent="0.25">
      <c r="A13" s="19">
        <v>5</v>
      </c>
      <c r="B13" s="20" t="s">
        <v>23</v>
      </c>
      <c r="C13" s="20" t="s">
        <v>19</v>
      </c>
      <c r="D13" s="5" t="s">
        <v>3</v>
      </c>
      <c r="E13" s="20"/>
      <c r="F13" s="21">
        <v>6</v>
      </c>
      <c r="G13" s="22">
        <v>100000</v>
      </c>
      <c r="H13" s="22">
        <f t="shared" si="0"/>
        <v>600000</v>
      </c>
    </row>
    <row r="14" spans="1:8" x14ac:dyDescent="0.25">
      <c r="A14" s="19">
        <v>6</v>
      </c>
      <c r="B14" s="20" t="s">
        <v>24</v>
      </c>
      <c r="C14" s="20" t="s">
        <v>19</v>
      </c>
      <c r="D14" s="5" t="s">
        <v>3</v>
      </c>
      <c r="E14" s="20"/>
      <c r="F14" s="21">
        <v>10</v>
      </c>
      <c r="G14" s="22">
        <v>100000</v>
      </c>
      <c r="H14" s="22">
        <f t="shared" si="0"/>
        <v>1000000</v>
      </c>
    </row>
    <row r="15" spans="1:8" x14ac:dyDescent="0.25">
      <c r="A15" s="19">
        <v>7</v>
      </c>
      <c r="B15" s="20" t="s">
        <v>25</v>
      </c>
      <c r="C15" s="20" t="s">
        <v>19</v>
      </c>
      <c r="D15" s="5" t="s">
        <v>3</v>
      </c>
      <c r="E15" s="20"/>
      <c r="F15" s="21">
        <v>10</v>
      </c>
      <c r="G15" s="22">
        <v>100000</v>
      </c>
      <c r="H15" s="22">
        <f t="shared" si="0"/>
        <v>1000000</v>
      </c>
    </row>
    <row r="16" spans="1:8" x14ac:dyDescent="0.25">
      <c r="A16" s="19">
        <v>8</v>
      </c>
      <c r="B16" s="20" t="s">
        <v>26</v>
      </c>
      <c r="C16" s="20" t="s">
        <v>19</v>
      </c>
      <c r="D16" s="5" t="s">
        <v>3</v>
      </c>
      <c r="E16" s="20"/>
      <c r="F16" s="21">
        <v>10</v>
      </c>
      <c r="G16" s="22">
        <v>100000</v>
      </c>
      <c r="H16" s="22">
        <f t="shared" si="0"/>
        <v>1000000</v>
      </c>
    </row>
    <row r="17" spans="1:8" x14ac:dyDescent="0.25">
      <c r="A17" s="19">
        <v>9</v>
      </c>
      <c r="B17" s="20" t="s">
        <v>27</v>
      </c>
      <c r="C17" s="20" t="s">
        <v>19</v>
      </c>
      <c r="D17" s="5" t="s">
        <v>3</v>
      </c>
      <c r="E17" s="20"/>
      <c r="F17" s="21">
        <v>10</v>
      </c>
      <c r="G17" s="22">
        <v>100000</v>
      </c>
      <c r="H17" s="22">
        <f t="shared" si="0"/>
        <v>1000000</v>
      </c>
    </row>
    <row r="18" spans="1:8" x14ac:dyDescent="0.25">
      <c r="A18" s="19">
        <v>10</v>
      </c>
      <c r="B18" s="20" t="s">
        <v>28</v>
      </c>
      <c r="C18" s="20" t="s">
        <v>19</v>
      </c>
      <c r="D18" s="5" t="s">
        <v>3</v>
      </c>
      <c r="E18" s="20"/>
      <c r="F18" s="21">
        <v>10</v>
      </c>
      <c r="G18" s="22">
        <v>100000</v>
      </c>
      <c r="H18" s="22">
        <f t="shared" si="0"/>
        <v>1000000</v>
      </c>
    </row>
    <row r="19" spans="1:8" x14ac:dyDescent="0.25">
      <c r="A19" s="19">
        <v>11</v>
      </c>
      <c r="B19" s="20" t="s">
        <v>29</v>
      </c>
      <c r="C19" s="20" t="s">
        <v>19</v>
      </c>
      <c r="D19" s="5" t="s">
        <v>3</v>
      </c>
      <c r="E19" s="20"/>
      <c r="F19" s="21">
        <v>9</v>
      </c>
      <c r="G19" s="22">
        <v>100000</v>
      </c>
      <c r="H19" s="22">
        <f t="shared" si="0"/>
        <v>900000</v>
      </c>
    </row>
    <row r="20" spans="1:8" x14ac:dyDescent="0.25">
      <c r="A20" s="19">
        <v>12</v>
      </c>
      <c r="B20" s="20" t="s">
        <v>30</v>
      </c>
      <c r="C20" s="20" t="s">
        <v>19</v>
      </c>
      <c r="D20" s="5" t="s">
        <v>3</v>
      </c>
      <c r="E20" s="20"/>
      <c r="F20" s="21">
        <v>10</v>
      </c>
      <c r="G20" s="22">
        <v>100000</v>
      </c>
      <c r="H20" s="22">
        <f t="shared" si="0"/>
        <v>1000000</v>
      </c>
    </row>
    <row r="21" spans="1:8" x14ac:dyDescent="0.25">
      <c r="A21" s="19">
        <v>13</v>
      </c>
      <c r="B21" s="20" t="s">
        <v>31</v>
      </c>
      <c r="C21" s="20" t="s">
        <v>19</v>
      </c>
      <c r="D21" s="5" t="s">
        <v>3</v>
      </c>
      <c r="E21" s="20"/>
      <c r="F21" s="21">
        <v>10</v>
      </c>
      <c r="G21" s="22">
        <v>100000</v>
      </c>
      <c r="H21" s="22">
        <f t="shared" si="0"/>
        <v>1000000</v>
      </c>
    </row>
    <row r="22" spans="1:8" x14ac:dyDescent="0.25">
      <c r="A22" s="19">
        <v>14</v>
      </c>
      <c r="B22" s="20" t="s">
        <v>32</v>
      </c>
      <c r="C22" s="20" t="s">
        <v>19</v>
      </c>
      <c r="D22" s="5" t="s">
        <v>3</v>
      </c>
      <c r="E22" s="20"/>
      <c r="F22" s="21">
        <v>10</v>
      </c>
      <c r="G22" s="22">
        <v>100000</v>
      </c>
      <c r="H22" s="22">
        <f t="shared" si="0"/>
        <v>1000000</v>
      </c>
    </row>
    <row r="23" spans="1:8" x14ac:dyDescent="0.25">
      <c r="A23" s="19">
        <v>15</v>
      </c>
      <c r="B23" s="20" t="s">
        <v>33</v>
      </c>
      <c r="C23" s="20" t="s">
        <v>19</v>
      </c>
      <c r="D23" s="5" t="s">
        <v>3</v>
      </c>
      <c r="E23" s="20"/>
      <c r="F23" s="21">
        <v>10</v>
      </c>
      <c r="G23" s="22">
        <v>100000</v>
      </c>
      <c r="H23" s="22">
        <f t="shared" si="0"/>
        <v>1000000</v>
      </c>
    </row>
    <row r="24" spans="1:8" x14ac:dyDescent="0.25">
      <c r="A24" s="19">
        <v>16</v>
      </c>
      <c r="B24" s="20" t="s">
        <v>34</v>
      </c>
      <c r="C24" s="20" t="s">
        <v>19</v>
      </c>
      <c r="D24" s="5" t="s">
        <v>3</v>
      </c>
      <c r="E24" s="20"/>
      <c r="F24" s="21">
        <v>10</v>
      </c>
      <c r="G24" s="22">
        <v>100000</v>
      </c>
      <c r="H24" s="22">
        <f t="shared" si="0"/>
        <v>1000000</v>
      </c>
    </row>
    <row r="25" spans="1:8" x14ac:dyDescent="0.25">
      <c r="A25" s="19">
        <v>17</v>
      </c>
      <c r="B25" s="20" t="s">
        <v>35</v>
      </c>
      <c r="C25" s="20" t="s">
        <v>19</v>
      </c>
      <c r="D25" s="5" t="s">
        <v>3</v>
      </c>
      <c r="E25" s="20"/>
      <c r="F25" s="21">
        <v>10</v>
      </c>
      <c r="G25" s="22">
        <v>100000</v>
      </c>
      <c r="H25" s="22">
        <f t="shared" si="0"/>
        <v>1000000</v>
      </c>
    </row>
    <row r="26" spans="1:8" x14ac:dyDescent="0.25">
      <c r="A26" s="19">
        <v>18</v>
      </c>
      <c r="B26" s="20" t="s">
        <v>36</v>
      </c>
      <c r="C26" s="20" t="s">
        <v>19</v>
      </c>
      <c r="D26" s="5" t="s">
        <v>3</v>
      </c>
      <c r="E26" s="20"/>
      <c r="F26" s="21">
        <v>10</v>
      </c>
      <c r="G26" s="22">
        <v>100000</v>
      </c>
      <c r="H26" s="22">
        <f t="shared" si="0"/>
        <v>1000000</v>
      </c>
    </row>
    <row r="27" spans="1:8" x14ac:dyDescent="0.25">
      <c r="A27" s="19">
        <v>19</v>
      </c>
      <c r="B27" s="20" t="s">
        <v>37</v>
      </c>
      <c r="C27" s="20" t="s">
        <v>19</v>
      </c>
      <c r="D27" s="5" t="s">
        <v>3</v>
      </c>
      <c r="E27" s="20"/>
      <c r="F27" s="21">
        <v>10</v>
      </c>
      <c r="G27" s="22">
        <v>100000</v>
      </c>
      <c r="H27" s="22">
        <f t="shared" si="0"/>
        <v>1000000</v>
      </c>
    </row>
    <row r="28" spans="1:8" x14ac:dyDescent="0.25">
      <c r="A28" s="19">
        <v>20</v>
      </c>
      <c r="B28" s="20" t="s">
        <v>38</v>
      </c>
      <c r="C28" s="20" t="s">
        <v>19</v>
      </c>
      <c r="D28" s="5" t="s">
        <v>3</v>
      </c>
      <c r="E28" s="20"/>
      <c r="F28" s="21">
        <v>10</v>
      </c>
      <c r="G28" s="22">
        <v>100000</v>
      </c>
      <c r="H28" s="22">
        <f t="shared" si="0"/>
        <v>1000000</v>
      </c>
    </row>
    <row r="29" spans="1:8" x14ac:dyDescent="0.25">
      <c r="A29" s="23">
        <v>21</v>
      </c>
      <c r="B29" s="24" t="s">
        <v>39</v>
      </c>
      <c r="C29" s="24" t="s">
        <v>19</v>
      </c>
      <c r="D29" s="5" t="s">
        <v>3</v>
      </c>
      <c r="E29" s="24"/>
      <c r="F29" s="25">
        <v>10</v>
      </c>
      <c r="G29" s="26">
        <v>100000</v>
      </c>
      <c r="H29" s="26">
        <f t="shared" si="0"/>
        <v>1000000</v>
      </c>
    </row>
    <row r="30" spans="1:8" x14ac:dyDescent="0.25">
      <c r="A30" s="7"/>
      <c r="B30" s="27" t="s">
        <v>40</v>
      </c>
      <c r="C30" s="5"/>
      <c r="D30" s="5"/>
      <c r="E30" s="5"/>
      <c r="F30" s="5"/>
      <c r="G30" s="28"/>
      <c r="H30" s="28">
        <f>SUM(H9:H29)</f>
        <v>20500000</v>
      </c>
    </row>
    <row r="31" spans="1:8" x14ac:dyDescent="0.25">
      <c r="A31" s="7"/>
      <c r="B31" s="27"/>
      <c r="C31" s="5"/>
      <c r="D31" s="5"/>
      <c r="E31" s="5"/>
      <c r="F31" s="5"/>
      <c r="G31" s="5"/>
      <c r="H31" s="5"/>
    </row>
    <row r="32" spans="1:8" x14ac:dyDescent="0.25">
      <c r="A32" s="7"/>
      <c r="B32" s="27" t="s">
        <v>41</v>
      </c>
      <c r="C32" s="5"/>
      <c r="D32" s="5"/>
      <c r="E32" s="5"/>
      <c r="F32" s="5"/>
      <c r="G32" s="5"/>
      <c r="H32" s="5"/>
    </row>
  </sheetData>
  <mergeCells count="8">
    <mergeCell ref="B1:H1"/>
    <mergeCell ref="A2:E2"/>
    <mergeCell ref="A7:A8"/>
    <mergeCell ref="B7:B8"/>
    <mergeCell ref="C7:D7"/>
    <mergeCell ref="F7:F8"/>
    <mergeCell ref="G7:G8"/>
    <mergeCell ref="H7:H8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T11.5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cp:lastModifiedBy>test</cp:lastModifiedBy>
  <dcterms:created xsi:type="dcterms:W3CDTF">2025-08-29T03:13:54Z</dcterms:created>
  <dcterms:modified xsi:type="dcterms:W3CDTF">2025-08-29T03:13:55Z</dcterms:modified>
</cp:coreProperties>
</file>