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1.16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H33" i="2"/>
  <c r="H32" i="2"/>
  <c r="H31" i="2"/>
  <c r="H30" i="2"/>
  <c r="H29" i="2"/>
  <c r="C29" i="2"/>
  <c r="C30" i="2" s="1"/>
  <c r="C31" i="2" s="1"/>
  <c r="C32" i="2" s="1"/>
  <c r="C33" i="2" s="1"/>
  <c r="C34" i="2" s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H10" i="2"/>
  <c r="C10" i="2"/>
  <c r="H9" i="2"/>
  <c r="H35" i="2" s="1"/>
  <c r="C11" i="2" l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D5" i="2" l="1"/>
</calcChain>
</file>

<file path=xl/sharedStrings.xml><?xml version="1.0" encoding="utf-8"?>
<sst xmlns="http://schemas.openxmlformats.org/spreadsheetml/2006/main" count="74" uniqueCount="47">
  <si>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</si>
  <si>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</si>
  <si>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</si>
  <si>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V11.16</t>
  </si>
  <si>
    <t>sĩ số</t>
  </si>
  <si>
    <t>Giáo viên phụ trách:</t>
  </si>
  <si>
    <t xml:space="preserve">Môn học: </t>
  </si>
  <si>
    <t>Ngữ Văn</t>
  </si>
  <si>
    <t>Trần Thu Hậu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</si>
  <si>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</si>
  <si>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</si>
  <si>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</si>
  <si>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</si>
  <si>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</si>
  <si>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</si>
  <si>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</si>
  <si>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</si>
  <si>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</si>
  <si>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Ngọc Linh</t>
  </si>
  <si>
    <t>11A16</t>
  </si>
  <si>
    <t>Trần Bảo Ngân</t>
  </si>
  <si>
    <t>Đỗ Như Nguyệt</t>
  </si>
  <si>
    <t>Lê Hạnh Nguyên</t>
  </si>
  <si>
    <t>Nguyễn Khánh Linh</t>
  </si>
  <si>
    <t>Nguyễn Hà An</t>
  </si>
  <si>
    <t>Trịnh Ngọc Nguyên Khang</t>
  </si>
  <si>
    <t>Nguyễn Thành Vinh</t>
  </si>
  <si>
    <t>Mai Đức Giang</t>
  </si>
  <si>
    <t>Đặng Phương Linh</t>
  </si>
  <si>
    <t>Nguyễn Phương Linh</t>
  </si>
  <si>
    <t>Phạm Việt Anh</t>
  </si>
  <si>
    <t>Đoàn Lưu Khánh Chi</t>
  </si>
  <si>
    <t>Nguyễn Minh Ngọc</t>
  </si>
  <si>
    <t>Nguyễn Bảo Nhi</t>
  </si>
  <si>
    <t>Nguyễn Tuyết Nhi</t>
  </si>
  <si>
    <t>Mai Anh Quân</t>
  </si>
  <si>
    <t>Trần Thị Ngọc Bích</t>
  </si>
  <si>
    <t>Đào Ngọc Bích</t>
  </si>
  <si>
    <t>Vũ Khánh Linh</t>
  </si>
  <si>
    <t>Nguyễn Trần Diệu Linh</t>
  </si>
  <si>
    <t>Vương Hoài Linh</t>
  </si>
  <si>
    <t>Vũ Yến Trang</t>
  </si>
  <si>
    <t>Nguyễn Cát Hoàng Lâm</t>
  </si>
  <si>
    <t>Nguyễn Minh Anh</t>
  </si>
  <si>
    <t>Nguyễn Hoàng An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</si>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</sst>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5" fillId="0" borderId="1" xfId="1" applyNumberFormat="1" applyFont="1" applyBorder="1"/>
    <xf numFmtId="0" fontId="2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164" fontId="5" fillId="0" borderId="5" xfId="1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164" fontId="5" fillId="0" borderId="6" xfId="1" applyNumberFormat="1" applyFont="1" applyBorder="1"/>
    <xf numFmtId="0" fontId="5" fillId="0" borderId="0" xfId="2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98255935-7204-41FA-81D9-8AF475AF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37"/>
  <sheetViews>
    <sheetView tabSelected="1" topLeftCell="A2" zoomScale="85" zoomScaleNormal="85" workbookViewId="0">
      <selection activeCell="A9" sqref="A9:H34"/>
    </sheetView>
  </sheetViews>
  <sheetFormatPr defaultColWidth="10.109375" defaultRowHeight="13.8" x14ac:dyDescent="0.25"/>
  <cols>
    <col min="1" max="1" width="4.44140625" style="1" customWidth="1"/>
    <col min="2" max="2" width="24.109375" style="1" customWidth="1"/>
    <col min="3" max="3" width="6.88671875" style="1" customWidth="1"/>
    <col min="4" max="4" width="14.6640625" style="1" customWidth="1"/>
    <col min="5" max="5" width="12.33203125" style="1" customWidth="1"/>
    <col min="6" max="6" width="5.21875" style="1" customWidth="1"/>
    <col min="7" max="7" width="10" style="1" customWidth="1"/>
    <col min="8" max="8" width="11.6640625" style="1" customWidth="1"/>
    <col min="9" max="16384" width="10.109375" style="1"/>
  </cols>
  <sheetData>
    <row r="1" spans="1:8" ht="52.35" customHeight="1" x14ac:dyDescent="0.25">
      <c r="B1" s="2" t="s">
        <v>0</v>
      </c>
      <c r="C1" s="2"/>
      <c r="D1" s="2"/>
      <c r="E1" s="2"/>
    </row>
    <row r="2" spans="1:8" ht="31.6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65" customHeight="1" x14ac:dyDescent="0.3">
      <c r="A4" s="1" t="s">
        <v>2</v>
      </c>
      <c r="C4" s="1" t="s">
        <v>3</v>
      </c>
      <c r="D4" s="5" t="s">
        <v>4</v>
      </c>
      <c r="E4" s="1" t="s">
        <v>5</v>
      </c>
    </row>
    <row r="5" spans="1:8" ht="14.4" x14ac:dyDescent="0.3">
      <c r="A5" s="1" t="s">
        <v>6</v>
      </c>
      <c r="C5" s="1" t="s">
        <v>7</v>
      </c>
      <c r="D5" s="6">
        <f>COUNTA($C$9:$C$45)</f>
        <v>26</v>
      </c>
      <c r="E5" s="1" t="s">
        <v>8</v>
      </c>
    </row>
    <row r="7" spans="1:8" x14ac:dyDescent="0.25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25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7.100000000000001" customHeight="1" x14ac:dyDescent="0.3">
      <c r="A9" s="14">
        <v>1</v>
      </c>
      <c r="B9" s="15" t="s">
        <v>18</v>
      </c>
      <c r="C9" s="16" t="s">
        <v>19</v>
      </c>
      <c r="D9" s="1" t="s">
        <v>3</v>
      </c>
      <c r="E9" s="16"/>
      <c r="F9" s="17">
        <v>8</v>
      </c>
      <c r="G9" s="17">
        <v>100000</v>
      </c>
      <c r="H9" s="17">
        <f t="shared" ref="H9:H34" si="0">F9*G9</f>
        <v>800000</v>
      </c>
    </row>
    <row r="10" spans="1:8" ht="17.100000000000001" customHeight="1" x14ac:dyDescent="0.3">
      <c r="A10" s="18">
        <v>2</v>
      </c>
      <c r="B10" s="19" t="s">
        <v>20</v>
      </c>
      <c r="C10" s="20" t="str">
        <f t="shared" ref="C10:C27" si="1">C9</f>
        <v>11A16</v>
      </c>
      <c r="D10" s="1" t="s">
        <v>3</v>
      </c>
      <c r="E10" s="20"/>
      <c r="F10" s="21">
        <v>8</v>
      </c>
      <c r="G10" s="21">
        <v>100000</v>
      </c>
      <c r="H10" s="21">
        <f t="shared" si="0"/>
        <v>800000</v>
      </c>
    </row>
    <row r="11" spans="1:8" ht="17.100000000000001" customHeight="1" x14ac:dyDescent="0.3">
      <c r="A11" s="18">
        <f t="shared" ref="A11:A34" si="2">A10+1</f>
        <v>3</v>
      </c>
      <c r="B11" s="19" t="s">
        <v>21</v>
      </c>
      <c r="C11" s="20" t="str">
        <f t="shared" si="1"/>
        <v>11A16</v>
      </c>
      <c r="D11" s="1" t="s">
        <v>3</v>
      </c>
      <c r="E11" s="20"/>
      <c r="F11" s="21">
        <v>8</v>
      </c>
      <c r="G11" s="21">
        <v>100000</v>
      </c>
      <c r="H11" s="21">
        <f t="shared" si="0"/>
        <v>800000</v>
      </c>
    </row>
    <row r="12" spans="1:8" ht="17.100000000000001" customHeight="1" x14ac:dyDescent="0.3">
      <c r="A12" s="18">
        <f t="shared" si="2"/>
        <v>4</v>
      </c>
      <c r="B12" s="19" t="s">
        <v>22</v>
      </c>
      <c r="C12" s="20" t="str">
        <f t="shared" si="1"/>
        <v>11A16</v>
      </c>
      <c r="D12" s="1" t="s">
        <v>3</v>
      </c>
      <c r="E12" s="20"/>
      <c r="F12" s="21">
        <v>8</v>
      </c>
      <c r="G12" s="21">
        <v>100000</v>
      </c>
      <c r="H12" s="21">
        <f t="shared" si="0"/>
        <v>800000</v>
      </c>
    </row>
    <row r="13" spans="1:8" ht="17.100000000000001" customHeight="1" x14ac:dyDescent="0.3">
      <c r="A13" s="18">
        <f t="shared" si="2"/>
        <v>5</v>
      </c>
      <c r="B13" s="19" t="s">
        <v>23</v>
      </c>
      <c r="C13" s="20" t="str">
        <f t="shared" si="1"/>
        <v>11A16</v>
      </c>
      <c r="D13" s="1" t="s">
        <v>3</v>
      </c>
      <c r="E13" s="20"/>
      <c r="F13" s="21">
        <v>8</v>
      </c>
      <c r="G13" s="21">
        <v>100000</v>
      </c>
      <c r="H13" s="21">
        <f t="shared" si="0"/>
        <v>800000</v>
      </c>
    </row>
    <row r="14" spans="1:8" ht="17.100000000000001" customHeight="1" x14ac:dyDescent="0.3">
      <c r="A14" s="18">
        <f t="shared" si="2"/>
        <v>6</v>
      </c>
      <c r="B14" s="19" t="s">
        <v>24</v>
      </c>
      <c r="C14" s="20" t="str">
        <f t="shared" si="1"/>
        <v>11A16</v>
      </c>
      <c r="D14" s="1" t="s">
        <v>3</v>
      </c>
      <c r="E14" s="20"/>
      <c r="F14" s="21">
        <v>8</v>
      </c>
      <c r="G14" s="21">
        <v>100000</v>
      </c>
      <c r="H14" s="21">
        <f t="shared" si="0"/>
        <v>800000</v>
      </c>
    </row>
    <row r="15" spans="1:8" ht="16.5" customHeight="1" x14ac:dyDescent="0.3">
      <c r="A15" s="18">
        <f t="shared" si="2"/>
        <v>7</v>
      </c>
      <c r="B15" s="19" t="s">
        <v>25</v>
      </c>
      <c r="C15" s="20" t="str">
        <f t="shared" si="1"/>
        <v>11A16</v>
      </c>
      <c r="D15" s="1" t="s">
        <v>3</v>
      </c>
      <c r="E15" s="22"/>
      <c r="F15" s="21">
        <v>8</v>
      </c>
      <c r="G15" s="21">
        <v>100000</v>
      </c>
      <c r="H15" s="21">
        <f t="shared" si="0"/>
        <v>800000</v>
      </c>
    </row>
    <row r="16" spans="1:8" ht="17.100000000000001" customHeight="1" x14ac:dyDescent="0.3">
      <c r="A16" s="18">
        <f t="shared" si="2"/>
        <v>8</v>
      </c>
      <c r="B16" s="19" t="s">
        <v>26</v>
      </c>
      <c r="C16" s="20" t="str">
        <f t="shared" si="1"/>
        <v>11A16</v>
      </c>
      <c r="D16" s="1" t="s">
        <v>3</v>
      </c>
      <c r="E16" s="20"/>
      <c r="F16" s="21">
        <v>8</v>
      </c>
      <c r="G16" s="21">
        <v>100000</v>
      </c>
      <c r="H16" s="21">
        <f t="shared" si="0"/>
        <v>800000</v>
      </c>
    </row>
    <row r="17" spans="1:8" ht="17.100000000000001" customHeight="1" x14ac:dyDescent="0.3">
      <c r="A17" s="18">
        <f t="shared" si="2"/>
        <v>9</v>
      </c>
      <c r="B17" s="19" t="s">
        <v>27</v>
      </c>
      <c r="C17" s="20" t="str">
        <f t="shared" si="1"/>
        <v>11A16</v>
      </c>
      <c r="D17" s="1" t="s">
        <v>3</v>
      </c>
      <c r="E17" s="20"/>
      <c r="F17" s="21">
        <v>8</v>
      </c>
      <c r="G17" s="21">
        <v>100000</v>
      </c>
      <c r="H17" s="21">
        <f t="shared" si="0"/>
        <v>800000</v>
      </c>
    </row>
    <row r="18" spans="1:8" ht="17.100000000000001" customHeight="1" x14ac:dyDescent="0.3">
      <c r="A18" s="18">
        <f t="shared" si="2"/>
        <v>10</v>
      </c>
      <c r="B18" s="19" t="s">
        <v>28</v>
      </c>
      <c r="C18" s="20" t="str">
        <f t="shared" si="1"/>
        <v>11A16</v>
      </c>
      <c r="D18" s="1" t="s">
        <v>3</v>
      </c>
      <c r="E18" s="20"/>
      <c r="F18" s="21">
        <v>8</v>
      </c>
      <c r="G18" s="21">
        <v>100000</v>
      </c>
      <c r="H18" s="21">
        <f t="shared" si="0"/>
        <v>800000</v>
      </c>
    </row>
    <row r="19" spans="1:8" ht="17.100000000000001" customHeight="1" x14ac:dyDescent="0.3">
      <c r="A19" s="18">
        <f t="shared" si="2"/>
        <v>11</v>
      </c>
      <c r="B19" s="19" t="s">
        <v>29</v>
      </c>
      <c r="C19" s="20" t="str">
        <f t="shared" si="1"/>
        <v>11A16</v>
      </c>
      <c r="D19" s="1" t="s">
        <v>3</v>
      </c>
      <c r="E19" s="20"/>
      <c r="F19" s="21">
        <v>8</v>
      </c>
      <c r="G19" s="21">
        <v>100000</v>
      </c>
      <c r="H19" s="21">
        <f t="shared" si="0"/>
        <v>800000</v>
      </c>
    </row>
    <row r="20" spans="1:8" ht="17.100000000000001" customHeight="1" x14ac:dyDescent="0.3">
      <c r="A20" s="18">
        <f t="shared" si="2"/>
        <v>12</v>
      </c>
      <c r="B20" s="19" t="s">
        <v>30</v>
      </c>
      <c r="C20" s="20" t="str">
        <f t="shared" si="1"/>
        <v>11A16</v>
      </c>
      <c r="D20" s="1" t="s">
        <v>3</v>
      </c>
      <c r="E20" s="20"/>
      <c r="F20" s="21">
        <v>8</v>
      </c>
      <c r="G20" s="21">
        <v>100000</v>
      </c>
      <c r="H20" s="21">
        <f t="shared" si="0"/>
        <v>800000</v>
      </c>
    </row>
    <row r="21" spans="1:8" ht="15" customHeight="1" x14ac:dyDescent="0.3">
      <c r="A21" s="18">
        <f t="shared" si="2"/>
        <v>13</v>
      </c>
      <c r="B21" s="19" t="s">
        <v>31</v>
      </c>
      <c r="C21" s="20" t="str">
        <f t="shared" si="1"/>
        <v>11A16</v>
      </c>
      <c r="D21" s="1" t="s">
        <v>3</v>
      </c>
      <c r="E21" s="22"/>
      <c r="F21" s="21">
        <v>8</v>
      </c>
      <c r="G21" s="21">
        <v>100000</v>
      </c>
      <c r="H21" s="21">
        <f t="shared" si="0"/>
        <v>800000</v>
      </c>
    </row>
    <row r="22" spans="1:8" ht="17.100000000000001" customHeight="1" x14ac:dyDescent="0.3">
      <c r="A22" s="18">
        <f t="shared" si="2"/>
        <v>14</v>
      </c>
      <c r="B22" s="19" t="s">
        <v>32</v>
      </c>
      <c r="C22" s="20" t="str">
        <f t="shared" si="1"/>
        <v>11A16</v>
      </c>
      <c r="D22" s="1" t="s">
        <v>3</v>
      </c>
      <c r="E22" s="20"/>
      <c r="F22" s="21">
        <v>8</v>
      </c>
      <c r="G22" s="21">
        <v>100000</v>
      </c>
      <c r="H22" s="21">
        <f t="shared" si="0"/>
        <v>800000</v>
      </c>
    </row>
    <row r="23" spans="1:8" ht="14.4" x14ac:dyDescent="0.3">
      <c r="A23" s="18">
        <f t="shared" si="2"/>
        <v>15</v>
      </c>
      <c r="B23" s="19" t="s">
        <v>33</v>
      </c>
      <c r="C23" s="20" t="str">
        <f t="shared" si="1"/>
        <v>11A16</v>
      </c>
      <c r="D23" s="1" t="s">
        <v>3</v>
      </c>
      <c r="E23" s="20"/>
      <c r="F23" s="21">
        <v>8</v>
      </c>
      <c r="G23" s="21">
        <v>100000</v>
      </c>
      <c r="H23" s="21">
        <f t="shared" si="0"/>
        <v>800000</v>
      </c>
    </row>
    <row r="24" spans="1:8" ht="14.4" x14ac:dyDescent="0.3">
      <c r="A24" s="18">
        <f t="shared" si="2"/>
        <v>16</v>
      </c>
      <c r="B24" s="19" t="s">
        <v>34</v>
      </c>
      <c r="C24" s="20" t="str">
        <f t="shared" si="1"/>
        <v>11A16</v>
      </c>
      <c r="D24" s="1" t="s">
        <v>3</v>
      </c>
      <c r="E24" s="20"/>
      <c r="F24" s="21">
        <v>8</v>
      </c>
      <c r="G24" s="21">
        <v>100000</v>
      </c>
      <c r="H24" s="21">
        <f t="shared" si="0"/>
        <v>800000</v>
      </c>
    </row>
    <row r="25" spans="1:8" ht="14.4" x14ac:dyDescent="0.3">
      <c r="A25" s="18">
        <f t="shared" si="2"/>
        <v>17</v>
      </c>
      <c r="B25" s="19" t="s">
        <v>35</v>
      </c>
      <c r="C25" s="20" t="str">
        <f t="shared" si="1"/>
        <v>11A16</v>
      </c>
      <c r="D25" s="1" t="s">
        <v>3</v>
      </c>
      <c r="E25" s="20"/>
      <c r="F25" s="21">
        <v>8</v>
      </c>
      <c r="G25" s="21">
        <v>100000</v>
      </c>
      <c r="H25" s="21">
        <f t="shared" si="0"/>
        <v>800000</v>
      </c>
    </row>
    <row r="26" spans="1:8" ht="14.4" x14ac:dyDescent="0.3">
      <c r="A26" s="18">
        <f t="shared" si="2"/>
        <v>18</v>
      </c>
      <c r="B26" s="19" t="s">
        <v>36</v>
      </c>
      <c r="C26" s="20" t="str">
        <f t="shared" si="1"/>
        <v>11A16</v>
      </c>
      <c r="D26" s="1" t="s">
        <v>3</v>
      </c>
      <c r="E26" s="20"/>
      <c r="F26" s="21">
        <v>8</v>
      </c>
      <c r="G26" s="21">
        <v>100000</v>
      </c>
      <c r="H26" s="21">
        <f t="shared" si="0"/>
        <v>800000</v>
      </c>
    </row>
    <row r="27" spans="1:8" ht="14.4" x14ac:dyDescent="0.3">
      <c r="A27" s="18">
        <f t="shared" si="2"/>
        <v>19</v>
      </c>
      <c r="B27" s="19" t="s">
        <v>37</v>
      </c>
      <c r="C27" s="20" t="str">
        <f t="shared" si="1"/>
        <v>11A16</v>
      </c>
      <c r="D27" s="1" t="s">
        <v>3</v>
      </c>
      <c r="E27" s="20"/>
      <c r="F27" s="21">
        <v>8</v>
      </c>
      <c r="G27" s="21">
        <v>100000</v>
      </c>
      <c r="H27" s="21">
        <f t="shared" si="0"/>
        <v>800000</v>
      </c>
    </row>
    <row r="28" spans="1:8" ht="14.4" x14ac:dyDescent="0.3">
      <c r="A28" s="18">
        <f t="shared" si="2"/>
        <v>20</v>
      </c>
      <c r="B28" s="19" t="s">
        <v>38</v>
      </c>
      <c r="C28" s="20" t="s">
        <v>19</v>
      </c>
      <c r="D28" s="1" t="s">
        <v>3</v>
      </c>
      <c r="E28" s="20"/>
      <c r="F28" s="21">
        <v>8</v>
      </c>
      <c r="G28" s="21">
        <v>100000</v>
      </c>
      <c r="H28" s="21">
        <f t="shared" si="0"/>
        <v>800000</v>
      </c>
    </row>
    <row r="29" spans="1:8" ht="14.4" x14ac:dyDescent="0.3">
      <c r="A29" s="18">
        <f t="shared" si="2"/>
        <v>21</v>
      </c>
      <c r="B29" s="19" t="s">
        <v>39</v>
      </c>
      <c r="C29" s="20" t="str">
        <f t="shared" ref="C29:C34" si="3">C28</f>
        <v>11A16</v>
      </c>
      <c r="D29" s="1" t="s">
        <v>3</v>
      </c>
      <c r="E29" s="20"/>
      <c r="F29" s="21">
        <v>8</v>
      </c>
      <c r="G29" s="21">
        <v>100000</v>
      </c>
      <c r="H29" s="21">
        <f t="shared" si="0"/>
        <v>800000</v>
      </c>
    </row>
    <row r="30" spans="1:8" ht="14.4" x14ac:dyDescent="0.3">
      <c r="A30" s="18">
        <f t="shared" si="2"/>
        <v>22</v>
      </c>
      <c r="B30" s="19" t="s">
        <v>40</v>
      </c>
      <c r="C30" s="20" t="str">
        <f t="shared" si="3"/>
        <v>11A16</v>
      </c>
      <c r="D30" s="1" t="s">
        <v>3</v>
      </c>
      <c r="E30" s="20"/>
      <c r="F30" s="21">
        <v>8</v>
      </c>
      <c r="G30" s="21">
        <v>100000</v>
      </c>
      <c r="H30" s="21">
        <f t="shared" si="0"/>
        <v>800000</v>
      </c>
    </row>
    <row r="31" spans="1:8" ht="14.4" x14ac:dyDescent="0.3">
      <c r="A31" s="18">
        <f t="shared" si="2"/>
        <v>23</v>
      </c>
      <c r="B31" s="19" t="s">
        <v>41</v>
      </c>
      <c r="C31" s="20" t="str">
        <f t="shared" si="3"/>
        <v>11A16</v>
      </c>
      <c r="D31" s="1" t="s">
        <v>3</v>
      </c>
      <c r="E31" s="20"/>
      <c r="F31" s="21">
        <v>8</v>
      </c>
      <c r="G31" s="21">
        <v>100000</v>
      </c>
      <c r="H31" s="21">
        <f t="shared" si="0"/>
        <v>800000</v>
      </c>
    </row>
    <row r="32" spans="1:8" ht="14.4" x14ac:dyDescent="0.3">
      <c r="A32" s="18">
        <f t="shared" si="2"/>
        <v>24</v>
      </c>
      <c r="B32" s="19" t="s">
        <v>42</v>
      </c>
      <c r="C32" s="20" t="str">
        <f t="shared" si="3"/>
        <v>11A16</v>
      </c>
      <c r="D32" s="1" t="s">
        <v>3</v>
      </c>
      <c r="E32" s="20"/>
      <c r="F32" s="21">
        <v>8</v>
      </c>
      <c r="G32" s="21">
        <v>100000</v>
      </c>
      <c r="H32" s="21">
        <f t="shared" si="0"/>
        <v>800000</v>
      </c>
    </row>
    <row r="33" spans="1:8" ht="14.4" x14ac:dyDescent="0.3">
      <c r="A33" s="18">
        <f t="shared" si="2"/>
        <v>25</v>
      </c>
      <c r="B33" s="19" t="s">
        <v>43</v>
      </c>
      <c r="C33" s="20" t="str">
        <f t="shared" si="3"/>
        <v>11A16</v>
      </c>
      <c r="D33" s="1" t="s">
        <v>3</v>
      </c>
      <c r="E33" s="20"/>
      <c r="F33" s="21">
        <v>8</v>
      </c>
      <c r="G33" s="21">
        <v>100000</v>
      </c>
      <c r="H33" s="21">
        <f t="shared" si="0"/>
        <v>800000</v>
      </c>
    </row>
    <row r="34" spans="1:8" ht="14.4" x14ac:dyDescent="0.3">
      <c r="A34" s="23">
        <f t="shared" si="2"/>
        <v>26</v>
      </c>
      <c r="B34" s="24" t="s">
        <v>44</v>
      </c>
      <c r="C34" s="25" t="str">
        <f t="shared" si="3"/>
        <v>11A16</v>
      </c>
      <c r="D34" s="1" t="s">
        <v>3</v>
      </c>
      <c r="E34" s="25"/>
      <c r="F34" s="26">
        <v>8</v>
      </c>
      <c r="G34" s="26">
        <v>100000</v>
      </c>
      <c r="H34" s="26">
        <f t="shared" si="0"/>
        <v>800000</v>
      </c>
    </row>
    <row r="35" spans="1:8" ht="14.4" x14ac:dyDescent="0.3">
      <c r="B35" s="27" t="s">
        <v>45</v>
      </c>
      <c r="F35" s="28"/>
      <c r="G35" s="28"/>
      <c r="H35" s="28">
        <f>SUM(H9:H34)</f>
        <v>20800000</v>
      </c>
    </row>
    <row r="36" spans="1:8" ht="14.4" x14ac:dyDescent="0.3">
      <c r="B36" s="27"/>
    </row>
    <row r="37" spans="1:8" ht="14.4" x14ac:dyDescent="0.3">
      <c r="B37" s="27" t="s">
        <v>46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V11.16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2025-08-29T03:13:43Z</dcterms:created>
  <dcterms:modified xsi:type="dcterms:W3CDTF">2025-08-29T03:13:44Z</dcterms:modified>
</cp:coreProperties>
</file>