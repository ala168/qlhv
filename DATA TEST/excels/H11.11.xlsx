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AI\QLHV\Thang9\"/>
    </mc:Choice>
  </mc:AlternateContent>
  <bookViews>
    <workbookView xWindow="0" yWindow="0" windowWidth="30672" windowHeight="14604"/>
  </bookViews>
  <sheets>
    <sheet name="H11.11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9" i="2" l="1"/>
  <c r="H18" i="2"/>
  <c r="H17" i="2"/>
  <c r="H16" i="2"/>
  <c r="H15" i="2"/>
  <c r="H14" i="2"/>
  <c r="H13" i="2"/>
  <c r="H12" i="2"/>
  <c r="H11" i="2"/>
  <c r="H10" i="2"/>
  <c r="H9" i="2"/>
  <c r="H20" i="2" s="1"/>
  <c r="D5" i="2"/>
</calcChain>
</file>

<file path=xl/sharedStrings.xml><?xml version="1.0" encoding="utf-8"?>
<sst xmlns="http://schemas.openxmlformats.org/spreadsheetml/2006/main" count="54" uniqueCount="33">
  <si>
    <t xml:space="preserve"> CÔNG TY TNHH TRI THỨC SAO VIỆT
Địa chỉ: Số P12-18 Eastern Park, ngõ 381 phố Ngọc Trì, Thạch Bàn, Long Biên, Hà Nội 
MST: 0110940616   -   STK: 2588666868   -   Ngân hàng MB - Chi nhánh Đông Hà Nội
website: trithucsaoviet.vn      -     email: trithucsaoviet@gmail.com
SDT liên hệ: 0763256433 (Mr Đức); 0919024319 (Mr Hải)</t>
  </si>
  <si>
    <t xml:space="preserve">DANH SÁCH HỌC SINH </t>
  </si>
  <si>
    <t xml:space="preserve">Tên Lớp: </t>
  </si>
  <si>
    <t>H11.11</t>
  </si>
  <si>
    <t>sĩ số</t>
  </si>
  <si>
    <t>Giáo viên phụ trách:</t>
  </si>
  <si>
    <t xml:space="preserve">Môn học: </t>
  </si>
  <si>
    <t>Hóa</t>
  </si>
  <si>
    <t>Nguyễn Thị Hồng Thơm</t>
  </si>
  <si>
    <t>Stt</t>
  </si>
  <si>
    <t>Họ và tên học sinh</t>
  </si>
  <si>
    <t>Hiện đang học</t>
  </si>
  <si>
    <t>Ghi chú</t>
  </si>
  <si>
    <t>Số ca</t>
  </si>
  <si>
    <t>Đơn giá</t>
  </si>
  <si>
    <t>Thành tiền</t>
  </si>
  <si>
    <t>Lớp</t>
  </si>
  <si>
    <t>Trường</t>
  </si>
  <si>
    <t>Nguyễn Tuấn Anh</t>
  </si>
  <si>
    <t>11A11</t>
  </si>
  <si>
    <t>Vũ Thị Vân Hạ</t>
  </si>
  <si>
    <t>Ngô Diệu Linh</t>
  </si>
  <si>
    <t>Nguyễn Bảo Linh</t>
  </si>
  <si>
    <t>Nguyễn Hà Linh</t>
  </si>
  <si>
    <t>Lê Hoàng Minh</t>
  </si>
  <si>
    <t>Đỗ Nhật Hà Phương</t>
  </si>
  <si>
    <t>Phạm Viết Sang</t>
  </si>
  <si>
    <t>Dương Thanh Tâm</t>
  </si>
  <si>
    <t>Bùi Thảo Uyên</t>
  </si>
  <si>
    <t>Vũ Thu Xuân</t>
  </si>
  <si>
    <t>Tổng cộng</t>
  </si>
  <si>
    <t>``</t>
  </si>
  <si>
    <t>Tình từ 25/2-31/3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</si>
</sst>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8"/>
      <color theme="1"/>
      <name val="Calibri Light"/>
      <family val="1"/>
      <charset val="163"/>
      <scheme val="major"/>
    </font>
    <font>
      <sz val="14"/>
      <color theme="1"/>
      <name val="Calibri Light"/>
      <family val="1"/>
      <charset val="163"/>
      <scheme val="major"/>
    </font>
    <font>
      <sz val="11"/>
      <color theme="1"/>
      <name val="Calibri Light"/>
      <family val="1"/>
      <charset val="163"/>
      <scheme val="major"/>
    </font>
    <font>
      <b/>
      <sz val="11"/>
      <color theme="1"/>
      <name val="Calibri Light"/>
      <family val="1"/>
      <charset val="163"/>
      <scheme val="major"/>
    </font>
    <font>
      <sz val="11"/>
      <color theme="1"/>
      <name val="Calibri Light"/>
      <family val="2"/>
      <scheme val="major"/>
    </font>
    <font>
      <sz val="11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rgb="FF000000"/>
      </right>
      <top style="hair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34">
    <xf numFmtId="0" fontId="0" fillId="0" borderId="0" xfId="0"/>
    <xf numFmtId="0" fontId="1" fillId="0" borderId="0" xfId="1"/>
    <xf numFmtId="0" fontId="2" fillId="0" borderId="0" xfId="1" applyFont="1" applyAlignment="1">
      <alignment horizontal="right" wrapText="1"/>
    </xf>
    <xf numFmtId="0" fontId="3" fillId="0" borderId="0" xfId="1" applyFont="1"/>
    <xf numFmtId="0" fontId="3" fillId="0" borderId="0" xfId="1" applyFont="1" applyAlignment="1">
      <alignment horizontal="center"/>
    </xf>
    <xf numFmtId="0" fontId="4" fillId="0" borderId="0" xfId="1" applyFont="1"/>
    <xf numFmtId="0" fontId="4" fillId="0" borderId="0" xfId="1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0" fontId="1" fillId="0" borderId="2" xfId="1" applyBorder="1" applyAlignment="1">
      <alignment horizontal="center"/>
    </xf>
    <xf numFmtId="0" fontId="5" fillId="0" borderId="3" xfId="1" applyFont="1" applyBorder="1" applyAlignment="1">
      <alignment horizontal="center" vertical="center"/>
    </xf>
    <xf numFmtId="0" fontId="5" fillId="0" borderId="3" xfId="1" applyFont="1" applyBorder="1" applyAlignment="1">
      <alignment horizontal="center" vertical="center" wrapText="1"/>
    </xf>
    <xf numFmtId="0" fontId="5" fillId="0" borderId="3" xfId="1" applyFont="1" applyBorder="1" applyAlignment="1">
      <alignment horizontal="center" vertical="center"/>
    </xf>
    <xf numFmtId="0" fontId="1" fillId="0" borderId="4" xfId="1" applyBorder="1" applyAlignment="1">
      <alignment horizontal="center"/>
    </xf>
    <xf numFmtId="0" fontId="4" fillId="2" borderId="5" xfId="1" applyFont="1" applyFill="1" applyBorder="1" applyAlignment="1">
      <alignment horizontal="center" vertical="center"/>
    </xf>
    <xf numFmtId="0" fontId="6" fillId="2" borderId="5" xfId="1" applyFont="1" applyFill="1" applyBorder="1"/>
    <xf numFmtId="0" fontId="4" fillId="2" borderId="5" xfId="1" applyFont="1" applyFill="1" applyBorder="1" applyAlignment="1">
      <alignment vertical="center"/>
    </xf>
    <xf numFmtId="0" fontId="4" fillId="2" borderId="5" xfId="1" applyFont="1" applyFill="1" applyBorder="1" applyAlignment="1">
      <alignment vertical="center" wrapText="1"/>
    </xf>
    <xf numFmtId="3" fontId="1" fillId="2" borderId="5" xfId="1" applyNumberFormat="1" applyFill="1" applyBorder="1"/>
    <xf numFmtId="3" fontId="1" fillId="2" borderId="6" xfId="1" applyNumberFormat="1" applyFill="1" applyBorder="1"/>
    <xf numFmtId="0" fontId="4" fillId="2" borderId="7" xfId="1" applyFont="1" applyFill="1" applyBorder="1" applyAlignment="1">
      <alignment horizontal="center" vertical="center"/>
    </xf>
    <xf numFmtId="0" fontId="6" fillId="2" borderId="7" xfId="1" applyFont="1" applyFill="1" applyBorder="1"/>
    <xf numFmtId="0" fontId="4" fillId="2" borderId="7" xfId="1" applyFont="1" applyFill="1" applyBorder="1" applyAlignment="1">
      <alignment vertical="center"/>
    </xf>
    <xf numFmtId="3" fontId="1" fillId="2" borderId="7" xfId="1" applyNumberFormat="1" applyFill="1" applyBorder="1"/>
    <xf numFmtId="3" fontId="1" fillId="2" borderId="8" xfId="1" applyNumberFormat="1" applyFill="1" applyBorder="1"/>
    <xf numFmtId="0" fontId="4" fillId="2" borderId="9" xfId="1" applyFont="1" applyFill="1" applyBorder="1" applyAlignment="1">
      <alignment horizontal="center" vertical="center"/>
    </xf>
    <xf numFmtId="0" fontId="6" fillId="2" borderId="9" xfId="1" applyFont="1" applyFill="1" applyBorder="1"/>
    <xf numFmtId="0" fontId="4" fillId="2" borderId="9" xfId="1" applyFont="1" applyFill="1" applyBorder="1" applyAlignment="1">
      <alignment vertical="center"/>
    </xf>
    <xf numFmtId="3" fontId="1" fillId="2" borderId="9" xfId="1" applyNumberFormat="1" applyFill="1" applyBorder="1"/>
    <xf numFmtId="3" fontId="1" fillId="2" borderId="10" xfId="1" applyNumberFormat="1" applyFill="1" applyBorder="1"/>
    <xf numFmtId="0" fontId="1" fillId="0" borderId="11" xfId="1" applyBorder="1"/>
    <xf numFmtId="0" fontId="7" fillId="0" borderId="11" xfId="0" applyFont="1" applyBorder="1" applyAlignment="1">
      <alignment horizontal="left" vertical="center" wrapText="1"/>
    </xf>
    <xf numFmtId="3" fontId="1" fillId="0" borderId="11" xfId="1" applyNumberFormat="1" applyBorder="1"/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89647</xdr:colOff>
      <xdr:row>0</xdr:row>
      <xdr:rowOff>71720</xdr:rowOff>
    </xdr:from>
    <xdr:ext cx="1097804" cy="1086968"/>
    <xdr:pic>
      <xdr:nvPicPr>
        <xdr:cNvPr id="2" name="Picture 1">
          <a:extLst>
            <a:ext uri="{FF2B5EF4-FFF2-40B4-BE49-F238E27FC236}">
              <a16:creationId xmlns:a16="http://schemas.microsoft.com/office/drawing/2014/main" id="{DDD6CF38-85C7-4892-B8D2-A603818A5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" y="71720"/>
          <a:ext cx="1097804" cy="10869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2"/>
  <sheetViews>
    <sheetView tabSelected="1" workbookViewId="0">
      <selection activeCell="J20" sqref="J20"/>
    </sheetView>
  </sheetViews>
  <sheetFormatPr defaultColWidth="9.88671875" defaultRowHeight="14.4" x14ac:dyDescent="0.3"/>
  <cols>
    <col min="1" max="1" width="4.109375" style="1" customWidth="1"/>
    <col min="2" max="2" width="17.6640625" style="1" customWidth="1"/>
    <col min="3" max="3" width="6.6640625" style="1" customWidth="1"/>
    <col min="4" max="4" width="15.77734375" style="1" bestFit="1" customWidth="1"/>
    <col min="5" max="5" width="11.5546875" style="1" customWidth="1"/>
    <col min="6" max="6" width="4.88671875" style="1" customWidth="1"/>
    <col min="7" max="7" width="9.88671875" style="1"/>
    <col min="8" max="8" width="12.88671875" style="1" customWidth="1"/>
    <col min="9" max="16384" width="9.88671875" style="1"/>
  </cols>
  <sheetData>
    <row r="1" spans="1:8" ht="52.2" customHeight="1" x14ac:dyDescent="0.3">
      <c r="B1" s="2" t="s">
        <v>0</v>
      </c>
      <c r="C1" s="2"/>
      <c r="D1" s="2"/>
      <c r="E1" s="2"/>
    </row>
    <row r="2" spans="1:8" ht="18" x14ac:dyDescent="0.35">
      <c r="A2" s="3"/>
      <c r="B2" s="4" t="s">
        <v>1</v>
      </c>
      <c r="C2" s="4"/>
      <c r="D2" s="4"/>
      <c r="E2" s="4"/>
    </row>
    <row r="3" spans="1:8" ht="18" x14ac:dyDescent="0.35">
      <c r="A3" s="3"/>
      <c r="B3" s="3"/>
      <c r="C3" s="3"/>
      <c r="D3" s="3"/>
      <c r="E3" s="3"/>
    </row>
    <row r="4" spans="1:8" x14ac:dyDescent="0.3">
      <c r="A4" s="5" t="s">
        <v>2</v>
      </c>
      <c r="B4" s="5"/>
      <c r="C4" s="5" t="s">
        <v>3</v>
      </c>
      <c r="D4" s="6" t="s">
        <v>4</v>
      </c>
      <c r="E4" s="5" t="s">
        <v>5</v>
      </c>
    </row>
    <row r="5" spans="1:8" x14ac:dyDescent="0.3">
      <c r="A5" s="5" t="s">
        <v>6</v>
      </c>
      <c r="B5" s="5"/>
      <c r="C5" s="5" t="s">
        <v>7</v>
      </c>
      <c r="D5" s="7">
        <f>COUNTA($C$9:$C$41)</f>
        <v>11</v>
      </c>
      <c r="E5" s="5" t="s">
        <v>8</v>
      </c>
    </row>
    <row r="7" spans="1:8" x14ac:dyDescent="0.3">
      <c r="A7" s="8" t="s">
        <v>9</v>
      </c>
      <c r="B7" s="8" t="s">
        <v>10</v>
      </c>
      <c r="C7" s="9" t="s">
        <v>11</v>
      </c>
      <c r="D7" s="9"/>
      <c r="E7" s="8" t="s">
        <v>12</v>
      </c>
      <c r="F7" s="10" t="s">
        <v>13</v>
      </c>
      <c r="G7" s="10" t="s">
        <v>14</v>
      </c>
      <c r="H7" s="10" t="s">
        <v>15</v>
      </c>
    </row>
    <row r="8" spans="1:8" x14ac:dyDescent="0.3">
      <c r="A8" s="11"/>
      <c r="B8" s="11"/>
      <c r="C8" s="12" t="s">
        <v>16</v>
      </c>
      <c r="D8" s="13" t="s">
        <v>17</v>
      </c>
      <c r="E8" s="11"/>
      <c r="F8" s="14"/>
      <c r="G8" s="14"/>
      <c r="H8" s="14"/>
    </row>
    <row r="9" spans="1:8" x14ac:dyDescent="0.3">
      <c r="A9" s="15">
        <v>1</v>
      </c>
      <c r="B9" s="16" t="s">
        <v>18</v>
      </c>
      <c r="C9" s="17" t="s">
        <v>19</v>
      </c>
      <c r="D9" s="5" t="s">
        <v>3</v>
      </c>
      <c r="E9" s="18"/>
      <c r="F9" s="19">
        <v>10</v>
      </c>
      <c r="G9" s="19">
        <v>100000</v>
      </c>
      <c r="H9" s="20">
        <f t="shared" ref="H9:H19" si="0">G9*F9</f>
        <v>1000000</v>
      </c>
    </row>
    <row r="10" spans="1:8" x14ac:dyDescent="0.3">
      <c r="A10" s="21">
        <v>2</v>
      </c>
      <c r="B10" s="22" t="s">
        <v>20</v>
      </c>
      <c r="C10" s="23" t="s">
        <v>19</v>
      </c>
      <c r="D10" s="5" t="s">
        <v>3</v>
      </c>
      <c r="E10" s="23"/>
      <c r="F10" s="24">
        <v>9</v>
      </c>
      <c r="G10" s="24">
        <v>100000</v>
      </c>
      <c r="H10" s="25">
        <f t="shared" si="0"/>
        <v>900000</v>
      </c>
    </row>
    <row r="11" spans="1:8" x14ac:dyDescent="0.3">
      <c r="A11" s="21">
        <v>3</v>
      </c>
      <c r="B11" s="22" t="s">
        <v>21</v>
      </c>
      <c r="C11" s="23" t="s">
        <v>19</v>
      </c>
      <c r="D11" s="5" t="s">
        <v>3</v>
      </c>
      <c r="E11" s="23"/>
      <c r="F11" s="24">
        <v>10</v>
      </c>
      <c r="G11" s="24">
        <v>100000</v>
      </c>
      <c r="H11" s="25">
        <f t="shared" si="0"/>
        <v>1000000</v>
      </c>
    </row>
    <row r="12" spans="1:8" x14ac:dyDescent="0.3">
      <c r="A12" s="21">
        <v>4</v>
      </c>
      <c r="B12" s="22" t="s">
        <v>22</v>
      </c>
      <c r="C12" s="23" t="s">
        <v>19</v>
      </c>
      <c r="D12" s="5" t="s">
        <v>3</v>
      </c>
      <c r="E12" s="23"/>
      <c r="F12" s="24">
        <v>10</v>
      </c>
      <c r="G12" s="24">
        <v>100000</v>
      </c>
      <c r="H12" s="25">
        <f t="shared" si="0"/>
        <v>1000000</v>
      </c>
    </row>
    <row r="13" spans="1:8" x14ac:dyDescent="0.3">
      <c r="A13" s="21">
        <v>5</v>
      </c>
      <c r="B13" s="22" t="s">
        <v>23</v>
      </c>
      <c r="C13" s="23" t="s">
        <v>19</v>
      </c>
      <c r="D13" s="5" t="s">
        <v>3</v>
      </c>
      <c r="E13" s="23"/>
      <c r="F13" s="24">
        <v>10</v>
      </c>
      <c r="G13" s="24">
        <v>100000</v>
      </c>
      <c r="H13" s="25">
        <f t="shared" si="0"/>
        <v>1000000</v>
      </c>
    </row>
    <row r="14" spans="1:8" x14ac:dyDescent="0.3">
      <c r="A14" s="21">
        <v>6</v>
      </c>
      <c r="B14" s="22" t="s">
        <v>24</v>
      </c>
      <c r="C14" s="23" t="s">
        <v>19</v>
      </c>
      <c r="D14" s="5" t="s">
        <v>3</v>
      </c>
      <c r="E14" s="23"/>
      <c r="F14" s="24">
        <v>10</v>
      </c>
      <c r="G14" s="24">
        <v>100000</v>
      </c>
      <c r="H14" s="25">
        <f t="shared" si="0"/>
        <v>1000000</v>
      </c>
    </row>
    <row r="15" spans="1:8" x14ac:dyDescent="0.3">
      <c r="A15" s="21">
        <v>7</v>
      </c>
      <c r="B15" s="22" t="s">
        <v>25</v>
      </c>
      <c r="C15" s="23" t="s">
        <v>19</v>
      </c>
      <c r="D15" s="5" t="s">
        <v>3</v>
      </c>
      <c r="E15" s="23"/>
      <c r="F15" s="24">
        <v>9</v>
      </c>
      <c r="G15" s="24">
        <v>100000</v>
      </c>
      <c r="H15" s="25">
        <f t="shared" si="0"/>
        <v>900000</v>
      </c>
    </row>
    <row r="16" spans="1:8" x14ac:dyDescent="0.3">
      <c r="A16" s="21">
        <v>8</v>
      </c>
      <c r="B16" s="22" t="s">
        <v>26</v>
      </c>
      <c r="C16" s="23" t="s">
        <v>19</v>
      </c>
      <c r="D16" s="5" t="s">
        <v>3</v>
      </c>
      <c r="E16" s="23"/>
      <c r="F16" s="24">
        <v>10</v>
      </c>
      <c r="G16" s="24">
        <v>100000</v>
      </c>
      <c r="H16" s="25">
        <f t="shared" si="0"/>
        <v>1000000</v>
      </c>
    </row>
    <row r="17" spans="1:10" x14ac:dyDescent="0.3">
      <c r="A17" s="21">
        <v>9</v>
      </c>
      <c r="B17" s="22" t="s">
        <v>27</v>
      </c>
      <c r="C17" s="23" t="s">
        <v>19</v>
      </c>
      <c r="D17" s="5" t="s">
        <v>3</v>
      </c>
      <c r="E17" s="23"/>
      <c r="F17" s="24">
        <v>10</v>
      </c>
      <c r="G17" s="24">
        <v>100000</v>
      </c>
      <c r="H17" s="25">
        <f t="shared" si="0"/>
        <v>1000000</v>
      </c>
    </row>
    <row r="18" spans="1:10" x14ac:dyDescent="0.3">
      <c r="A18" s="21">
        <v>10</v>
      </c>
      <c r="B18" s="22" t="s">
        <v>28</v>
      </c>
      <c r="C18" s="23" t="s">
        <v>19</v>
      </c>
      <c r="D18" s="5" t="s">
        <v>3</v>
      </c>
      <c r="E18" s="23"/>
      <c r="F18" s="24">
        <v>10</v>
      </c>
      <c r="G18" s="24">
        <v>100000</v>
      </c>
      <c r="H18" s="25">
        <f t="shared" si="0"/>
        <v>1000000</v>
      </c>
    </row>
    <row r="19" spans="1:10" x14ac:dyDescent="0.3">
      <c r="A19" s="26">
        <v>11</v>
      </c>
      <c r="B19" s="27" t="s">
        <v>29</v>
      </c>
      <c r="C19" s="28" t="s">
        <v>19</v>
      </c>
      <c r="D19" s="5" t="s">
        <v>3</v>
      </c>
      <c r="E19" s="28"/>
      <c r="F19" s="29">
        <v>10</v>
      </c>
      <c r="G19" s="29">
        <v>100000</v>
      </c>
      <c r="H19" s="30">
        <f t="shared" si="0"/>
        <v>1000000</v>
      </c>
    </row>
    <row r="20" spans="1:10" x14ac:dyDescent="0.3">
      <c r="A20" s="31"/>
      <c r="B20" s="32" t="s">
        <v>30</v>
      </c>
      <c r="C20" s="31"/>
      <c r="D20" s="31"/>
      <c r="E20" s="31"/>
      <c r="F20" s="31"/>
      <c r="G20" s="31"/>
      <c r="H20" s="33">
        <f>SUM(H9:H19)</f>
        <v>10800000</v>
      </c>
      <c r="J20" s="1" t="s">
        <v>31</v>
      </c>
    </row>
    <row r="21" spans="1:10" x14ac:dyDescent="0.3">
      <c r="B21"/>
    </row>
    <row r="22" spans="1:10" x14ac:dyDescent="0.3">
      <c r="B22" s="1" t="s">
        <v>32</v>
      </c>
    </row>
  </sheetData>
  <mergeCells count="9">
    <mergeCell ref="F7:F8"/>
    <mergeCell ref="G7:G8"/>
    <mergeCell ref="H7:H8"/>
    <mergeCell ref="B1:E1"/>
    <mergeCell ref="B2:E2"/>
    <mergeCell ref="A7:A8"/>
    <mergeCell ref="B7:B8"/>
    <mergeCell ref="C7:D7"/>
    <mergeCell ref="E7:E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H11.11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2025-08-29T03:13:24Z</dcterms:created>
  <dcterms:modified xsi:type="dcterms:W3CDTF">2025-08-29T03:13:25Z</dcterms:modified>
</cp:coreProperties>
</file>