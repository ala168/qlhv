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62796FFC-C43C-4EA1-B431-63707A4E9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2.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 l="1"/>
  <c r="C12" i="2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H10" i="2"/>
  <c r="D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<sst xmlns="http://schemas.openxmlformats.org/spreadsheetml/2006/main" count="80" uniqueCount="50">
  <si>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</si>
  <si>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</si>
  <si>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</si>
  <si>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</si>
  <si>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</si>
  <si>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</si>
  <si>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</si>
  <si>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</si>
  <si>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</si>
  <si>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</si>
  <si>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</si>
  <si>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</si>
  <si>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</si>
  <si>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</si>
  <si>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</si>
  <si>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Số ca</t>
  </si>
  <si>
    <t>Đơn giá</t>
  </si>
  <si>
    <t>Thành tiền</t>
  </si>
  <si>
    <t>Nguyễn Diệu Anh</t>
  </si>
  <si>
    <t>12A5</t>
  </si>
  <si>
    <t>Thạch Bàn</t>
  </si>
  <si>
    <t>Phạm Nhật Bằng</t>
  </si>
  <si>
    <t>Lê Nguyễn Bảo Châm</t>
  </si>
  <si>
    <t>Nguyễn Anh Kiệt</t>
  </si>
  <si>
    <t>Nguyễn Hạnh Nguyên</t>
  </si>
  <si>
    <t>Đông Thị Nhung</t>
  </si>
  <si>
    <t>Đinh Thị Minh Phương</t>
  </si>
  <si>
    <t>Nguyễn Thị Kim Sa</t>
  </si>
  <si>
    <t>Lê Đức Tâm</t>
  </si>
  <si>
    <t>Phạm Anh Vũ</t>
  </si>
  <si>
    <t>V12.5</t>
  </si>
  <si>
    <t>Giảm 50 % học phí</t>
  </si>
  <si>
    <t>Cung Chí Cường</t>
  </si>
  <si>
    <t>Vương Toàn Gia Huy</t>
  </si>
  <si>
    <t>Nguyễn Trung Kiên</t>
  </si>
  <si>
    <t>Đào Nhật Linh</t>
  </si>
  <si>
    <t>Nguyễn Thục Linh</t>
  </si>
  <si>
    <t>Nguyễn Hoàng Phương</t>
  </si>
  <si>
    <t>Lê Minh Thư</t>
  </si>
  <si>
    <t>Nguyễn Minh Khôi</t>
  </si>
  <si>
    <t>Nguyễn Nhật Anh</t>
  </si>
  <si>
    <t>Lê Minh An</t>
  </si>
  <si>
    <t>12A7</t>
  </si>
  <si>
    <t>Đinh Nguyễn Thúy An</t>
  </si>
  <si>
    <t>Nguyễn Đức Hải Tùng</t>
  </si>
  <si>
    <t>Nguyễn Yến Nhi</t>
  </si>
  <si>
    <t>12A16</t>
  </si>
  <si>
    <t>Ngô Vân Anh</t>
  </si>
  <si>
    <t>Ngô Đức Minh</t>
  </si>
  <si>
    <t>Trần Thu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</si>
</sst>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Times New Roman"/>
      <family val="1"/>
      <charset val="163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43" fontId="10" fillId="0" borderId="0" applyFont="0" applyFill="0" applyBorder="0" applyAlignment="0" applyProtection="0"/>
    <xf numFmtId="0" fontId="11" fillId="0" borderId="0"/>
  </cellStyleXfs>
  <cellXfs count="35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1" fillId="2" borderId="1" xfId="3" applyFont="1" applyFill="1" applyBorder="1"/>
    <xf numFmtId="0" fontId="1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/>
    </xf>
    <xf numFmtId="0" fontId="1" fillId="2" borderId="1" xfId="3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1" fillId="2" borderId="2" xfId="3" applyFont="1" applyFill="1" applyBorder="1"/>
    <xf numFmtId="0" fontId="1" fillId="2" borderId="2" xfId="3" applyFont="1" applyFill="1" applyBorder="1" applyAlignment="1">
      <alignment horizontal="center" vertical="center"/>
    </xf>
    <xf numFmtId="0" fontId="1" fillId="2" borderId="2" xfId="3" applyFont="1" applyFill="1" applyBorder="1" applyAlignment="1">
      <alignment horizontal="center"/>
    </xf>
    <xf numFmtId="0" fontId="1" fillId="2" borderId="2" xfId="3" applyFont="1" applyFill="1" applyBorder="1" applyAlignment="1">
      <alignment vertical="center"/>
    </xf>
    <xf numFmtId="0" fontId="1" fillId="2" borderId="2" xfId="3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left" wrapText="1"/>
    </xf>
    <xf numFmtId="0" fontId="1" fillId="2" borderId="5" xfId="3" applyFont="1" applyFill="1" applyBorder="1" applyAlignment="1">
      <alignment horizontal="center" vertical="center"/>
    </xf>
    <xf numFmtId="0" fontId="1" fillId="2" borderId="5" xfId="3" applyFont="1" applyFill="1" applyBorder="1" applyAlignment="1">
      <alignment horizontal="center"/>
    </xf>
    <xf numFmtId="0" fontId="13" fillId="2" borderId="5" xfId="3" applyFont="1" applyFill="1" applyBorder="1"/>
    <xf numFmtId="0" fontId="12" fillId="0" borderId="0" xfId="3" applyFont="1"/>
  </cellXfs>
  <cellStyles count="4">
    <cellStyle name="Comma" xfId="2" builtinId="3"/>
    <cellStyle name="Normal" xfId="0" builtinId="0"/>
    <cellStyle name="Normal 2" xfId="3" xr:uid="{29B5F642-A9DC-4B85-BD59-5C69DC44962E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4"/>
  <sheetViews>
    <sheetView tabSelected="1" topLeftCell="A3" workbookViewId="0">
      <selection activeCell="E11" sqref="E11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1" t="s">
        <v>9</v>
      </c>
      <c r="C1" s="11"/>
      <c r="D1" s="11"/>
      <c r="E1" s="11"/>
    </row>
    <row r="2" spans="1:8" ht="18" x14ac:dyDescent="0.35">
      <c r="A2" s="14" t="s">
        <v>0</v>
      </c>
      <c r="B2" s="14"/>
      <c r="C2" s="14"/>
      <c r="D2" s="14"/>
      <c r="E2" s="14"/>
    </row>
    <row r="3" spans="1:8" ht="15.6" x14ac:dyDescent="0.3">
      <c r="A3" s="15" t="s">
        <v>10</v>
      </c>
      <c r="B3" s="15"/>
      <c r="C3" s="15"/>
      <c r="D3" s="15"/>
      <c r="E3" s="15"/>
    </row>
    <row r="4" spans="1:8" x14ac:dyDescent="0.25">
      <c r="A4" s="17" t="s">
        <v>11</v>
      </c>
      <c r="B4" s="17"/>
      <c r="C4" s="4" t="s">
        <v>30</v>
      </c>
      <c r="D4" s="5" t="s">
        <v>1</v>
      </c>
      <c r="E4" s="4" t="s">
        <v>2</v>
      </c>
    </row>
    <row r="5" spans="1:8" x14ac:dyDescent="0.25">
      <c r="A5" s="17" t="s">
        <v>12</v>
      </c>
      <c r="B5" s="17"/>
      <c r="C5" s="4" t="s">
        <v>14</v>
      </c>
      <c r="D5" s="6">
        <f>COUNTA($C$10:$C$60)</f>
        <v>25</v>
      </c>
      <c r="E5" s="34" t="s">
        <v>49</v>
      </c>
    </row>
    <row r="6" spans="1:8" ht="18.600000000000001" customHeight="1" x14ac:dyDescent="0.25">
      <c r="A6" s="16" t="s">
        <v>13</v>
      </c>
      <c r="B6" s="16"/>
      <c r="C6" s="16"/>
      <c r="D6" s="16"/>
      <c r="E6" s="16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2" t="s">
        <v>3</v>
      </c>
      <c r="B8" s="12" t="s">
        <v>4</v>
      </c>
      <c r="C8" s="13" t="s">
        <v>5</v>
      </c>
      <c r="D8" s="13"/>
      <c r="E8" s="12" t="s">
        <v>6</v>
      </c>
      <c r="F8" s="8" t="s">
        <v>15</v>
      </c>
      <c r="G8" s="8" t="s">
        <v>16</v>
      </c>
      <c r="H8" s="8" t="s">
        <v>17</v>
      </c>
    </row>
    <row r="9" spans="1:8" x14ac:dyDescent="0.25">
      <c r="A9" s="12"/>
      <c r="B9" s="12"/>
      <c r="C9" s="3" t="s">
        <v>7</v>
      </c>
      <c r="D9" s="2" t="s">
        <v>8</v>
      </c>
      <c r="E9" s="12"/>
      <c r="F9" s="8"/>
      <c r="G9" s="8"/>
      <c r="H9" s="8"/>
    </row>
    <row r="10" spans="1:8" ht="15.6" x14ac:dyDescent="0.25">
      <c r="A10" s="18">
        <v>1</v>
      </c>
      <c r="B10" s="19" t="s">
        <v>18</v>
      </c>
      <c r="C10" s="20" t="s">
        <v>19</v>
      </c>
      <c r="D10" s="21" t="s">
        <v>20</v>
      </c>
      <c r="E10" s="22"/>
      <c r="F10" s="9">
        <v>8</v>
      </c>
      <c r="G10" s="9">
        <v>100000</v>
      </c>
      <c r="H10" s="9">
        <f>G10*F10</f>
        <v>800000</v>
      </c>
    </row>
    <row r="11" spans="1:8" ht="15.6" x14ac:dyDescent="0.25">
      <c r="A11" s="23">
        <v>2</v>
      </c>
      <c r="B11" s="24" t="s">
        <v>21</v>
      </c>
      <c r="C11" s="25" t="str">
        <f t="shared" ref="C11:C27" si="0">C10</f>
        <v>12A5</v>
      </c>
      <c r="D11" s="26" t="s">
        <v>20</v>
      </c>
      <c r="E11" s="27"/>
      <c r="F11" s="9">
        <v>8</v>
      </c>
      <c r="G11" s="9">
        <v>100000</v>
      </c>
      <c r="H11" s="9">
        <f t="shared" ref="H11:H29" si="1">G11*F11</f>
        <v>800000</v>
      </c>
    </row>
    <row r="12" spans="1:8" ht="15.6" x14ac:dyDescent="0.25">
      <c r="A12" s="23">
        <v>3</v>
      </c>
      <c r="B12" s="24" t="s">
        <v>22</v>
      </c>
      <c r="C12" s="25" t="str">
        <f t="shared" si="0"/>
        <v>12A5</v>
      </c>
      <c r="D12" s="26" t="s">
        <v>20</v>
      </c>
      <c r="E12" s="27" t="s">
        <v>31</v>
      </c>
      <c r="F12" s="9">
        <v>4</v>
      </c>
      <c r="G12" s="9">
        <v>100000</v>
      </c>
      <c r="H12" s="9">
        <f t="shared" si="1"/>
        <v>400000</v>
      </c>
    </row>
    <row r="13" spans="1:8" ht="15.6" x14ac:dyDescent="0.25">
      <c r="A13" s="23">
        <v>4</v>
      </c>
      <c r="B13" s="24" t="s">
        <v>32</v>
      </c>
      <c r="C13" s="25" t="str">
        <f t="shared" si="0"/>
        <v>12A5</v>
      </c>
      <c r="D13" s="26" t="s">
        <v>20</v>
      </c>
      <c r="E13" s="27"/>
      <c r="F13" s="9">
        <v>8</v>
      </c>
      <c r="G13" s="9">
        <v>100000</v>
      </c>
      <c r="H13" s="9">
        <f t="shared" si="1"/>
        <v>800000</v>
      </c>
    </row>
    <row r="14" spans="1:8" ht="15.6" x14ac:dyDescent="0.25">
      <c r="A14" s="23">
        <v>5</v>
      </c>
      <c r="B14" s="24" t="s">
        <v>33</v>
      </c>
      <c r="C14" s="25" t="str">
        <f t="shared" si="0"/>
        <v>12A5</v>
      </c>
      <c r="D14" s="26" t="s">
        <v>20</v>
      </c>
      <c r="E14" s="27"/>
      <c r="F14" s="9">
        <v>8</v>
      </c>
      <c r="G14" s="9">
        <v>100000</v>
      </c>
      <c r="H14" s="9">
        <f t="shared" si="1"/>
        <v>800000</v>
      </c>
    </row>
    <row r="15" spans="1:8" ht="15.6" x14ac:dyDescent="0.25">
      <c r="A15" s="23">
        <v>6</v>
      </c>
      <c r="B15" s="24" t="s">
        <v>34</v>
      </c>
      <c r="C15" s="25" t="str">
        <f t="shared" si="0"/>
        <v>12A5</v>
      </c>
      <c r="D15" s="26" t="s">
        <v>20</v>
      </c>
      <c r="E15" s="27"/>
      <c r="F15" s="9">
        <v>8</v>
      </c>
      <c r="G15" s="9">
        <v>100000</v>
      </c>
      <c r="H15" s="9">
        <f t="shared" si="1"/>
        <v>800000</v>
      </c>
    </row>
    <row r="16" spans="1:8" ht="15.6" x14ac:dyDescent="0.25">
      <c r="A16" s="23">
        <v>7</v>
      </c>
      <c r="B16" s="24" t="s">
        <v>23</v>
      </c>
      <c r="C16" s="25" t="str">
        <f t="shared" si="0"/>
        <v>12A5</v>
      </c>
      <c r="D16" s="26" t="s">
        <v>20</v>
      </c>
      <c r="E16" s="27"/>
      <c r="F16" s="9">
        <v>8</v>
      </c>
      <c r="G16" s="9">
        <v>100000</v>
      </c>
      <c r="H16" s="9">
        <f t="shared" si="1"/>
        <v>800000</v>
      </c>
    </row>
    <row r="17" spans="1:8" ht="15.6" x14ac:dyDescent="0.25">
      <c r="A17" s="23">
        <v>8</v>
      </c>
      <c r="B17" s="24" t="s">
        <v>35</v>
      </c>
      <c r="C17" s="25" t="str">
        <f t="shared" si="0"/>
        <v>12A5</v>
      </c>
      <c r="D17" s="26" t="s">
        <v>20</v>
      </c>
      <c r="E17" s="27"/>
      <c r="F17" s="9">
        <v>8</v>
      </c>
      <c r="G17" s="9">
        <v>100000</v>
      </c>
      <c r="H17" s="9">
        <f t="shared" si="1"/>
        <v>800000</v>
      </c>
    </row>
    <row r="18" spans="1:8" ht="15.6" x14ac:dyDescent="0.25">
      <c r="A18" s="23">
        <v>9</v>
      </c>
      <c r="B18" s="24" t="s">
        <v>36</v>
      </c>
      <c r="C18" s="25" t="str">
        <f t="shared" si="0"/>
        <v>12A5</v>
      </c>
      <c r="D18" s="26" t="s">
        <v>20</v>
      </c>
      <c r="E18" s="27"/>
      <c r="F18" s="9">
        <v>8</v>
      </c>
      <c r="G18" s="9">
        <v>100000</v>
      </c>
      <c r="H18" s="9">
        <f t="shared" si="1"/>
        <v>800000</v>
      </c>
    </row>
    <row r="19" spans="1:8" ht="15.6" x14ac:dyDescent="0.25">
      <c r="A19" s="23">
        <v>10</v>
      </c>
      <c r="B19" s="24" t="s">
        <v>24</v>
      </c>
      <c r="C19" s="25" t="str">
        <f t="shared" si="0"/>
        <v>12A5</v>
      </c>
      <c r="D19" s="26" t="s">
        <v>20</v>
      </c>
      <c r="E19" s="27"/>
      <c r="F19" s="9">
        <v>8</v>
      </c>
      <c r="G19" s="9">
        <v>100000</v>
      </c>
      <c r="H19" s="9">
        <f t="shared" si="1"/>
        <v>800000</v>
      </c>
    </row>
    <row r="20" spans="1:8" ht="15.6" x14ac:dyDescent="0.25">
      <c r="A20" s="23">
        <v>11</v>
      </c>
      <c r="B20" s="24" t="s">
        <v>25</v>
      </c>
      <c r="C20" s="25" t="str">
        <f t="shared" si="0"/>
        <v>12A5</v>
      </c>
      <c r="D20" s="26" t="s">
        <v>20</v>
      </c>
      <c r="E20" s="27"/>
      <c r="F20" s="9">
        <v>8</v>
      </c>
      <c r="G20" s="9">
        <v>100000</v>
      </c>
      <c r="H20" s="9">
        <f t="shared" si="1"/>
        <v>800000</v>
      </c>
    </row>
    <row r="21" spans="1:8" ht="15.6" x14ac:dyDescent="0.25">
      <c r="A21" s="23">
        <v>12</v>
      </c>
      <c r="B21" s="24" t="s">
        <v>26</v>
      </c>
      <c r="C21" s="25" t="str">
        <f t="shared" si="0"/>
        <v>12A5</v>
      </c>
      <c r="D21" s="26" t="s">
        <v>20</v>
      </c>
      <c r="E21" s="27"/>
      <c r="F21" s="9">
        <v>8</v>
      </c>
      <c r="G21" s="9">
        <v>100000</v>
      </c>
      <c r="H21" s="9">
        <f t="shared" si="1"/>
        <v>800000</v>
      </c>
    </row>
    <row r="22" spans="1:8" ht="15.6" x14ac:dyDescent="0.25">
      <c r="A22" s="23">
        <v>13</v>
      </c>
      <c r="B22" s="24" t="s">
        <v>37</v>
      </c>
      <c r="C22" s="25" t="str">
        <f t="shared" si="0"/>
        <v>12A5</v>
      </c>
      <c r="D22" s="26" t="s">
        <v>20</v>
      </c>
      <c r="E22" s="27"/>
      <c r="F22" s="9">
        <v>8</v>
      </c>
      <c r="G22" s="9">
        <v>100000</v>
      </c>
      <c r="H22" s="9">
        <f t="shared" si="1"/>
        <v>800000</v>
      </c>
    </row>
    <row r="23" spans="1:8" ht="15.6" x14ac:dyDescent="0.25">
      <c r="A23" s="23">
        <v>14</v>
      </c>
      <c r="B23" s="28" t="s">
        <v>27</v>
      </c>
      <c r="C23" s="25" t="str">
        <f t="shared" si="0"/>
        <v>12A5</v>
      </c>
      <c r="D23" s="26" t="s">
        <v>20</v>
      </c>
      <c r="E23" s="24" t="s">
        <v>31</v>
      </c>
      <c r="F23" s="9">
        <v>4</v>
      </c>
      <c r="G23" s="9">
        <v>100000</v>
      </c>
      <c r="H23" s="9">
        <f t="shared" si="1"/>
        <v>400000</v>
      </c>
    </row>
    <row r="24" spans="1:8" ht="15.6" x14ac:dyDescent="0.25">
      <c r="A24" s="23">
        <v>15</v>
      </c>
      <c r="B24" s="24" t="s">
        <v>28</v>
      </c>
      <c r="C24" s="25" t="str">
        <f t="shared" si="0"/>
        <v>12A5</v>
      </c>
      <c r="D24" s="26" t="s">
        <v>20</v>
      </c>
      <c r="E24" s="24"/>
      <c r="F24" s="9">
        <v>8</v>
      </c>
      <c r="G24" s="9">
        <v>100000</v>
      </c>
      <c r="H24" s="9">
        <f t="shared" si="1"/>
        <v>800000</v>
      </c>
    </row>
    <row r="25" spans="1:8" ht="15.6" x14ac:dyDescent="0.25">
      <c r="A25" s="23">
        <v>16</v>
      </c>
      <c r="B25" s="24" t="s">
        <v>38</v>
      </c>
      <c r="C25" s="25" t="str">
        <f t="shared" si="0"/>
        <v>12A5</v>
      </c>
      <c r="D25" s="26" t="s">
        <v>20</v>
      </c>
      <c r="E25" s="24"/>
      <c r="F25" s="9">
        <v>8</v>
      </c>
      <c r="G25" s="9">
        <v>100000</v>
      </c>
      <c r="H25" s="9">
        <f t="shared" si="1"/>
        <v>800000</v>
      </c>
    </row>
    <row r="26" spans="1:8" ht="15.6" x14ac:dyDescent="0.25">
      <c r="A26" s="23">
        <v>17</v>
      </c>
      <c r="B26" s="24" t="s">
        <v>29</v>
      </c>
      <c r="C26" s="25" t="str">
        <f t="shared" si="0"/>
        <v>12A5</v>
      </c>
      <c r="D26" s="26" t="s">
        <v>20</v>
      </c>
      <c r="E26" s="24"/>
      <c r="F26" s="9">
        <v>8</v>
      </c>
      <c r="G26" s="9">
        <v>100000</v>
      </c>
      <c r="H26" s="9">
        <f t="shared" si="1"/>
        <v>800000</v>
      </c>
    </row>
    <row r="27" spans="1:8" ht="15.6" x14ac:dyDescent="0.25">
      <c r="A27" s="23">
        <v>18</v>
      </c>
      <c r="B27" s="24" t="s">
        <v>39</v>
      </c>
      <c r="C27" s="25" t="str">
        <f t="shared" si="0"/>
        <v>12A5</v>
      </c>
      <c r="D27" s="26" t="s">
        <v>20</v>
      </c>
      <c r="E27" s="24"/>
      <c r="F27" s="9">
        <v>8</v>
      </c>
      <c r="G27" s="9">
        <v>100000</v>
      </c>
      <c r="H27" s="9">
        <f t="shared" si="1"/>
        <v>800000</v>
      </c>
    </row>
    <row r="28" spans="1:8" ht="15.6" x14ac:dyDescent="0.25">
      <c r="A28" s="23">
        <v>19</v>
      </c>
      <c r="B28" s="24" t="s">
        <v>40</v>
      </c>
      <c r="C28" s="25" t="s">
        <v>19</v>
      </c>
      <c r="D28" s="26" t="s">
        <v>20</v>
      </c>
      <c r="E28" s="24"/>
      <c r="F28" s="9">
        <v>8</v>
      </c>
      <c r="G28" s="9">
        <v>100000</v>
      </c>
      <c r="H28" s="9">
        <f t="shared" si="1"/>
        <v>800000</v>
      </c>
    </row>
    <row r="29" spans="1:8" ht="15.6" x14ac:dyDescent="0.25">
      <c r="A29" s="23">
        <v>20</v>
      </c>
      <c r="B29" s="24" t="s">
        <v>41</v>
      </c>
      <c r="C29" s="26" t="s">
        <v>42</v>
      </c>
      <c r="D29" s="26" t="s">
        <v>20</v>
      </c>
      <c r="E29" s="24"/>
      <c r="F29" s="9">
        <v>8</v>
      </c>
      <c r="G29" s="9">
        <v>100000</v>
      </c>
      <c r="H29" s="9">
        <f t="shared" si="1"/>
        <v>800000</v>
      </c>
    </row>
    <row r="30" spans="1:8" ht="15.6" x14ac:dyDescent="0.25">
      <c r="A30" s="23">
        <v>21</v>
      </c>
      <c r="B30" s="24" t="s">
        <v>43</v>
      </c>
      <c r="C30" s="26" t="s">
        <v>42</v>
      </c>
      <c r="D30" s="26" t="s">
        <v>20</v>
      </c>
      <c r="E30" s="24"/>
      <c r="H30" s="10">
        <f>SUM(H10:H29)</f>
        <v>15200000</v>
      </c>
    </row>
    <row r="31" spans="1:8" ht="15.6" x14ac:dyDescent="0.25">
      <c r="A31" s="23">
        <v>22</v>
      </c>
      <c r="B31" s="24" t="s">
        <v>44</v>
      </c>
      <c r="C31" s="26" t="s">
        <v>42</v>
      </c>
      <c r="D31" s="26" t="s">
        <v>20</v>
      </c>
      <c r="E31" s="24"/>
    </row>
    <row r="32" spans="1:8" ht="15.6" x14ac:dyDescent="0.25">
      <c r="A32" s="23">
        <v>23</v>
      </c>
      <c r="B32" s="24" t="s">
        <v>45</v>
      </c>
      <c r="C32" s="25" t="s">
        <v>46</v>
      </c>
      <c r="D32" s="26" t="s">
        <v>20</v>
      </c>
      <c r="E32" s="24"/>
    </row>
    <row r="33" spans="1:5" ht="15.6" x14ac:dyDescent="0.25">
      <c r="A33" s="23">
        <v>24</v>
      </c>
      <c r="B33" s="24" t="s">
        <v>47</v>
      </c>
      <c r="C33" s="25" t="s">
        <v>46</v>
      </c>
      <c r="D33" s="26" t="s">
        <v>20</v>
      </c>
      <c r="E33" s="24"/>
    </row>
    <row r="34" spans="1:5" ht="15.6" x14ac:dyDescent="0.25">
      <c r="A34" s="29">
        <v>25</v>
      </c>
      <c r="B34" s="30" t="s">
        <v>48</v>
      </c>
      <c r="C34" s="31" t="s">
        <v>46</v>
      </c>
      <c r="D34" s="32" t="s">
        <v>20</v>
      </c>
      <c r="E34" s="33"/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2025-10-08T04:22:33Z</dcterms:modified>
</cp:coreProperties>
</file>