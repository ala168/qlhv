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uc harddisk\Tri thuc sao viet\van hanh day học\BM-mau bieu\BM-07 Thong bao thu tien\thang 10\20251021-3\"/>
    </mc:Choice>
  </mc:AlternateContent>
  <xr:revisionPtr revIDLastSave="0" documentId="13_ncr:1_{95310C42-EC20-499D-8D44-517C56E314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oCao202510" sheetId="1" r:id="rId1"/>
    <sheet name="CT" sheetId="6" r:id="rId2"/>
    <sheet name="TH" sheetId="3" r:id="rId3"/>
    <sheet name="Data_HS t5" sheetId="4" r:id="rId4"/>
    <sheet name="Data_HS t9" sheetId="5" r:id="rId5"/>
  </sheets>
  <definedNames>
    <definedName name="_xlnm._FilterDatabase" localSheetId="0" hidden="1">BaoCao202510!$C$1:$Y$804</definedName>
    <definedName name="_xlnm._FilterDatabase" localSheetId="1" hidden="1">CT!$A$7:$U$162</definedName>
    <definedName name="_xlnm._FilterDatabase" localSheetId="3" hidden="1">'Data_HS t5'!$A$1:$XED$412</definedName>
    <definedName name="_xlnm._FilterDatabase" localSheetId="4" hidden="1">'Data_HS t9'!$A$1:$K$468</definedName>
    <definedName name="_xlnm._FilterDatabase" localSheetId="2" hidden="1">TH!$C$6:$J$577</definedName>
    <definedName name="JR_PAGE_ANCHOR_0_1">CT!$A$1</definedName>
    <definedName name="_xlnm.Print_Area" localSheetId="4">'Data_HS t9'!#REF!</definedName>
    <definedName name="_xlnm.Print_Titles" localSheetId="0">BaoCao202510!$1:$1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16" i="1" l="1"/>
  <c r="L290" i="1" l="1"/>
  <c r="M290" i="1" s="1"/>
  <c r="N290" i="1" l="1"/>
  <c r="S290" i="1" s="1"/>
  <c r="L558" i="1"/>
  <c r="M558" i="1" s="1"/>
  <c r="N558" i="1"/>
  <c r="W558" i="1"/>
  <c r="X558" i="1"/>
  <c r="L298" i="1"/>
  <c r="M298" i="1" s="1"/>
  <c r="L299" i="1"/>
  <c r="M299" i="1" s="1"/>
  <c r="L300" i="1"/>
  <c r="L301" i="1"/>
  <c r="M301" i="1" s="1"/>
  <c r="L302" i="1"/>
  <c r="L303" i="1"/>
  <c r="L304" i="1"/>
  <c r="L305" i="1"/>
  <c r="L306" i="1"/>
  <c r="L307" i="1"/>
  <c r="M307" i="1" s="1"/>
  <c r="L308" i="1"/>
  <c r="M308" i="1" s="1"/>
  <c r="L309" i="1"/>
  <c r="M309" i="1" s="1"/>
  <c r="L310" i="1"/>
  <c r="L311" i="1"/>
  <c r="L312" i="1"/>
  <c r="L313" i="1"/>
  <c r="L314" i="1"/>
  <c r="L315" i="1"/>
  <c r="M315" i="1" s="1"/>
  <c r="L316" i="1"/>
  <c r="M316" i="1" s="1"/>
  <c r="L317" i="1"/>
  <c r="M317" i="1" s="1"/>
  <c r="L318" i="1"/>
  <c r="M318" i="1" s="1"/>
  <c r="L319" i="1"/>
  <c r="M319" i="1" s="1"/>
  <c r="L320" i="1"/>
  <c r="M320" i="1" s="1"/>
  <c r="L321" i="1"/>
  <c r="L322" i="1"/>
  <c r="M322" i="1" s="1"/>
  <c r="S558" i="1" l="1"/>
  <c r="M311" i="1"/>
  <c r="N311" i="1" s="1"/>
  <c r="S311" i="1" s="1"/>
  <c r="M302" i="1"/>
  <c r="N302" i="1" s="1"/>
  <c r="S302" i="1" s="1"/>
  <c r="M303" i="1"/>
  <c r="M310" i="1"/>
  <c r="N310" i="1" s="1"/>
  <c r="S310" i="1" s="1"/>
  <c r="M300" i="1"/>
  <c r="M321" i="1"/>
  <c r="N321" i="1" s="1"/>
  <c r="S321" i="1" s="1"/>
  <c r="M314" i="1"/>
  <c r="M306" i="1"/>
  <c r="N298" i="1"/>
  <c r="S298" i="1" s="1"/>
  <c r="M313" i="1"/>
  <c r="N313" i="1" s="1"/>
  <c r="S313" i="1" s="1"/>
  <c r="M305" i="1"/>
  <c r="N305" i="1" s="1"/>
  <c r="S305" i="1" s="1"/>
  <c r="M312" i="1"/>
  <c r="N312" i="1" s="1"/>
  <c r="S312" i="1" s="1"/>
  <c r="M304" i="1"/>
  <c r="N317" i="1"/>
  <c r="S317" i="1" s="1"/>
  <c r="N322" i="1"/>
  <c r="S322" i="1" s="1"/>
  <c r="N315" i="1"/>
  <c r="S315" i="1" s="1"/>
  <c r="N307" i="1"/>
  <c r="S307" i="1" s="1"/>
  <c r="N299" i="1"/>
  <c r="S299" i="1" s="1"/>
  <c r="N309" i="1"/>
  <c r="S309" i="1" s="1"/>
  <c r="N301" i="1"/>
  <c r="S301" i="1" s="1"/>
  <c r="N316" i="1"/>
  <c r="S316" i="1" s="1"/>
  <c r="N308" i="1"/>
  <c r="S308" i="1" s="1"/>
  <c r="N320" i="1"/>
  <c r="S320" i="1" s="1"/>
  <c r="N319" i="1"/>
  <c r="S319" i="1" s="1"/>
  <c r="N318" i="1"/>
  <c r="S318" i="1" s="1"/>
  <c r="M185" i="1"/>
  <c r="S185" i="1" s="1"/>
  <c r="N300" i="1" l="1"/>
  <c r="S300" i="1" s="1"/>
  <c r="N304" i="1"/>
  <c r="S304" i="1" s="1"/>
  <c r="N303" i="1"/>
  <c r="S303" i="1" s="1"/>
  <c r="N306" i="1"/>
  <c r="S306" i="1" s="1"/>
  <c r="N314" i="1"/>
  <c r="S314" i="1" s="1"/>
  <c r="N415" i="1"/>
  <c r="N433" i="1"/>
  <c r="L56" i="1" l="1"/>
  <c r="M56" i="1" s="1"/>
  <c r="L55" i="1"/>
  <c r="M55" i="1" s="1"/>
  <c r="N55" i="1" l="1"/>
  <c r="S55" i="1" s="1"/>
  <c r="N56" i="1"/>
  <c r="S56" i="1" s="1"/>
  <c r="L23" i="1"/>
  <c r="M23" i="1" l="1"/>
  <c r="S23" i="1" s="1"/>
  <c r="N99" i="1"/>
  <c r="I160" i="6"/>
  <c r="C804" i="1" l="1"/>
  <c r="X754" i="1"/>
  <c r="X753" i="1"/>
  <c r="X752" i="1"/>
  <c r="X751" i="1"/>
  <c r="X750" i="1"/>
  <c r="X749" i="1"/>
  <c r="X748" i="1"/>
  <c r="X747" i="1"/>
  <c r="X746" i="1"/>
  <c r="X745" i="1"/>
  <c r="X744" i="1"/>
  <c r="X743" i="1"/>
  <c r="X742" i="1"/>
  <c r="X741" i="1"/>
  <c r="X740" i="1"/>
  <c r="X739" i="1"/>
  <c r="X738" i="1"/>
  <c r="X737" i="1"/>
  <c r="X736" i="1"/>
  <c r="X735" i="1"/>
  <c r="X734" i="1"/>
  <c r="X733" i="1"/>
  <c r="X732" i="1"/>
  <c r="X731" i="1"/>
  <c r="X730" i="1"/>
  <c r="X729" i="1"/>
  <c r="X728" i="1"/>
  <c r="X727" i="1"/>
  <c r="X726" i="1"/>
  <c r="X725" i="1"/>
  <c r="X724" i="1"/>
  <c r="X723" i="1"/>
  <c r="X722" i="1"/>
  <c r="X721" i="1"/>
  <c r="X720" i="1"/>
  <c r="X719" i="1"/>
  <c r="X718" i="1"/>
  <c r="X717" i="1"/>
  <c r="X716" i="1"/>
  <c r="X715" i="1"/>
  <c r="X714" i="1"/>
  <c r="X713" i="1"/>
  <c r="X712" i="1"/>
  <c r="X711" i="1"/>
  <c r="X710" i="1"/>
  <c r="X709" i="1"/>
  <c r="X708" i="1"/>
  <c r="X707" i="1"/>
  <c r="X706" i="1"/>
  <c r="X705" i="1"/>
  <c r="X704" i="1"/>
  <c r="X703" i="1"/>
  <c r="X702" i="1"/>
  <c r="X701" i="1"/>
  <c r="X700" i="1"/>
  <c r="X699" i="1"/>
  <c r="X698" i="1"/>
  <c r="X697" i="1"/>
  <c r="X696" i="1"/>
  <c r="X695" i="1"/>
  <c r="X694" i="1"/>
  <c r="X693" i="1"/>
  <c r="X692" i="1"/>
  <c r="X691" i="1"/>
  <c r="X690" i="1"/>
  <c r="X689" i="1"/>
  <c r="X688" i="1"/>
  <c r="X687" i="1"/>
  <c r="X686" i="1"/>
  <c r="X685" i="1"/>
  <c r="X684" i="1"/>
  <c r="X683" i="1"/>
  <c r="X682" i="1"/>
  <c r="X681" i="1"/>
  <c r="X658" i="1"/>
  <c r="X657" i="1"/>
  <c r="X656" i="1"/>
  <c r="X655" i="1"/>
  <c r="X654" i="1"/>
  <c r="X653" i="1"/>
  <c r="X652" i="1"/>
  <c r="X651" i="1"/>
  <c r="X650" i="1"/>
  <c r="X649" i="1"/>
  <c r="X648" i="1"/>
  <c r="X647" i="1"/>
  <c r="X646" i="1"/>
  <c r="X645" i="1"/>
  <c r="X644" i="1"/>
  <c r="X643" i="1"/>
  <c r="X642" i="1"/>
  <c r="X641" i="1"/>
  <c r="X640" i="1"/>
  <c r="X639" i="1"/>
  <c r="X638" i="1"/>
  <c r="X637" i="1"/>
  <c r="X636" i="1"/>
  <c r="X635" i="1"/>
  <c r="X634" i="1"/>
  <c r="X633" i="1"/>
  <c r="X632" i="1"/>
  <c r="X631" i="1"/>
  <c r="X630" i="1"/>
  <c r="X629" i="1"/>
  <c r="X628" i="1"/>
  <c r="X627" i="1"/>
  <c r="X626" i="1"/>
  <c r="X625" i="1"/>
  <c r="X624" i="1"/>
  <c r="X623" i="1"/>
  <c r="X622" i="1"/>
  <c r="X621" i="1"/>
  <c r="X620" i="1"/>
  <c r="X619" i="1"/>
  <c r="X618" i="1"/>
  <c r="X617" i="1"/>
  <c r="X616" i="1"/>
  <c r="X615" i="1"/>
  <c r="X614" i="1"/>
  <c r="X613" i="1"/>
  <c r="X612" i="1"/>
  <c r="X611" i="1"/>
  <c r="X610" i="1"/>
  <c r="X609" i="1"/>
  <c r="X608" i="1"/>
  <c r="X607" i="1"/>
  <c r="X606" i="1"/>
  <c r="X605" i="1"/>
  <c r="X604" i="1"/>
  <c r="X603" i="1"/>
  <c r="X602" i="1"/>
  <c r="X601" i="1"/>
  <c r="X600" i="1"/>
  <c r="X599" i="1"/>
  <c r="X598" i="1"/>
  <c r="X597" i="1"/>
  <c r="X596" i="1"/>
  <c r="X595" i="1"/>
  <c r="X594" i="1"/>
  <c r="X593" i="1"/>
  <c r="X592" i="1"/>
  <c r="X591" i="1"/>
  <c r="X590" i="1"/>
  <c r="X589" i="1"/>
  <c r="X588" i="1"/>
  <c r="X587" i="1"/>
  <c r="X586" i="1"/>
  <c r="X585" i="1"/>
  <c r="X584" i="1"/>
  <c r="X583" i="1"/>
  <c r="X582" i="1"/>
  <c r="X581" i="1"/>
  <c r="X580" i="1"/>
  <c r="X579" i="1"/>
  <c r="X578" i="1"/>
  <c r="X577" i="1"/>
  <c r="X576" i="1"/>
  <c r="X575" i="1"/>
  <c r="X574" i="1"/>
  <c r="X573" i="1"/>
  <c r="X572" i="1"/>
  <c r="X571" i="1"/>
  <c r="X570" i="1"/>
  <c r="X569" i="1"/>
  <c r="X568" i="1"/>
  <c r="X567" i="1"/>
  <c r="X566" i="1"/>
  <c r="X565" i="1"/>
  <c r="X564" i="1"/>
  <c r="X563" i="1"/>
  <c r="X562" i="1"/>
  <c r="X561" i="1"/>
  <c r="X560" i="1"/>
  <c r="X559" i="1"/>
  <c r="X557" i="1"/>
  <c r="X394" i="1"/>
  <c r="X393" i="1"/>
  <c r="X392" i="1"/>
  <c r="X391" i="1"/>
  <c r="X390" i="1"/>
  <c r="X389" i="1"/>
  <c r="X388" i="1"/>
  <c r="X387" i="1"/>
  <c r="X386" i="1"/>
  <c r="X385" i="1"/>
  <c r="X384" i="1"/>
  <c r="X383" i="1"/>
  <c r="X382" i="1"/>
  <c r="X381" i="1"/>
  <c r="X380" i="1"/>
  <c r="X379" i="1"/>
  <c r="X378" i="1"/>
  <c r="X377" i="1"/>
  <c r="X376" i="1"/>
  <c r="X375" i="1"/>
  <c r="X374" i="1"/>
  <c r="X373" i="1"/>
  <c r="X372" i="1"/>
  <c r="X371" i="1"/>
  <c r="X370" i="1"/>
  <c r="X369" i="1"/>
  <c r="X368" i="1"/>
  <c r="X367" i="1"/>
  <c r="X366" i="1"/>
  <c r="X365" i="1"/>
  <c r="W754" i="1"/>
  <c r="W753" i="1"/>
  <c r="W752" i="1"/>
  <c r="W751" i="1"/>
  <c r="W750" i="1"/>
  <c r="W749" i="1"/>
  <c r="W748" i="1"/>
  <c r="W747" i="1"/>
  <c r="W746" i="1"/>
  <c r="W745" i="1"/>
  <c r="W744" i="1"/>
  <c r="W743" i="1"/>
  <c r="W742" i="1"/>
  <c r="W741" i="1"/>
  <c r="W740" i="1"/>
  <c r="W739" i="1"/>
  <c r="W738" i="1"/>
  <c r="W737" i="1"/>
  <c r="W736" i="1"/>
  <c r="W735" i="1"/>
  <c r="W734" i="1"/>
  <c r="W733" i="1"/>
  <c r="W732" i="1"/>
  <c r="W731" i="1"/>
  <c r="W730" i="1"/>
  <c r="W729" i="1"/>
  <c r="W728" i="1"/>
  <c r="W727" i="1"/>
  <c r="W726" i="1"/>
  <c r="W725" i="1"/>
  <c r="W724" i="1"/>
  <c r="W723" i="1"/>
  <c r="W722" i="1"/>
  <c r="W721" i="1"/>
  <c r="W720" i="1"/>
  <c r="W719" i="1"/>
  <c r="W718" i="1"/>
  <c r="W717" i="1"/>
  <c r="W716" i="1"/>
  <c r="W715" i="1"/>
  <c r="W714" i="1"/>
  <c r="W713" i="1"/>
  <c r="W712" i="1"/>
  <c r="W711" i="1"/>
  <c r="W710" i="1"/>
  <c r="W709" i="1"/>
  <c r="W708" i="1"/>
  <c r="W707" i="1"/>
  <c r="W706" i="1"/>
  <c r="W705" i="1"/>
  <c r="W704" i="1"/>
  <c r="W703" i="1"/>
  <c r="W702" i="1"/>
  <c r="W701" i="1"/>
  <c r="W700" i="1"/>
  <c r="W699" i="1"/>
  <c r="W698" i="1"/>
  <c r="W697" i="1"/>
  <c r="W696" i="1"/>
  <c r="W695" i="1"/>
  <c r="W694" i="1"/>
  <c r="W693" i="1"/>
  <c r="W692" i="1"/>
  <c r="W691" i="1"/>
  <c r="W690" i="1"/>
  <c r="W689" i="1"/>
  <c r="W688" i="1"/>
  <c r="W687" i="1"/>
  <c r="W686" i="1"/>
  <c r="W685" i="1"/>
  <c r="W684" i="1"/>
  <c r="W683" i="1"/>
  <c r="W682" i="1"/>
  <c r="W681" i="1"/>
  <c r="W658" i="1"/>
  <c r="W657" i="1"/>
  <c r="W656" i="1"/>
  <c r="W655" i="1"/>
  <c r="W654" i="1"/>
  <c r="W653" i="1"/>
  <c r="W652" i="1"/>
  <c r="W651" i="1"/>
  <c r="W650" i="1"/>
  <c r="W649" i="1"/>
  <c r="W648" i="1"/>
  <c r="W647" i="1"/>
  <c r="W646" i="1"/>
  <c r="W645" i="1"/>
  <c r="W644" i="1"/>
  <c r="W643" i="1"/>
  <c r="W642" i="1"/>
  <c r="W641" i="1"/>
  <c r="W640" i="1"/>
  <c r="W639" i="1"/>
  <c r="W638" i="1"/>
  <c r="W637" i="1"/>
  <c r="W636" i="1"/>
  <c r="W635" i="1"/>
  <c r="W634" i="1"/>
  <c r="W633" i="1"/>
  <c r="W632" i="1"/>
  <c r="W631" i="1"/>
  <c r="W630" i="1"/>
  <c r="W629" i="1"/>
  <c r="W628" i="1"/>
  <c r="W627" i="1"/>
  <c r="W626" i="1"/>
  <c r="W625" i="1"/>
  <c r="W624" i="1"/>
  <c r="W623" i="1"/>
  <c r="W622" i="1"/>
  <c r="W621" i="1"/>
  <c r="W620" i="1"/>
  <c r="W619" i="1"/>
  <c r="W618" i="1"/>
  <c r="W617" i="1"/>
  <c r="W616" i="1"/>
  <c r="W615" i="1"/>
  <c r="W614" i="1"/>
  <c r="W613" i="1"/>
  <c r="W612" i="1"/>
  <c r="W611" i="1"/>
  <c r="W610" i="1"/>
  <c r="W609" i="1"/>
  <c r="W608" i="1"/>
  <c r="W607" i="1"/>
  <c r="W606" i="1"/>
  <c r="W605" i="1"/>
  <c r="W604" i="1"/>
  <c r="W603" i="1"/>
  <c r="W602" i="1"/>
  <c r="W601" i="1"/>
  <c r="W600" i="1"/>
  <c r="W599" i="1"/>
  <c r="W598" i="1"/>
  <c r="W597" i="1"/>
  <c r="W596" i="1"/>
  <c r="W595" i="1"/>
  <c r="W594" i="1"/>
  <c r="W593" i="1"/>
  <c r="W592" i="1"/>
  <c r="W591" i="1"/>
  <c r="W590" i="1"/>
  <c r="W589" i="1"/>
  <c r="W588" i="1"/>
  <c r="W587" i="1"/>
  <c r="W586" i="1"/>
  <c r="W585" i="1"/>
  <c r="W584" i="1"/>
  <c r="W583" i="1"/>
  <c r="W582" i="1"/>
  <c r="W581" i="1"/>
  <c r="W580" i="1"/>
  <c r="W579" i="1"/>
  <c r="W578" i="1"/>
  <c r="W577" i="1"/>
  <c r="W576" i="1"/>
  <c r="W575" i="1"/>
  <c r="W574" i="1"/>
  <c r="W573" i="1"/>
  <c r="W572" i="1"/>
  <c r="W571" i="1"/>
  <c r="W570" i="1"/>
  <c r="W569" i="1"/>
  <c r="W568" i="1"/>
  <c r="W567" i="1"/>
  <c r="W566" i="1"/>
  <c r="W565" i="1"/>
  <c r="W564" i="1"/>
  <c r="W563" i="1"/>
  <c r="W562" i="1"/>
  <c r="W561" i="1"/>
  <c r="W560" i="1"/>
  <c r="W559" i="1"/>
  <c r="W557" i="1"/>
  <c r="W394" i="1"/>
  <c r="W393" i="1"/>
  <c r="W392" i="1"/>
  <c r="W391" i="1"/>
  <c r="W390" i="1"/>
  <c r="W389" i="1"/>
  <c r="W388" i="1"/>
  <c r="W387" i="1"/>
  <c r="W386" i="1"/>
  <c r="W385" i="1"/>
  <c r="W384" i="1"/>
  <c r="W383" i="1"/>
  <c r="W382" i="1"/>
  <c r="W381" i="1"/>
  <c r="W380" i="1"/>
  <c r="W379" i="1"/>
  <c r="W378" i="1"/>
  <c r="W377" i="1"/>
  <c r="W376" i="1"/>
  <c r="W375" i="1"/>
  <c r="W374" i="1"/>
  <c r="W373" i="1"/>
  <c r="W372" i="1"/>
  <c r="W371" i="1"/>
  <c r="W370" i="1"/>
  <c r="W369" i="1"/>
  <c r="W368" i="1"/>
  <c r="W367" i="1"/>
  <c r="W366" i="1"/>
  <c r="W365" i="1"/>
  <c r="X280" i="1" l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279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C466" i="5"/>
  <c r="C465" i="5"/>
  <c r="C463" i="5"/>
  <c r="B455" i="5"/>
  <c r="B413" i="4"/>
  <c r="C464" i="5" l="1"/>
  <c r="C457" i="5"/>
  <c r="C460" i="5"/>
  <c r="C459" i="5"/>
  <c r="C462" i="5" l="1"/>
  <c r="C461" i="5"/>
  <c r="L3" i="1" l="1"/>
  <c r="M3" i="1" s="1"/>
  <c r="L4" i="1"/>
  <c r="M4" i="1" s="1"/>
  <c r="N4" i="1" s="1"/>
  <c r="S4" i="1" s="1"/>
  <c r="L5" i="1"/>
  <c r="M5" i="1" s="1"/>
  <c r="N5" i="1" s="1"/>
  <c r="S5" i="1" s="1"/>
  <c r="L6" i="1"/>
  <c r="M6" i="1" s="1"/>
  <c r="N6" i="1" s="1"/>
  <c r="S6" i="1" s="1"/>
  <c r="L7" i="1"/>
  <c r="M7" i="1" s="1"/>
  <c r="N7" i="1" s="1"/>
  <c r="S7" i="1" s="1"/>
  <c r="L8" i="1"/>
  <c r="M8" i="1" s="1"/>
  <c r="N8" i="1" s="1"/>
  <c r="S8" i="1" s="1"/>
  <c r="L9" i="1"/>
  <c r="M9" i="1" s="1"/>
  <c r="N9" i="1" s="1"/>
  <c r="S9" i="1" s="1"/>
  <c r="L10" i="1"/>
  <c r="M10" i="1" s="1"/>
  <c r="N10" i="1" s="1"/>
  <c r="S10" i="1" s="1"/>
  <c r="L11" i="1"/>
  <c r="M11" i="1" s="1"/>
  <c r="L12" i="1"/>
  <c r="M12" i="1" s="1"/>
  <c r="N12" i="1" s="1"/>
  <c r="S12" i="1" s="1"/>
  <c r="L13" i="1"/>
  <c r="M13" i="1" s="1"/>
  <c r="L14" i="1"/>
  <c r="M14" i="1" s="1"/>
  <c r="N14" i="1" s="1"/>
  <c r="S14" i="1" s="1"/>
  <c r="L15" i="1"/>
  <c r="M15" i="1" s="1"/>
  <c r="N15" i="1" s="1"/>
  <c r="S15" i="1" s="1"/>
  <c r="L16" i="1"/>
  <c r="M16" i="1" s="1"/>
  <c r="L17" i="1"/>
  <c r="M17" i="1" s="1"/>
  <c r="L18" i="1"/>
  <c r="M18" i="1" s="1"/>
  <c r="S18" i="1" s="1"/>
  <c r="L19" i="1"/>
  <c r="M19" i="1" s="1"/>
  <c r="L20" i="1"/>
  <c r="M20" i="1" s="1"/>
  <c r="N20" i="1" s="1"/>
  <c r="S20" i="1" s="1"/>
  <c r="L21" i="1"/>
  <c r="M21" i="1" s="1"/>
  <c r="N21" i="1" s="1"/>
  <c r="S21" i="1" s="1"/>
  <c r="L22" i="1"/>
  <c r="M22" i="1" s="1"/>
  <c r="L24" i="1"/>
  <c r="M24" i="1" s="1"/>
  <c r="N24" i="1" s="1"/>
  <c r="S24" i="1" s="1"/>
  <c r="L25" i="1"/>
  <c r="M25" i="1" s="1"/>
  <c r="N25" i="1" s="1"/>
  <c r="S25" i="1" s="1"/>
  <c r="L26" i="1"/>
  <c r="M26" i="1" s="1"/>
  <c r="N26" i="1" s="1"/>
  <c r="S26" i="1" s="1"/>
  <c r="L27" i="1"/>
  <c r="M27" i="1" s="1"/>
  <c r="N27" i="1" s="1"/>
  <c r="S27" i="1" s="1"/>
  <c r="L28" i="1"/>
  <c r="M28" i="1" s="1"/>
  <c r="N28" i="1" s="1"/>
  <c r="S28" i="1" s="1"/>
  <c r="L29" i="1"/>
  <c r="M29" i="1" s="1"/>
  <c r="L30" i="1"/>
  <c r="M30" i="1" s="1"/>
  <c r="N30" i="1" s="1"/>
  <c r="S30" i="1" s="1"/>
  <c r="L31" i="1"/>
  <c r="M31" i="1" s="1"/>
  <c r="L32" i="1"/>
  <c r="M32" i="1" s="1"/>
  <c r="L33" i="1"/>
  <c r="M33" i="1" s="1"/>
  <c r="L34" i="1"/>
  <c r="M34" i="1" s="1"/>
  <c r="L35" i="1"/>
  <c r="M35" i="1" s="1"/>
  <c r="N35" i="1" s="1"/>
  <c r="S35" i="1" s="1"/>
  <c r="L36" i="1"/>
  <c r="M36" i="1" s="1"/>
  <c r="L37" i="1"/>
  <c r="M37" i="1" s="1"/>
  <c r="N37" i="1" s="1"/>
  <c r="S37" i="1" s="1"/>
  <c r="L38" i="1"/>
  <c r="M38" i="1" s="1"/>
  <c r="N38" i="1" s="1"/>
  <c r="S38" i="1" s="1"/>
  <c r="L39" i="1"/>
  <c r="M39" i="1" s="1"/>
  <c r="N39" i="1" s="1"/>
  <c r="S39" i="1" s="1"/>
  <c r="L40" i="1"/>
  <c r="M40" i="1" s="1"/>
  <c r="N40" i="1" s="1"/>
  <c r="S40" i="1" s="1"/>
  <c r="L41" i="1"/>
  <c r="M41" i="1" s="1"/>
  <c r="L42" i="1"/>
  <c r="M42" i="1" s="1"/>
  <c r="L43" i="1"/>
  <c r="M43" i="1" s="1"/>
  <c r="N43" i="1" s="1"/>
  <c r="S43" i="1" s="1"/>
  <c r="L44" i="1"/>
  <c r="M44" i="1" s="1"/>
  <c r="L45" i="1"/>
  <c r="M45" i="1" s="1"/>
  <c r="N45" i="1" s="1"/>
  <c r="S45" i="1" s="1"/>
  <c r="L46" i="1"/>
  <c r="M46" i="1" s="1"/>
  <c r="N46" i="1" s="1"/>
  <c r="S46" i="1" s="1"/>
  <c r="M47" i="1"/>
  <c r="S47" i="1" s="1"/>
  <c r="L48" i="1"/>
  <c r="M48" i="1" s="1"/>
  <c r="S48" i="1" s="1"/>
  <c r="L49" i="1"/>
  <c r="M49" i="1" s="1"/>
  <c r="L50" i="1"/>
  <c r="M50" i="1" s="1"/>
  <c r="N50" i="1" s="1"/>
  <c r="S50" i="1" s="1"/>
  <c r="L51" i="1"/>
  <c r="M51" i="1" s="1"/>
  <c r="N51" i="1" s="1"/>
  <c r="S51" i="1" s="1"/>
  <c r="L52" i="1"/>
  <c r="M52" i="1" s="1"/>
  <c r="N52" i="1" s="1"/>
  <c r="S52" i="1" s="1"/>
  <c r="L53" i="1"/>
  <c r="M53" i="1" s="1"/>
  <c r="L54" i="1"/>
  <c r="M54" i="1" s="1"/>
  <c r="N54" i="1" s="1"/>
  <c r="S54" i="1" s="1"/>
  <c r="L57" i="1"/>
  <c r="M57" i="1" s="1"/>
  <c r="N57" i="1" s="1"/>
  <c r="S57" i="1" s="1"/>
  <c r="L58" i="1"/>
  <c r="M58" i="1" s="1"/>
  <c r="N58" i="1" s="1"/>
  <c r="S58" i="1" s="1"/>
  <c r="L59" i="1"/>
  <c r="M59" i="1" s="1"/>
  <c r="N59" i="1" s="1"/>
  <c r="S59" i="1" s="1"/>
  <c r="L60" i="1"/>
  <c r="M60" i="1" s="1"/>
  <c r="N60" i="1" s="1"/>
  <c r="S60" i="1" s="1"/>
  <c r="L61" i="1"/>
  <c r="M61" i="1" s="1"/>
  <c r="N61" i="1" s="1"/>
  <c r="S61" i="1" s="1"/>
  <c r="L62" i="1"/>
  <c r="M62" i="1" s="1"/>
  <c r="N62" i="1" s="1"/>
  <c r="S62" i="1" s="1"/>
  <c r="L63" i="1"/>
  <c r="M63" i="1" s="1"/>
  <c r="L64" i="1"/>
  <c r="M64" i="1" s="1"/>
  <c r="N64" i="1" s="1"/>
  <c r="S64" i="1" s="1"/>
  <c r="L65" i="1"/>
  <c r="M65" i="1" s="1"/>
  <c r="N65" i="1" s="1"/>
  <c r="S65" i="1" s="1"/>
  <c r="L66" i="1"/>
  <c r="M66" i="1" s="1"/>
  <c r="N66" i="1" s="1"/>
  <c r="S66" i="1" s="1"/>
  <c r="L67" i="1"/>
  <c r="M67" i="1" s="1"/>
  <c r="L68" i="1"/>
  <c r="M68" i="1" s="1"/>
  <c r="N68" i="1" s="1"/>
  <c r="S68" i="1" s="1"/>
  <c r="L69" i="1"/>
  <c r="M69" i="1" s="1"/>
  <c r="L70" i="1"/>
  <c r="M70" i="1" s="1"/>
  <c r="N70" i="1" s="1"/>
  <c r="S70" i="1" s="1"/>
  <c r="L71" i="1"/>
  <c r="M71" i="1" s="1"/>
  <c r="L72" i="1"/>
  <c r="M72" i="1" s="1"/>
  <c r="N72" i="1" s="1"/>
  <c r="S72" i="1" s="1"/>
  <c r="L73" i="1"/>
  <c r="M73" i="1" s="1"/>
  <c r="N73" i="1" s="1"/>
  <c r="S73" i="1" s="1"/>
  <c r="L74" i="1"/>
  <c r="M74" i="1" s="1"/>
  <c r="L75" i="1"/>
  <c r="M75" i="1" s="1"/>
  <c r="L76" i="1"/>
  <c r="M76" i="1" s="1"/>
  <c r="S76" i="1" s="1"/>
  <c r="L77" i="1"/>
  <c r="M77" i="1" s="1"/>
  <c r="N77" i="1" s="1"/>
  <c r="S77" i="1" s="1"/>
  <c r="L78" i="1"/>
  <c r="M78" i="1" s="1"/>
  <c r="N78" i="1" s="1"/>
  <c r="S78" i="1" s="1"/>
  <c r="L79" i="1"/>
  <c r="M79" i="1" s="1"/>
  <c r="L80" i="1"/>
  <c r="M80" i="1" s="1"/>
  <c r="N80" i="1" s="1"/>
  <c r="S80" i="1" s="1"/>
  <c r="L81" i="1"/>
  <c r="M81" i="1" s="1"/>
  <c r="N81" i="1" s="1"/>
  <c r="S81" i="1" s="1"/>
  <c r="L82" i="1"/>
  <c r="M82" i="1" s="1"/>
  <c r="L83" i="1"/>
  <c r="M83" i="1" s="1"/>
  <c r="L84" i="1"/>
  <c r="M84" i="1" s="1"/>
  <c r="N84" i="1" s="1"/>
  <c r="S84" i="1" s="1"/>
  <c r="L85" i="1"/>
  <c r="M85" i="1" s="1"/>
  <c r="N85" i="1" s="1"/>
  <c r="S85" i="1" s="1"/>
  <c r="L86" i="1"/>
  <c r="M86" i="1" s="1"/>
  <c r="N86" i="1" s="1"/>
  <c r="S86" i="1" s="1"/>
  <c r="L87" i="1"/>
  <c r="M87" i="1" s="1"/>
  <c r="N87" i="1" s="1"/>
  <c r="S87" i="1" s="1"/>
  <c r="L88" i="1"/>
  <c r="M88" i="1" s="1"/>
  <c r="N88" i="1" s="1"/>
  <c r="S88" i="1" s="1"/>
  <c r="L89" i="1"/>
  <c r="M89" i="1" s="1"/>
  <c r="L90" i="1"/>
  <c r="M90" i="1" s="1"/>
  <c r="L91" i="1"/>
  <c r="M91" i="1" s="1"/>
  <c r="L92" i="1"/>
  <c r="M92" i="1" s="1"/>
  <c r="N92" i="1" s="1"/>
  <c r="S92" i="1" s="1"/>
  <c r="L93" i="1"/>
  <c r="M93" i="1" s="1"/>
  <c r="N93" i="1" s="1"/>
  <c r="S93" i="1" s="1"/>
  <c r="L94" i="1"/>
  <c r="M94" i="1" s="1"/>
  <c r="N94" i="1" s="1"/>
  <c r="S94" i="1" s="1"/>
  <c r="L95" i="1"/>
  <c r="M95" i="1" s="1"/>
  <c r="N95" i="1" s="1"/>
  <c r="S95" i="1" s="1"/>
  <c r="L96" i="1"/>
  <c r="M96" i="1" s="1"/>
  <c r="N96" i="1" s="1"/>
  <c r="S96" i="1" s="1"/>
  <c r="L97" i="1"/>
  <c r="M97" i="1" s="1"/>
  <c r="N97" i="1" s="1"/>
  <c r="S97" i="1" s="1"/>
  <c r="L98" i="1"/>
  <c r="M98" i="1" s="1"/>
  <c r="N98" i="1" s="1"/>
  <c r="S98" i="1" s="1"/>
  <c r="L99" i="1"/>
  <c r="M99" i="1" s="1"/>
  <c r="S99" i="1" s="1"/>
  <c r="L100" i="1"/>
  <c r="M100" i="1" s="1"/>
  <c r="N100" i="1" s="1"/>
  <c r="S100" i="1" s="1"/>
  <c r="L101" i="1"/>
  <c r="M101" i="1" s="1"/>
  <c r="N101" i="1" s="1"/>
  <c r="S101" i="1" s="1"/>
  <c r="L102" i="1"/>
  <c r="M102" i="1" s="1"/>
  <c r="N102" i="1" s="1"/>
  <c r="S102" i="1" s="1"/>
  <c r="L103" i="1"/>
  <c r="M103" i="1" s="1"/>
  <c r="N103" i="1" s="1"/>
  <c r="S103" i="1" s="1"/>
  <c r="L104" i="1"/>
  <c r="M104" i="1" s="1"/>
  <c r="N104" i="1" s="1"/>
  <c r="S104" i="1" s="1"/>
  <c r="L105" i="1"/>
  <c r="M105" i="1" s="1"/>
  <c r="N105" i="1" s="1"/>
  <c r="S105" i="1" s="1"/>
  <c r="L106" i="1"/>
  <c r="M106" i="1" s="1"/>
  <c r="N106" i="1" s="1"/>
  <c r="S106" i="1" s="1"/>
  <c r="L107" i="1"/>
  <c r="M107" i="1" s="1"/>
  <c r="N107" i="1" s="1"/>
  <c r="S107" i="1" s="1"/>
  <c r="L108" i="1"/>
  <c r="M108" i="1" s="1"/>
  <c r="N108" i="1" s="1"/>
  <c r="S108" i="1" s="1"/>
  <c r="L109" i="1"/>
  <c r="M109" i="1" s="1"/>
  <c r="N109" i="1" s="1"/>
  <c r="S109" i="1" s="1"/>
  <c r="L110" i="1"/>
  <c r="M110" i="1" s="1"/>
  <c r="N110" i="1" s="1"/>
  <c r="S110" i="1" s="1"/>
  <c r="L111" i="1"/>
  <c r="M111" i="1" s="1"/>
  <c r="L112" i="1"/>
  <c r="M112" i="1" s="1"/>
  <c r="N112" i="1" s="1"/>
  <c r="S112" i="1" s="1"/>
  <c r="L113" i="1"/>
  <c r="M113" i="1" s="1"/>
  <c r="N113" i="1" s="1"/>
  <c r="S113" i="1" s="1"/>
  <c r="L114" i="1"/>
  <c r="M114" i="1" s="1"/>
  <c r="N114" i="1" s="1"/>
  <c r="S114" i="1" s="1"/>
  <c r="L115" i="1"/>
  <c r="M115" i="1" s="1"/>
  <c r="N115" i="1" s="1"/>
  <c r="S115" i="1" s="1"/>
  <c r="L116" i="1"/>
  <c r="M116" i="1" s="1"/>
  <c r="N116" i="1" s="1"/>
  <c r="S116" i="1" s="1"/>
  <c r="L117" i="1"/>
  <c r="M117" i="1" s="1"/>
  <c r="N117" i="1" s="1"/>
  <c r="S117" i="1" s="1"/>
  <c r="L118" i="1"/>
  <c r="M118" i="1" s="1"/>
  <c r="N118" i="1" s="1"/>
  <c r="S118" i="1" s="1"/>
  <c r="L119" i="1"/>
  <c r="M119" i="1" s="1"/>
  <c r="L120" i="1"/>
  <c r="M120" i="1" s="1"/>
  <c r="N120" i="1" s="1"/>
  <c r="S120" i="1" s="1"/>
  <c r="L121" i="1"/>
  <c r="M121" i="1" s="1"/>
  <c r="N121" i="1" s="1"/>
  <c r="S121" i="1" s="1"/>
  <c r="L122" i="1"/>
  <c r="M122" i="1" s="1"/>
  <c r="L123" i="1"/>
  <c r="M123" i="1" s="1"/>
  <c r="N123" i="1" s="1"/>
  <c r="S123" i="1" s="1"/>
  <c r="L124" i="1"/>
  <c r="M124" i="1" s="1"/>
  <c r="N124" i="1" s="1"/>
  <c r="S124" i="1" s="1"/>
  <c r="L125" i="1"/>
  <c r="M125" i="1" s="1"/>
  <c r="N125" i="1" s="1"/>
  <c r="S125" i="1" s="1"/>
  <c r="L126" i="1"/>
  <c r="M126" i="1" s="1"/>
  <c r="N126" i="1" s="1"/>
  <c r="S126" i="1" s="1"/>
  <c r="L127" i="1"/>
  <c r="M127" i="1" s="1"/>
  <c r="L128" i="1"/>
  <c r="M128" i="1" s="1"/>
  <c r="L129" i="1"/>
  <c r="M129" i="1" s="1"/>
  <c r="N129" i="1" s="1"/>
  <c r="S129" i="1" s="1"/>
  <c r="L130" i="1"/>
  <c r="M130" i="1" s="1"/>
  <c r="N130" i="1" s="1"/>
  <c r="S130" i="1" s="1"/>
  <c r="L131" i="1"/>
  <c r="M131" i="1" s="1"/>
  <c r="N131" i="1" s="1"/>
  <c r="S131" i="1" s="1"/>
  <c r="L132" i="1"/>
  <c r="M132" i="1" s="1"/>
  <c r="N132" i="1" s="1"/>
  <c r="S132" i="1" s="1"/>
  <c r="L133" i="1"/>
  <c r="M133" i="1" s="1"/>
  <c r="L134" i="1"/>
  <c r="M134" i="1" s="1"/>
  <c r="L135" i="1"/>
  <c r="M135" i="1" s="1"/>
  <c r="L136" i="1"/>
  <c r="M136" i="1" s="1"/>
  <c r="L137" i="1"/>
  <c r="M137" i="1" s="1"/>
  <c r="N137" i="1" s="1"/>
  <c r="S137" i="1" s="1"/>
  <c r="L138" i="1"/>
  <c r="M138" i="1" s="1"/>
  <c r="L139" i="1"/>
  <c r="M139" i="1" s="1"/>
  <c r="L140" i="1"/>
  <c r="M140" i="1" s="1"/>
  <c r="N140" i="1" s="1"/>
  <c r="S140" i="1" s="1"/>
  <c r="L141" i="1"/>
  <c r="M141" i="1" s="1"/>
  <c r="N141" i="1" s="1"/>
  <c r="S141" i="1" s="1"/>
  <c r="L142" i="1"/>
  <c r="M142" i="1" s="1"/>
  <c r="N142" i="1" s="1"/>
  <c r="S142" i="1" s="1"/>
  <c r="L143" i="1"/>
  <c r="M143" i="1" s="1"/>
  <c r="L144" i="1"/>
  <c r="M144" i="1" s="1"/>
  <c r="N144" i="1" s="1"/>
  <c r="S144" i="1" s="1"/>
  <c r="L145" i="1"/>
  <c r="M145" i="1" s="1"/>
  <c r="N145" i="1" s="1"/>
  <c r="S145" i="1" s="1"/>
  <c r="L146" i="1"/>
  <c r="M146" i="1" s="1"/>
  <c r="S146" i="1" s="1"/>
  <c r="L147" i="1"/>
  <c r="M147" i="1" s="1"/>
  <c r="L148" i="1"/>
  <c r="M148" i="1" s="1"/>
  <c r="L149" i="1"/>
  <c r="M149" i="1" s="1"/>
  <c r="N149" i="1" s="1"/>
  <c r="S149" i="1" s="1"/>
  <c r="L150" i="1"/>
  <c r="M150" i="1" s="1"/>
  <c r="N150" i="1" s="1"/>
  <c r="S150" i="1" s="1"/>
  <c r="L151" i="1"/>
  <c r="M151" i="1" s="1"/>
  <c r="L152" i="1"/>
  <c r="M152" i="1" s="1"/>
  <c r="N152" i="1" s="1"/>
  <c r="S152" i="1" s="1"/>
  <c r="L153" i="1"/>
  <c r="M153" i="1" s="1"/>
  <c r="L154" i="1"/>
  <c r="M154" i="1" s="1"/>
  <c r="N154" i="1" s="1"/>
  <c r="S154" i="1" s="1"/>
  <c r="L155" i="1"/>
  <c r="M155" i="1" s="1"/>
  <c r="L156" i="1"/>
  <c r="M156" i="1" s="1"/>
  <c r="N156" i="1" s="1"/>
  <c r="S156" i="1" s="1"/>
  <c r="L157" i="1"/>
  <c r="M157" i="1" s="1"/>
  <c r="N157" i="1" s="1"/>
  <c r="S157" i="1" s="1"/>
  <c r="L158" i="1"/>
  <c r="M158" i="1" s="1"/>
  <c r="N158" i="1" s="1"/>
  <c r="S158" i="1" s="1"/>
  <c r="L159" i="1"/>
  <c r="M159" i="1" s="1"/>
  <c r="N159" i="1" s="1"/>
  <c r="S159" i="1" s="1"/>
  <c r="L160" i="1"/>
  <c r="M160" i="1" s="1"/>
  <c r="L161" i="1"/>
  <c r="M161" i="1" s="1"/>
  <c r="N161" i="1" s="1"/>
  <c r="S161" i="1" s="1"/>
  <c r="L162" i="1"/>
  <c r="M162" i="1" s="1"/>
  <c r="N162" i="1" s="1"/>
  <c r="S162" i="1" s="1"/>
  <c r="L163" i="1"/>
  <c r="M163" i="1" s="1"/>
  <c r="N163" i="1" s="1"/>
  <c r="S163" i="1" s="1"/>
  <c r="L164" i="1"/>
  <c r="M164" i="1" s="1"/>
  <c r="N164" i="1" s="1"/>
  <c r="S164" i="1" s="1"/>
  <c r="L165" i="1"/>
  <c r="M165" i="1" s="1"/>
  <c r="N165" i="1" s="1"/>
  <c r="S165" i="1" s="1"/>
  <c r="L166" i="1"/>
  <c r="M166" i="1" s="1"/>
  <c r="N166" i="1" s="1"/>
  <c r="S166" i="1" s="1"/>
  <c r="L167" i="1"/>
  <c r="M167" i="1" s="1"/>
  <c r="N167" i="1" s="1"/>
  <c r="S167" i="1" s="1"/>
  <c r="L168" i="1"/>
  <c r="M168" i="1" s="1"/>
  <c r="N168" i="1" s="1"/>
  <c r="S168" i="1" s="1"/>
  <c r="L169" i="1"/>
  <c r="M169" i="1" s="1"/>
  <c r="N169" i="1" s="1"/>
  <c r="S169" i="1" s="1"/>
  <c r="L170" i="1"/>
  <c r="M170" i="1" s="1"/>
  <c r="N170" i="1" s="1"/>
  <c r="S170" i="1" s="1"/>
  <c r="L171" i="1"/>
  <c r="M171" i="1" s="1"/>
  <c r="N171" i="1" s="1"/>
  <c r="S171" i="1" s="1"/>
  <c r="L172" i="1"/>
  <c r="M172" i="1" s="1"/>
  <c r="N172" i="1" s="1"/>
  <c r="S172" i="1" s="1"/>
  <c r="L173" i="1"/>
  <c r="M173" i="1" s="1"/>
  <c r="N173" i="1" s="1"/>
  <c r="S173" i="1" s="1"/>
  <c r="L174" i="1"/>
  <c r="M174" i="1" s="1"/>
  <c r="N174" i="1" s="1"/>
  <c r="S174" i="1" s="1"/>
  <c r="L175" i="1"/>
  <c r="M175" i="1" s="1"/>
  <c r="N175" i="1" s="1"/>
  <c r="S175" i="1" s="1"/>
  <c r="L176" i="1"/>
  <c r="M176" i="1" s="1"/>
  <c r="N176" i="1" s="1"/>
  <c r="S176" i="1" s="1"/>
  <c r="L177" i="1"/>
  <c r="M177" i="1" s="1"/>
  <c r="N177" i="1" s="1"/>
  <c r="S177" i="1" s="1"/>
  <c r="L178" i="1"/>
  <c r="M178" i="1" s="1"/>
  <c r="N178" i="1" s="1"/>
  <c r="S178" i="1" s="1"/>
  <c r="L179" i="1"/>
  <c r="M179" i="1" s="1"/>
  <c r="N179" i="1" s="1"/>
  <c r="S179" i="1" s="1"/>
  <c r="L180" i="1"/>
  <c r="M180" i="1" s="1"/>
  <c r="N180" i="1" s="1"/>
  <c r="S180" i="1" s="1"/>
  <c r="L181" i="1"/>
  <c r="M181" i="1" s="1"/>
  <c r="N181" i="1" s="1"/>
  <c r="S181" i="1" s="1"/>
  <c r="L182" i="1"/>
  <c r="M182" i="1" s="1"/>
  <c r="N182" i="1" s="1"/>
  <c r="S182" i="1" s="1"/>
  <c r="L183" i="1"/>
  <c r="M183" i="1" s="1"/>
  <c r="L184" i="1"/>
  <c r="M184" i="1" s="1"/>
  <c r="N184" i="1" s="1"/>
  <c r="S184" i="1" s="1"/>
  <c r="L186" i="1"/>
  <c r="M186" i="1" s="1"/>
  <c r="S186" i="1" s="1"/>
  <c r="L187" i="1"/>
  <c r="M187" i="1" s="1"/>
  <c r="N187" i="1" s="1"/>
  <c r="S187" i="1" s="1"/>
  <c r="L188" i="1"/>
  <c r="M188" i="1" s="1"/>
  <c r="N188" i="1" s="1"/>
  <c r="S188" i="1" s="1"/>
  <c r="L189" i="1"/>
  <c r="M189" i="1" s="1"/>
  <c r="N189" i="1" s="1"/>
  <c r="S189" i="1" s="1"/>
  <c r="L190" i="1"/>
  <c r="M190" i="1" s="1"/>
  <c r="S190" i="1" s="1"/>
  <c r="L191" i="1"/>
  <c r="M191" i="1" s="1"/>
  <c r="N191" i="1" s="1"/>
  <c r="S191" i="1" s="1"/>
  <c r="L192" i="1"/>
  <c r="M192" i="1" s="1"/>
  <c r="L193" i="1"/>
  <c r="M193" i="1" s="1"/>
  <c r="L194" i="1"/>
  <c r="M194" i="1" s="1"/>
  <c r="N194" i="1" s="1"/>
  <c r="S194" i="1" s="1"/>
  <c r="L195" i="1"/>
  <c r="M195" i="1" s="1"/>
  <c r="N195" i="1" s="1"/>
  <c r="S195" i="1" s="1"/>
  <c r="L196" i="1"/>
  <c r="M196" i="1" s="1"/>
  <c r="N196" i="1" s="1"/>
  <c r="S196" i="1" s="1"/>
  <c r="L197" i="1"/>
  <c r="M197" i="1" s="1"/>
  <c r="N197" i="1" s="1"/>
  <c r="S197" i="1" s="1"/>
  <c r="L198" i="1"/>
  <c r="M198" i="1" s="1"/>
  <c r="N198" i="1" s="1"/>
  <c r="S198" i="1" s="1"/>
  <c r="L199" i="1"/>
  <c r="M199" i="1" s="1"/>
  <c r="N199" i="1" s="1"/>
  <c r="S199" i="1" s="1"/>
  <c r="L200" i="1"/>
  <c r="M200" i="1" s="1"/>
  <c r="N200" i="1" s="1"/>
  <c r="S200" i="1" s="1"/>
  <c r="L201" i="1"/>
  <c r="M201" i="1" s="1"/>
  <c r="S201" i="1" s="1"/>
  <c r="L202" i="1"/>
  <c r="M202" i="1" s="1"/>
  <c r="N202" i="1" s="1"/>
  <c r="S202" i="1" s="1"/>
  <c r="L203" i="1"/>
  <c r="M203" i="1" s="1"/>
  <c r="N203" i="1" s="1"/>
  <c r="S203" i="1" s="1"/>
  <c r="L204" i="1"/>
  <c r="M204" i="1" s="1"/>
  <c r="S204" i="1" s="1"/>
  <c r="L205" i="1"/>
  <c r="M205" i="1" s="1"/>
  <c r="N205" i="1" s="1"/>
  <c r="S205" i="1" s="1"/>
  <c r="L206" i="1"/>
  <c r="M206" i="1" s="1"/>
  <c r="N206" i="1" s="1"/>
  <c r="S206" i="1" s="1"/>
  <c r="L207" i="1"/>
  <c r="M207" i="1" s="1"/>
  <c r="L208" i="1"/>
  <c r="M208" i="1" s="1"/>
  <c r="N208" i="1" s="1"/>
  <c r="S208" i="1" s="1"/>
  <c r="L209" i="1"/>
  <c r="M209" i="1" s="1"/>
  <c r="L210" i="1"/>
  <c r="M210" i="1" s="1"/>
  <c r="L211" i="1"/>
  <c r="M211" i="1" s="1"/>
  <c r="N211" i="1" s="1"/>
  <c r="S211" i="1" s="1"/>
  <c r="L212" i="1"/>
  <c r="M212" i="1" s="1"/>
  <c r="N212" i="1" s="1"/>
  <c r="S212" i="1" s="1"/>
  <c r="L213" i="1"/>
  <c r="M213" i="1" s="1"/>
  <c r="L214" i="1"/>
  <c r="M214" i="1" s="1"/>
  <c r="L215" i="1"/>
  <c r="M215" i="1" s="1"/>
  <c r="L216" i="1"/>
  <c r="M216" i="1" s="1"/>
  <c r="N216" i="1" s="1"/>
  <c r="S216" i="1" s="1"/>
  <c r="L217" i="1"/>
  <c r="M217" i="1" s="1"/>
  <c r="L218" i="1"/>
  <c r="M218" i="1" s="1"/>
  <c r="L219" i="1"/>
  <c r="M219" i="1" s="1"/>
  <c r="S219" i="1" s="1"/>
  <c r="L220" i="1"/>
  <c r="M220" i="1" s="1"/>
  <c r="L221" i="1"/>
  <c r="M221" i="1" s="1"/>
  <c r="L222" i="1"/>
  <c r="M222" i="1" s="1"/>
  <c r="N222" i="1" s="1"/>
  <c r="S222" i="1" s="1"/>
  <c r="L223" i="1"/>
  <c r="M223" i="1" s="1"/>
  <c r="N223" i="1" s="1"/>
  <c r="S223" i="1" s="1"/>
  <c r="L224" i="1"/>
  <c r="M224" i="1" s="1"/>
  <c r="L225" i="1"/>
  <c r="M225" i="1" s="1"/>
  <c r="N225" i="1" s="1"/>
  <c r="S225" i="1" s="1"/>
  <c r="L226" i="1"/>
  <c r="M226" i="1" s="1"/>
  <c r="N226" i="1" s="1"/>
  <c r="S226" i="1" s="1"/>
  <c r="L227" i="1"/>
  <c r="M227" i="1" s="1"/>
  <c r="L228" i="1"/>
  <c r="M228" i="1" s="1"/>
  <c r="N228" i="1" s="1"/>
  <c r="S228" i="1" s="1"/>
  <c r="L229" i="1"/>
  <c r="M229" i="1" s="1"/>
  <c r="L230" i="1"/>
  <c r="M230" i="1" s="1"/>
  <c r="N230" i="1" s="1"/>
  <c r="S230" i="1" s="1"/>
  <c r="L231" i="1"/>
  <c r="M231" i="1" s="1"/>
  <c r="L232" i="1"/>
  <c r="M232" i="1" s="1"/>
  <c r="N232" i="1" s="1"/>
  <c r="S232" i="1" s="1"/>
  <c r="L233" i="1"/>
  <c r="M233" i="1" s="1"/>
  <c r="N233" i="1" s="1"/>
  <c r="S233" i="1" s="1"/>
  <c r="L234" i="1"/>
  <c r="M234" i="1" s="1"/>
  <c r="N234" i="1" s="1"/>
  <c r="S234" i="1" s="1"/>
  <c r="L235" i="1"/>
  <c r="M235" i="1" s="1"/>
  <c r="L236" i="1"/>
  <c r="M236" i="1" s="1"/>
  <c r="N236" i="1" s="1"/>
  <c r="S236" i="1" s="1"/>
  <c r="L237" i="1"/>
  <c r="M237" i="1" s="1"/>
  <c r="N237" i="1" s="1"/>
  <c r="S237" i="1" s="1"/>
  <c r="L238" i="1"/>
  <c r="M238" i="1" s="1"/>
  <c r="N238" i="1" s="1"/>
  <c r="S238" i="1" s="1"/>
  <c r="L239" i="1"/>
  <c r="M239" i="1" s="1"/>
  <c r="N239" i="1" s="1"/>
  <c r="S239" i="1" s="1"/>
  <c r="L240" i="1"/>
  <c r="M240" i="1" s="1"/>
  <c r="N240" i="1" s="1"/>
  <c r="S240" i="1" s="1"/>
  <c r="L241" i="1"/>
  <c r="M241" i="1" s="1"/>
  <c r="L242" i="1"/>
  <c r="M242" i="1" s="1"/>
  <c r="N242" i="1" s="1"/>
  <c r="S242" i="1" s="1"/>
  <c r="L243" i="1"/>
  <c r="M243" i="1" s="1"/>
  <c r="L244" i="1"/>
  <c r="M244" i="1" s="1"/>
  <c r="N244" i="1" s="1"/>
  <c r="S244" i="1" s="1"/>
  <c r="L245" i="1"/>
  <c r="M245" i="1" s="1"/>
  <c r="N245" i="1" s="1"/>
  <c r="S245" i="1" s="1"/>
  <c r="L246" i="1"/>
  <c r="M246" i="1" s="1"/>
  <c r="N246" i="1" s="1"/>
  <c r="S246" i="1" s="1"/>
  <c r="L247" i="1"/>
  <c r="M247" i="1" s="1"/>
  <c r="N247" i="1" s="1"/>
  <c r="S247" i="1" s="1"/>
  <c r="L248" i="1"/>
  <c r="M248" i="1" s="1"/>
  <c r="L249" i="1"/>
  <c r="M249" i="1" s="1"/>
  <c r="N249" i="1" s="1"/>
  <c r="S249" i="1" s="1"/>
  <c r="L250" i="1"/>
  <c r="M250" i="1" s="1"/>
  <c r="N250" i="1" s="1"/>
  <c r="S250" i="1" s="1"/>
  <c r="L251" i="1"/>
  <c r="M251" i="1" s="1"/>
  <c r="N251" i="1" s="1"/>
  <c r="S251" i="1" s="1"/>
  <c r="L252" i="1"/>
  <c r="M252" i="1" s="1"/>
  <c r="L253" i="1"/>
  <c r="M253" i="1" s="1"/>
  <c r="N253" i="1" s="1"/>
  <c r="S253" i="1" s="1"/>
  <c r="L254" i="1"/>
  <c r="M254" i="1" s="1"/>
  <c r="N254" i="1" s="1"/>
  <c r="S254" i="1" s="1"/>
  <c r="L255" i="1"/>
  <c r="M255" i="1" s="1"/>
  <c r="N255" i="1" s="1"/>
  <c r="S255" i="1" s="1"/>
  <c r="L256" i="1"/>
  <c r="M256" i="1" s="1"/>
  <c r="N256" i="1" s="1"/>
  <c r="S256" i="1" s="1"/>
  <c r="L257" i="1"/>
  <c r="M257" i="1" s="1"/>
  <c r="N257" i="1" s="1"/>
  <c r="S257" i="1" s="1"/>
  <c r="L258" i="1"/>
  <c r="M258" i="1" s="1"/>
  <c r="N258" i="1" s="1"/>
  <c r="S258" i="1" s="1"/>
  <c r="L259" i="1"/>
  <c r="M259" i="1" s="1"/>
  <c r="S259" i="1" s="1"/>
  <c r="L260" i="1"/>
  <c r="M260" i="1" s="1"/>
  <c r="N260" i="1" s="1"/>
  <c r="S260" i="1" s="1"/>
  <c r="L261" i="1"/>
  <c r="M261" i="1" s="1"/>
  <c r="N261" i="1" s="1"/>
  <c r="S261" i="1" s="1"/>
  <c r="L262" i="1"/>
  <c r="M262" i="1" s="1"/>
  <c r="N262" i="1" s="1"/>
  <c r="S262" i="1" s="1"/>
  <c r="L263" i="1"/>
  <c r="M263" i="1" s="1"/>
  <c r="N263" i="1" s="1"/>
  <c r="S263" i="1" s="1"/>
  <c r="L264" i="1"/>
  <c r="M264" i="1" s="1"/>
  <c r="N264" i="1" s="1"/>
  <c r="S264" i="1" s="1"/>
  <c r="L265" i="1"/>
  <c r="M265" i="1" s="1"/>
  <c r="N265" i="1" s="1"/>
  <c r="S265" i="1" s="1"/>
  <c r="L266" i="1"/>
  <c r="M266" i="1" s="1"/>
  <c r="L267" i="1"/>
  <c r="M267" i="1" s="1"/>
  <c r="N267" i="1" s="1"/>
  <c r="S267" i="1" s="1"/>
  <c r="L268" i="1"/>
  <c r="M268" i="1" s="1"/>
  <c r="N268" i="1" s="1"/>
  <c r="S268" i="1" s="1"/>
  <c r="L269" i="1"/>
  <c r="M269" i="1" s="1"/>
  <c r="S269" i="1" s="1"/>
  <c r="L270" i="1"/>
  <c r="M270" i="1" s="1"/>
  <c r="L271" i="1"/>
  <c r="M271" i="1" s="1"/>
  <c r="N271" i="1" s="1"/>
  <c r="S271" i="1" s="1"/>
  <c r="L272" i="1"/>
  <c r="M272" i="1" s="1"/>
  <c r="S272" i="1" s="1"/>
  <c r="L273" i="1"/>
  <c r="M273" i="1" s="1"/>
  <c r="N273" i="1" s="1"/>
  <c r="S273" i="1" s="1"/>
  <c r="L274" i="1"/>
  <c r="M274" i="1" s="1"/>
  <c r="S274" i="1" s="1"/>
  <c r="L275" i="1"/>
  <c r="M275" i="1" s="1"/>
  <c r="N275" i="1" s="1"/>
  <c r="S275" i="1" s="1"/>
  <c r="L276" i="1"/>
  <c r="M276" i="1" s="1"/>
  <c r="N276" i="1" s="1"/>
  <c r="S276" i="1" s="1"/>
  <c r="L277" i="1"/>
  <c r="M277" i="1" s="1"/>
  <c r="N277" i="1" s="1"/>
  <c r="S277" i="1" s="1"/>
  <c r="L278" i="1"/>
  <c r="M278" i="1" s="1"/>
  <c r="N278" i="1" s="1"/>
  <c r="S278" i="1" s="1"/>
  <c r="L279" i="1"/>
  <c r="M279" i="1" s="1"/>
  <c r="L280" i="1"/>
  <c r="M280" i="1" s="1"/>
  <c r="S280" i="1" s="1"/>
  <c r="L281" i="1"/>
  <c r="M281" i="1" s="1"/>
  <c r="S281" i="1" s="1"/>
  <c r="L282" i="1"/>
  <c r="M282" i="1" s="1"/>
  <c r="S282" i="1" s="1"/>
  <c r="L283" i="1"/>
  <c r="M283" i="1" s="1"/>
  <c r="L284" i="1"/>
  <c r="M284" i="1" s="1"/>
  <c r="L285" i="1"/>
  <c r="M285" i="1" s="1"/>
  <c r="S285" i="1" s="1"/>
  <c r="L286" i="1"/>
  <c r="M286" i="1" s="1"/>
  <c r="L287" i="1"/>
  <c r="M287" i="1" s="1"/>
  <c r="N287" i="1" s="1"/>
  <c r="S287" i="1" s="1"/>
  <c r="L288" i="1"/>
  <c r="M288" i="1" s="1"/>
  <c r="L289" i="1"/>
  <c r="M289" i="1" s="1"/>
  <c r="L291" i="1"/>
  <c r="M291" i="1" s="1"/>
  <c r="N291" i="1" s="1"/>
  <c r="S291" i="1" s="1"/>
  <c r="L292" i="1"/>
  <c r="M292" i="1" s="1"/>
  <c r="L293" i="1"/>
  <c r="M293" i="1" s="1"/>
  <c r="L294" i="1"/>
  <c r="M294" i="1" s="1"/>
  <c r="N294" i="1" s="1"/>
  <c r="S294" i="1" s="1"/>
  <c r="L295" i="1"/>
  <c r="M295" i="1" s="1"/>
  <c r="N295" i="1" s="1"/>
  <c r="S295" i="1" s="1"/>
  <c r="L296" i="1"/>
  <c r="M296" i="1" s="1"/>
  <c r="S296" i="1" s="1"/>
  <c r="L297" i="1"/>
  <c r="M297" i="1" s="1"/>
  <c r="L323" i="1"/>
  <c r="M323" i="1" s="1"/>
  <c r="N323" i="1" s="1"/>
  <c r="S323" i="1" s="1"/>
  <c r="L324" i="1"/>
  <c r="M324" i="1" s="1"/>
  <c r="N324" i="1" s="1"/>
  <c r="S324" i="1" s="1"/>
  <c r="L325" i="1"/>
  <c r="M325" i="1" s="1"/>
  <c r="N325" i="1" s="1"/>
  <c r="S325" i="1" s="1"/>
  <c r="L326" i="1"/>
  <c r="M326" i="1" s="1"/>
  <c r="N326" i="1" s="1"/>
  <c r="S326" i="1" s="1"/>
  <c r="L327" i="1"/>
  <c r="M327" i="1" s="1"/>
  <c r="N327" i="1" s="1"/>
  <c r="S327" i="1" s="1"/>
  <c r="L328" i="1"/>
  <c r="M328" i="1" s="1"/>
  <c r="L329" i="1"/>
  <c r="M329" i="1" s="1"/>
  <c r="N329" i="1" s="1"/>
  <c r="S329" i="1" s="1"/>
  <c r="L330" i="1"/>
  <c r="M330" i="1" s="1"/>
  <c r="L331" i="1"/>
  <c r="M331" i="1" s="1"/>
  <c r="L332" i="1"/>
  <c r="M332" i="1" s="1"/>
  <c r="N332" i="1" s="1"/>
  <c r="S332" i="1" s="1"/>
  <c r="L333" i="1"/>
  <c r="M333" i="1" s="1"/>
  <c r="N333" i="1" s="1"/>
  <c r="S333" i="1" s="1"/>
  <c r="L334" i="1"/>
  <c r="M334" i="1" s="1"/>
  <c r="N334" i="1" s="1"/>
  <c r="S334" i="1" s="1"/>
  <c r="L335" i="1"/>
  <c r="M335" i="1" s="1"/>
  <c r="L336" i="1"/>
  <c r="M336" i="1" s="1"/>
  <c r="L337" i="1"/>
  <c r="M337" i="1" s="1"/>
  <c r="L338" i="1"/>
  <c r="M338" i="1" s="1"/>
  <c r="L339" i="1"/>
  <c r="M339" i="1" s="1"/>
  <c r="N339" i="1" s="1"/>
  <c r="S339" i="1" s="1"/>
  <c r="L340" i="1"/>
  <c r="M340" i="1" s="1"/>
  <c r="N340" i="1" s="1"/>
  <c r="S340" i="1" s="1"/>
  <c r="L341" i="1"/>
  <c r="M341" i="1" s="1"/>
  <c r="L342" i="1"/>
  <c r="M342" i="1" s="1"/>
  <c r="L343" i="1"/>
  <c r="M343" i="1" s="1"/>
  <c r="N343" i="1" s="1"/>
  <c r="S343" i="1" s="1"/>
  <c r="L344" i="1"/>
  <c r="M344" i="1" s="1"/>
  <c r="N344" i="1" s="1"/>
  <c r="S344" i="1" s="1"/>
  <c r="L345" i="1"/>
  <c r="M345" i="1" s="1"/>
  <c r="N345" i="1" s="1"/>
  <c r="S345" i="1" s="1"/>
  <c r="L346" i="1"/>
  <c r="M346" i="1" s="1"/>
  <c r="N346" i="1" s="1"/>
  <c r="S346" i="1" s="1"/>
  <c r="L347" i="1"/>
  <c r="M347" i="1" s="1"/>
  <c r="N347" i="1" s="1"/>
  <c r="S347" i="1" s="1"/>
  <c r="L348" i="1"/>
  <c r="M348" i="1" s="1"/>
  <c r="S348" i="1" s="1"/>
  <c r="L349" i="1"/>
  <c r="M349" i="1" s="1"/>
  <c r="N349" i="1" s="1"/>
  <c r="S349" i="1" s="1"/>
  <c r="L350" i="1"/>
  <c r="M350" i="1" s="1"/>
  <c r="N350" i="1" s="1"/>
  <c r="S350" i="1" s="1"/>
  <c r="L351" i="1"/>
  <c r="M351" i="1" s="1"/>
  <c r="L352" i="1"/>
  <c r="M352" i="1" s="1"/>
  <c r="L353" i="1"/>
  <c r="M353" i="1" s="1"/>
  <c r="N353" i="1" s="1"/>
  <c r="S353" i="1" s="1"/>
  <c r="L354" i="1"/>
  <c r="M354" i="1" s="1"/>
  <c r="N354" i="1" s="1"/>
  <c r="S354" i="1" s="1"/>
  <c r="L355" i="1"/>
  <c r="M355" i="1" s="1"/>
  <c r="N355" i="1" s="1"/>
  <c r="S355" i="1" s="1"/>
  <c r="L356" i="1"/>
  <c r="M356" i="1" s="1"/>
  <c r="N356" i="1" s="1"/>
  <c r="S356" i="1" s="1"/>
  <c r="L357" i="1"/>
  <c r="M357" i="1" s="1"/>
  <c r="N357" i="1" s="1"/>
  <c r="S357" i="1" s="1"/>
  <c r="L358" i="1"/>
  <c r="M358" i="1" s="1"/>
  <c r="L359" i="1"/>
  <c r="M359" i="1" s="1"/>
  <c r="N359" i="1" s="1"/>
  <c r="S359" i="1" s="1"/>
  <c r="L360" i="1"/>
  <c r="M360" i="1" s="1"/>
  <c r="L361" i="1"/>
  <c r="M361" i="1" s="1"/>
  <c r="N361" i="1" s="1"/>
  <c r="S361" i="1" s="1"/>
  <c r="L362" i="1"/>
  <c r="M362" i="1" s="1"/>
  <c r="L363" i="1"/>
  <c r="M363" i="1" s="1"/>
  <c r="N363" i="1" s="1"/>
  <c r="S363" i="1" s="1"/>
  <c r="L364" i="1"/>
  <c r="M364" i="1" s="1"/>
  <c r="N364" i="1" s="1"/>
  <c r="S364" i="1" s="1"/>
  <c r="L365" i="1"/>
  <c r="M365" i="1" s="1"/>
  <c r="N365" i="1" s="1"/>
  <c r="S365" i="1" s="1"/>
  <c r="L366" i="1"/>
  <c r="M366" i="1" s="1"/>
  <c r="N366" i="1" s="1"/>
  <c r="S366" i="1" s="1"/>
  <c r="L367" i="1"/>
  <c r="M367" i="1" s="1"/>
  <c r="N367" i="1" s="1"/>
  <c r="S367" i="1" s="1"/>
  <c r="L368" i="1"/>
  <c r="M368" i="1" s="1"/>
  <c r="N368" i="1" s="1"/>
  <c r="S368" i="1" s="1"/>
  <c r="L369" i="1"/>
  <c r="M369" i="1" s="1"/>
  <c r="N369" i="1" s="1"/>
  <c r="S369" i="1" s="1"/>
  <c r="L370" i="1"/>
  <c r="M370" i="1" s="1"/>
  <c r="L371" i="1"/>
  <c r="M371" i="1" s="1"/>
  <c r="N371" i="1" s="1"/>
  <c r="S371" i="1" s="1"/>
  <c r="L372" i="1"/>
  <c r="M372" i="1" s="1"/>
  <c r="L373" i="1"/>
  <c r="M373" i="1" s="1"/>
  <c r="N373" i="1" s="1"/>
  <c r="S373" i="1" s="1"/>
  <c r="L374" i="1"/>
  <c r="M374" i="1" s="1"/>
  <c r="N374" i="1" s="1"/>
  <c r="S374" i="1" s="1"/>
  <c r="L375" i="1"/>
  <c r="M375" i="1" s="1"/>
  <c r="N375" i="1" s="1"/>
  <c r="S375" i="1" s="1"/>
  <c r="L376" i="1"/>
  <c r="M376" i="1" s="1"/>
  <c r="N376" i="1" s="1"/>
  <c r="S376" i="1" s="1"/>
  <c r="L377" i="1"/>
  <c r="M377" i="1" s="1"/>
  <c r="N377" i="1" s="1"/>
  <c r="S377" i="1" s="1"/>
  <c r="L378" i="1"/>
  <c r="M378" i="1" s="1"/>
  <c r="N378" i="1" s="1"/>
  <c r="S378" i="1" s="1"/>
  <c r="L379" i="1"/>
  <c r="M379" i="1" s="1"/>
  <c r="L380" i="1"/>
  <c r="M380" i="1" s="1"/>
  <c r="S380" i="1" s="1"/>
  <c r="L381" i="1"/>
  <c r="M381" i="1" s="1"/>
  <c r="N381" i="1" s="1"/>
  <c r="S381" i="1" s="1"/>
  <c r="L382" i="1"/>
  <c r="M382" i="1" s="1"/>
  <c r="L383" i="1"/>
  <c r="M383" i="1" s="1"/>
  <c r="N383" i="1" s="1"/>
  <c r="S383" i="1" s="1"/>
  <c r="L384" i="1"/>
  <c r="M384" i="1" s="1"/>
  <c r="N384" i="1" s="1"/>
  <c r="S384" i="1" s="1"/>
  <c r="L385" i="1"/>
  <c r="M385" i="1" s="1"/>
  <c r="N385" i="1" s="1"/>
  <c r="S385" i="1" s="1"/>
  <c r="L386" i="1"/>
  <c r="M386" i="1" s="1"/>
  <c r="S386" i="1" s="1"/>
  <c r="L387" i="1"/>
  <c r="M387" i="1" s="1"/>
  <c r="N387" i="1" s="1"/>
  <c r="S387" i="1" s="1"/>
  <c r="L388" i="1"/>
  <c r="M388" i="1" s="1"/>
  <c r="N388" i="1" s="1"/>
  <c r="S388" i="1" s="1"/>
  <c r="L389" i="1"/>
  <c r="M389" i="1" s="1"/>
  <c r="N389" i="1" s="1"/>
  <c r="S389" i="1" s="1"/>
  <c r="L390" i="1"/>
  <c r="M390" i="1" s="1"/>
  <c r="L391" i="1"/>
  <c r="M391" i="1" s="1"/>
  <c r="N391" i="1" s="1"/>
  <c r="S391" i="1" s="1"/>
  <c r="L392" i="1"/>
  <c r="M392" i="1" s="1"/>
  <c r="N392" i="1" s="1"/>
  <c r="S392" i="1" s="1"/>
  <c r="L393" i="1"/>
  <c r="M393" i="1" s="1"/>
  <c r="N393" i="1" s="1"/>
  <c r="S393" i="1" s="1"/>
  <c r="L394" i="1"/>
  <c r="M394" i="1" s="1"/>
  <c r="S394" i="1" s="1"/>
  <c r="L395" i="1"/>
  <c r="M395" i="1" s="1"/>
  <c r="L396" i="1"/>
  <c r="M396" i="1" s="1"/>
  <c r="N396" i="1" s="1"/>
  <c r="S396" i="1" s="1"/>
  <c r="L397" i="1"/>
  <c r="M397" i="1" s="1"/>
  <c r="S397" i="1" s="1"/>
  <c r="L398" i="1"/>
  <c r="M398" i="1" s="1"/>
  <c r="S398" i="1" s="1"/>
  <c r="L399" i="1"/>
  <c r="M399" i="1" s="1"/>
  <c r="N399" i="1" s="1"/>
  <c r="S399" i="1" s="1"/>
  <c r="L400" i="1"/>
  <c r="M400" i="1" s="1"/>
  <c r="L401" i="1"/>
  <c r="M401" i="1" s="1"/>
  <c r="N401" i="1" s="1"/>
  <c r="S401" i="1" s="1"/>
  <c r="L402" i="1"/>
  <c r="M402" i="1" s="1"/>
  <c r="N402" i="1" s="1"/>
  <c r="S402" i="1" s="1"/>
  <c r="L403" i="1"/>
  <c r="M403" i="1" s="1"/>
  <c r="N403" i="1" s="1"/>
  <c r="S403" i="1" s="1"/>
  <c r="L404" i="1"/>
  <c r="M404" i="1" s="1"/>
  <c r="N404" i="1" s="1"/>
  <c r="S404" i="1" s="1"/>
  <c r="L405" i="1"/>
  <c r="M405" i="1" s="1"/>
  <c r="N405" i="1" s="1"/>
  <c r="S405" i="1" s="1"/>
  <c r="L406" i="1"/>
  <c r="M406" i="1" s="1"/>
  <c r="L407" i="1"/>
  <c r="M407" i="1" s="1"/>
  <c r="N407" i="1" s="1"/>
  <c r="S407" i="1" s="1"/>
  <c r="L408" i="1"/>
  <c r="M408" i="1" s="1"/>
  <c r="L409" i="1"/>
  <c r="M409" i="1" s="1"/>
  <c r="L410" i="1"/>
  <c r="M410" i="1" s="1"/>
  <c r="N410" i="1" s="1"/>
  <c r="S410" i="1" s="1"/>
  <c r="L411" i="1"/>
  <c r="M411" i="1" s="1"/>
  <c r="N411" i="1" s="1"/>
  <c r="S411" i="1" s="1"/>
  <c r="L412" i="1"/>
  <c r="M412" i="1" s="1"/>
  <c r="N412" i="1" s="1"/>
  <c r="S412" i="1" s="1"/>
  <c r="L413" i="1"/>
  <c r="M413" i="1" s="1"/>
  <c r="N413" i="1" s="1"/>
  <c r="S413" i="1" s="1"/>
  <c r="L414" i="1"/>
  <c r="M414" i="1" s="1"/>
  <c r="N414" i="1" s="1"/>
  <c r="S414" i="1" s="1"/>
  <c r="L415" i="1"/>
  <c r="M415" i="1" s="1"/>
  <c r="L416" i="1"/>
  <c r="M416" i="1" s="1"/>
  <c r="N416" i="1" s="1"/>
  <c r="S416" i="1" s="1"/>
  <c r="L417" i="1"/>
  <c r="M417" i="1" s="1"/>
  <c r="N417" i="1" s="1"/>
  <c r="S417" i="1" s="1"/>
  <c r="L418" i="1"/>
  <c r="M418" i="1" s="1"/>
  <c r="L419" i="1"/>
  <c r="M419" i="1" s="1"/>
  <c r="L420" i="1"/>
  <c r="M420" i="1" s="1"/>
  <c r="N420" i="1" s="1"/>
  <c r="S420" i="1" s="1"/>
  <c r="L421" i="1"/>
  <c r="M421" i="1" s="1"/>
  <c r="N421" i="1" s="1"/>
  <c r="S421" i="1" s="1"/>
  <c r="L422" i="1"/>
  <c r="M422" i="1" s="1"/>
  <c r="L423" i="1"/>
  <c r="M423" i="1" s="1"/>
  <c r="L424" i="1"/>
  <c r="M424" i="1" s="1"/>
  <c r="N424" i="1" s="1"/>
  <c r="S424" i="1" s="1"/>
  <c r="L425" i="1"/>
  <c r="M425" i="1" s="1"/>
  <c r="N425" i="1" s="1"/>
  <c r="S425" i="1" s="1"/>
  <c r="L426" i="1"/>
  <c r="M426" i="1" s="1"/>
  <c r="L427" i="1"/>
  <c r="M427" i="1" s="1"/>
  <c r="N427" i="1" s="1"/>
  <c r="S427" i="1" s="1"/>
  <c r="L428" i="1"/>
  <c r="M428" i="1" s="1"/>
  <c r="N428" i="1" s="1"/>
  <c r="S428" i="1" s="1"/>
  <c r="L429" i="1"/>
  <c r="M429" i="1" s="1"/>
  <c r="N429" i="1" s="1"/>
  <c r="S429" i="1" s="1"/>
  <c r="L430" i="1"/>
  <c r="M430" i="1" s="1"/>
  <c r="N430" i="1" s="1"/>
  <c r="S430" i="1" s="1"/>
  <c r="L431" i="1"/>
  <c r="M431" i="1" s="1"/>
  <c r="L432" i="1"/>
  <c r="M432" i="1" s="1"/>
  <c r="N432" i="1" s="1"/>
  <c r="S432" i="1" s="1"/>
  <c r="L433" i="1"/>
  <c r="M433" i="1" s="1"/>
  <c r="S433" i="1" s="1"/>
  <c r="L434" i="1"/>
  <c r="M434" i="1" s="1"/>
  <c r="N434" i="1" s="1"/>
  <c r="S434" i="1" s="1"/>
  <c r="L435" i="1"/>
  <c r="M435" i="1" s="1"/>
  <c r="N435" i="1" s="1"/>
  <c r="S435" i="1" s="1"/>
  <c r="L436" i="1"/>
  <c r="M436" i="1" s="1"/>
  <c r="N436" i="1" s="1"/>
  <c r="S436" i="1" s="1"/>
  <c r="L437" i="1"/>
  <c r="M437" i="1" s="1"/>
  <c r="N437" i="1" s="1"/>
  <c r="S437" i="1" s="1"/>
  <c r="L438" i="1"/>
  <c r="M438" i="1" s="1"/>
  <c r="N438" i="1" s="1"/>
  <c r="S438" i="1" s="1"/>
  <c r="L439" i="1"/>
  <c r="M439" i="1" s="1"/>
  <c r="N439" i="1" s="1"/>
  <c r="S439" i="1" s="1"/>
  <c r="L440" i="1"/>
  <c r="M440" i="1" s="1"/>
  <c r="N440" i="1" s="1"/>
  <c r="S440" i="1" s="1"/>
  <c r="L441" i="1"/>
  <c r="M441" i="1" s="1"/>
  <c r="N441" i="1" s="1"/>
  <c r="S441" i="1" s="1"/>
  <c r="L442" i="1"/>
  <c r="M442" i="1" s="1"/>
  <c r="N442" i="1" s="1"/>
  <c r="S442" i="1" s="1"/>
  <c r="L443" i="1"/>
  <c r="M443" i="1" s="1"/>
  <c r="N443" i="1" s="1"/>
  <c r="S443" i="1" s="1"/>
  <c r="L444" i="1"/>
  <c r="M444" i="1" s="1"/>
  <c r="N444" i="1" s="1"/>
  <c r="S444" i="1" s="1"/>
  <c r="L445" i="1"/>
  <c r="M445" i="1" s="1"/>
  <c r="L446" i="1"/>
  <c r="M446" i="1" s="1"/>
  <c r="N446" i="1" s="1"/>
  <c r="S446" i="1" s="1"/>
  <c r="L447" i="1"/>
  <c r="M447" i="1" s="1"/>
  <c r="L448" i="1"/>
  <c r="M448" i="1" s="1"/>
  <c r="N448" i="1" s="1"/>
  <c r="S448" i="1" s="1"/>
  <c r="L449" i="1"/>
  <c r="M449" i="1" s="1"/>
  <c r="L450" i="1"/>
  <c r="M450" i="1" s="1"/>
  <c r="L451" i="1"/>
  <c r="M451" i="1" s="1"/>
  <c r="N451" i="1" s="1"/>
  <c r="S451" i="1" s="1"/>
  <c r="L452" i="1"/>
  <c r="M452" i="1" s="1"/>
  <c r="N452" i="1" s="1"/>
  <c r="S452" i="1" s="1"/>
  <c r="L453" i="1"/>
  <c r="M453" i="1" s="1"/>
  <c r="N453" i="1" s="1"/>
  <c r="S453" i="1" s="1"/>
  <c r="L454" i="1"/>
  <c r="M454" i="1" s="1"/>
  <c r="N454" i="1" s="1"/>
  <c r="S454" i="1" s="1"/>
  <c r="L455" i="1"/>
  <c r="M455" i="1" s="1"/>
  <c r="N455" i="1" s="1"/>
  <c r="S455" i="1" s="1"/>
  <c r="L456" i="1"/>
  <c r="M456" i="1" s="1"/>
  <c r="N456" i="1" s="1"/>
  <c r="S456" i="1" s="1"/>
  <c r="L457" i="1"/>
  <c r="M457" i="1" s="1"/>
  <c r="N457" i="1" s="1"/>
  <c r="S457" i="1" s="1"/>
  <c r="L458" i="1"/>
  <c r="M458" i="1" s="1"/>
  <c r="N458" i="1" s="1"/>
  <c r="S458" i="1" s="1"/>
  <c r="L459" i="1"/>
  <c r="M459" i="1" s="1"/>
  <c r="L460" i="1"/>
  <c r="M460" i="1" s="1"/>
  <c r="N460" i="1" s="1"/>
  <c r="S460" i="1" s="1"/>
  <c r="L461" i="1"/>
  <c r="M461" i="1" s="1"/>
  <c r="N461" i="1" s="1"/>
  <c r="S461" i="1" s="1"/>
  <c r="L462" i="1"/>
  <c r="M462" i="1" s="1"/>
  <c r="L463" i="1"/>
  <c r="M463" i="1" s="1"/>
  <c r="N463" i="1" s="1"/>
  <c r="S463" i="1" s="1"/>
  <c r="L464" i="1"/>
  <c r="M464" i="1" s="1"/>
  <c r="N464" i="1" s="1"/>
  <c r="S464" i="1" s="1"/>
  <c r="L465" i="1"/>
  <c r="M465" i="1" s="1"/>
  <c r="N465" i="1" s="1"/>
  <c r="S465" i="1" s="1"/>
  <c r="L466" i="1"/>
  <c r="M466" i="1" s="1"/>
  <c r="N466" i="1" s="1"/>
  <c r="S466" i="1" s="1"/>
  <c r="L467" i="1"/>
  <c r="M467" i="1" s="1"/>
  <c r="N467" i="1" s="1"/>
  <c r="S467" i="1" s="1"/>
  <c r="L468" i="1"/>
  <c r="M468" i="1" s="1"/>
  <c r="N468" i="1" s="1"/>
  <c r="S468" i="1" s="1"/>
  <c r="L469" i="1"/>
  <c r="M469" i="1" s="1"/>
  <c r="N469" i="1" s="1"/>
  <c r="S469" i="1" s="1"/>
  <c r="L470" i="1"/>
  <c r="M470" i="1" s="1"/>
  <c r="N470" i="1" s="1"/>
  <c r="S470" i="1" s="1"/>
  <c r="L471" i="1"/>
  <c r="M471" i="1" s="1"/>
  <c r="N471" i="1" s="1"/>
  <c r="S471" i="1" s="1"/>
  <c r="L472" i="1"/>
  <c r="M472" i="1" s="1"/>
  <c r="N472" i="1" s="1"/>
  <c r="S472" i="1" s="1"/>
  <c r="L473" i="1"/>
  <c r="M473" i="1" s="1"/>
  <c r="S473" i="1" s="1"/>
  <c r="L474" i="1"/>
  <c r="M474" i="1" s="1"/>
  <c r="L475" i="1"/>
  <c r="M475" i="1" s="1"/>
  <c r="N475" i="1" s="1"/>
  <c r="S475" i="1" s="1"/>
  <c r="L476" i="1"/>
  <c r="M476" i="1" s="1"/>
  <c r="N476" i="1" s="1"/>
  <c r="S476" i="1" s="1"/>
  <c r="L477" i="1"/>
  <c r="M477" i="1" s="1"/>
  <c r="S477" i="1" s="1"/>
  <c r="L478" i="1"/>
  <c r="M478" i="1" s="1"/>
  <c r="N478" i="1" s="1"/>
  <c r="S478" i="1" s="1"/>
  <c r="L479" i="1"/>
  <c r="M479" i="1" s="1"/>
  <c r="N479" i="1" s="1"/>
  <c r="S479" i="1" s="1"/>
  <c r="L480" i="1"/>
  <c r="M480" i="1" s="1"/>
  <c r="N480" i="1" s="1"/>
  <c r="S480" i="1" s="1"/>
  <c r="L481" i="1"/>
  <c r="M481" i="1" s="1"/>
  <c r="N481" i="1" s="1"/>
  <c r="S481" i="1" s="1"/>
  <c r="L482" i="1"/>
  <c r="M482" i="1" s="1"/>
  <c r="N482" i="1" s="1"/>
  <c r="S482" i="1" s="1"/>
  <c r="L483" i="1"/>
  <c r="M483" i="1" s="1"/>
  <c r="S483" i="1" s="1"/>
  <c r="L484" i="1"/>
  <c r="M484" i="1" s="1"/>
  <c r="N484" i="1" s="1"/>
  <c r="S484" i="1" s="1"/>
  <c r="L485" i="1"/>
  <c r="M485" i="1" s="1"/>
  <c r="N485" i="1" s="1"/>
  <c r="S485" i="1" s="1"/>
  <c r="L486" i="1"/>
  <c r="M486" i="1" s="1"/>
  <c r="N486" i="1" s="1"/>
  <c r="S486" i="1" s="1"/>
  <c r="L487" i="1"/>
  <c r="M487" i="1" s="1"/>
  <c r="L488" i="1"/>
  <c r="M488" i="1" s="1"/>
  <c r="N488" i="1" s="1"/>
  <c r="S488" i="1" s="1"/>
  <c r="L489" i="1"/>
  <c r="M489" i="1" s="1"/>
  <c r="L490" i="1"/>
  <c r="M490" i="1" s="1"/>
  <c r="N490" i="1" s="1"/>
  <c r="S490" i="1" s="1"/>
  <c r="L491" i="1"/>
  <c r="M491" i="1" s="1"/>
  <c r="N491" i="1" s="1"/>
  <c r="S491" i="1" s="1"/>
  <c r="L492" i="1"/>
  <c r="M492" i="1" s="1"/>
  <c r="N492" i="1" s="1"/>
  <c r="S492" i="1" s="1"/>
  <c r="L493" i="1"/>
  <c r="M493" i="1" s="1"/>
  <c r="N493" i="1" s="1"/>
  <c r="S493" i="1" s="1"/>
  <c r="L494" i="1"/>
  <c r="M494" i="1" s="1"/>
  <c r="N494" i="1" s="1"/>
  <c r="S494" i="1" s="1"/>
  <c r="L495" i="1"/>
  <c r="M495" i="1" s="1"/>
  <c r="N495" i="1" s="1"/>
  <c r="S495" i="1" s="1"/>
  <c r="L496" i="1"/>
  <c r="M496" i="1" s="1"/>
  <c r="N496" i="1" s="1"/>
  <c r="S496" i="1" s="1"/>
  <c r="L497" i="1"/>
  <c r="M497" i="1" s="1"/>
  <c r="N497" i="1" s="1"/>
  <c r="S497" i="1" s="1"/>
  <c r="L498" i="1"/>
  <c r="M498" i="1" s="1"/>
  <c r="L499" i="1"/>
  <c r="M499" i="1" s="1"/>
  <c r="N499" i="1" s="1"/>
  <c r="S499" i="1" s="1"/>
  <c r="L500" i="1"/>
  <c r="M500" i="1" s="1"/>
  <c r="N500" i="1" s="1"/>
  <c r="S500" i="1" s="1"/>
  <c r="L501" i="1"/>
  <c r="M501" i="1" s="1"/>
  <c r="N501" i="1" s="1"/>
  <c r="S501" i="1" s="1"/>
  <c r="L502" i="1"/>
  <c r="M502" i="1" s="1"/>
  <c r="N502" i="1" s="1"/>
  <c r="S502" i="1" s="1"/>
  <c r="L503" i="1"/>
  <c r="M503" i="1" s="1"/>
  <c r="L504" i="1"/>
  <c r="M504" i="1" s="1"/>
  <c r="N504" i="1" s="1"/>
  <c r="S504" i="1" s="1"/>
  <c r="L505" i="1"/>
  <c r="M505" i="1" s="1"/>
  <c r="N505" i="1" s="1"/>
  <c r="S505" i="1" s="1"/>
  <c r="L506" i="1"/>
  <c r="M506" i="1" s="1"/>
  <c r="N506" i="1" s="1"/>
  <c r="S506" i="1" s="1"/>
  <c r="L507" i="1"/>
  <c r="M507" i="1" s="1"/>
  <c r="N507" i="1" s="1"/>
  <c r="S507" i="1" s="1"/>
  <c r="L508" i="1"/>
  <c r="M508" i="1" s="1"/>
  <c r="N508" i="1" s="1"/>
  <c r="S508" i="1" s="1"/>
  <c r="L509" i="1"/>
  <c r="M509" i="1" s="1"/>
  <c r="N509" i="1" s="1"/>
  <c r="S509" i="1" s="1"/>
  <c r="L510" i="1"/>
  <c r="M510" i="1" s="1"/>
  <c r="N510" i="1" s="1"/>
  <c r="S510" i="1" s="1"/>
  <c r="L511" i="1"/>
  <c r="M511" i="1" s="1"/>
  <c r="N511" i="1" s="1"/>
  <c r="S511" i="1" s="1"/>
  <c r="L512" i="1"/>
  <c r="M512" i="1" s="1"/>
  <c r="N512" i="1" s="1"/>
  <c r="S512" i="1" s="1"/>
  <c r="L513" i="1"/>
  <c r="M513" i="1" s="1"/>
  <c r="N513" i="1" s="1"/>
  <c r="S513" i="1" s="1"/>
  <c r="L514" i="1"/>
  <c r="M514" i="1" s="1"/>
  <c r="L515" i="1"/>
  <c r="M515" i="1" s="1"/>
  <c r="N515" i="1" s="1"/>
  <c r="S515" i="1" s="1"/>
  <c r="L516" i="1"/>
  <c r="M516" i="1" s="1"/>
  <c r="N516" i="1" s="1"/>
  <c r="S516" i="1" s="1"/>
  <c r="L517" i="1"/>
  <c r="M517" i="1" s="1"/>
  <c r="N517" i="1" s="1"/>
  <c r="S517" i="1" s="1"/>
  <c r="L518" i="1"/>
  <c r="M518" i="1" s="1"/>
  <c r="N518" i="1" s="1"/>
  <c r="S518" i="1" s="1"/>
  <c r="L519" i="1"/>
  <c r="M519" i="1" s="1"/>
  <c r="N519" i="1" s="1"/>
  <c r="S519" i="1" s="1"/>
  <c r="L520" i="1"/>
  <c r="M520" i="1" s="1"/>
  <c r="N520" i="1" s="1"/>
  <c r="S520" i="1" s="1"/>
  <c r="L521" i="1"/>
  <c r="M521" i="1" s="1"/>
  <c r="N521" i="1" s="1"/>
  <c r="S521" i="1" s="1"/>
  <c r="L522" i="1"/>
  <c r="M522" i="1" s="1"/>
  <c r="N522" i="1" s="1"/>
  <c r="S522" i="1" s="1"/>
  <c r="L523" i="1"/>
  <c r="M523" i="1" s="1"/>
  <c r="L524" i="1"/>
  <c r="M524" i="1" s="1"/>
  <c r="N524" i="1" s="1"/>
  <c r="S524" i="1" s="1"/>
  <c r="L525" i="1"/>
  <c r="M525" i="1" s="1"/>
  <c r="L526" i="1"/>
  <c r="M526" i="1" s="1"/>
  <c r="N526" i="1" s="1"/>
  <c r="S526" i="1" s="1"/>
  <c r="L527" i="1"/>
  <c r="M527" i="1" s="1"/>
  <c r="N527" i="1" s="1"/>
  <c r="S527" i="1" s="1"/>
  <c r="L528" i="1"/>
  <c r="M528" i="1" s="1"/>
  <c r="N528" i="1" s="1"/>
  <c r="S528" i="1" s="1"/>
  <c r="L529" i="1"/>
  <c r="M529" i="1" s="1"/>
  <c r="N529" i="1" s="1"/>
  <c r="S529" i="1" s="1"/>
  <c r="L530" i="1"/>
  <c r="M530" i="1" s="1"/>
  <c r="N530" i="1" s="1"/>
  <c r="S530" i="1" s="1"/>
  <c r="L531" i="1"/>
  <c r="M531" i="1" s="1"/>
  <c r="N531" i="1" s="1"/>
  <c r="S531" i="1" s="1"/>
  <c r="L532" i="1"/>
  <c r="M532" i="1" s="1"/>
  <c r="N532" i="1" s="1"/>
  <c r="S532" i="1" s="1"/>
  <c r="L533" i="1"/>
  <c r="M533" i="1" s="1"/>
  <c r="N533" i="1" s="1"/>
  <c r="S533" i="1" s="1"/>
  <c r="L534" i="1"/>
  <c r="M534" i="1" s="1"/>
  <c r="N534" i="1" s="1"/>
  <c r="S534" i="1" s="1"/>
  <c r="L535" i="1"/>
  <c r="M535" i="1" s="1"/>
  <c r="N535" i="1" s="1"/>
  <c r="S535" i="1" s="1"/>
  <c r="L536" i="1"/>
  <c r="M536" i="1" s="1"/>
  <c r="L537" i="1"/>
  <c r="M537" i="1" s="1"/>
  <c r="N537" i="1" s="1"/>
  <c r="S537" i="1" s="1"/>
  <c r="L538" i="1"/>
  <c r="M538" i="1" s="1"/>
  <c r="N538" i="1" s="1"/>
  <c r="S538" i="1" s="1"/>
  <c r="L539" i="1"/>
  <c r="M539" i="1" s="1"/>
  <c r="N539" i="1" s="1"/>
  <c r="S539" i="1" s="1"/>
  <c r="L540" i="1"/>
  <c r="M540" i="1" s="1"/>
  <c r="N540" i="1" s="1"/>
  <c r="S540" i="1" s="1"/>
  <c r="L541" i="1"/>
  <c r="M541" i="1" s="1"/>
  <c r="N541" i="1" s="1"/>
  <c r="S541" i="1" s="1"/>
  <c r="L542" i="1"/>
  <c r="M542" i="1" s="1"/>
  <c r="L543" i="1"/>
  <c r="M543" i="1" s="1"/>
  <c r="L544" i="1"/>
  <c r="M544" i="1" s="1"/>
  <c r="L545" i="1"/>
  <c r="M545" i="1" s="1"/>
  <c r="N545" i="1" s="1"/>
  <c r="S545" i="1" s="1"/>
  <c r="L546" i="1"/>
  <c r="M546" i="1" s="1"/>
  <c r="N546" i="1" s="1"/>
  <c r="S546" i="1" s="1"/>
  <c r="L547" i="1"/>
  <c r="M547" i="1" s="1"/>
  <c r="N547" i="1" s="1"/>
  <c r="S547" i="1" s="1"/>
  <c r="L548" i="1"/>
  <c r="M548" i="1" s="1"/>
  <c r="N548" i="1" s="1"/>
  <c r="S548" i="1" s="1"/>
  <c r="L549" i="1"/>
  <c r="M549" i="1" s="1"/>
  <c r="L550" i="1"/>
  <c r="M550" i="1" s="1"/>
  <c r="N550" i="1" s="1"/>
  <c r="S550" i="1" s="1"/>
  <c r="L551" i="1"/>
  <c r="M551" i="1" s="1"/>
  <c r="N551" i="1" s="1"/>
  <c r="S551" i="1" s="1"/>
  <c r="L552" i="1"/>
  <c r="M552" i="1" s="1"/>
  <c r="L553" i="1"/>
  <c r="M553" i="1" s="1"/>
  <c r="N553" i="1" s="1"/>
  <c r="S553" i="1" s="1"/>
  <c r="L554" i="1"/>
  <c r="M554" i="1" s="1"/>
  <c r="N554" i="1" s="1"/>
  <c r="S554" i="1" s="1"/>
  <c r="L555" i="1"/>
  <c r="M555" i="1" s="1"/>
  <c r="N555" i="1" s="1"/>
  <c r="S555" i="1" s="1"/>
  <c r="L556" i="1"/>
  <c r="M556" i="1" s="1"/>
  <c r="L557" i="1"/>
  <c r="M557" i="1" s="1"/>
  <c r="N557" i="1" s="1"/>
  <c r="S557" i="1" s="1"/>
  <c r="L559" i="1"/>
  <c r="M559" i="1" s="1"/>
  <c r="N559" i="1" s="1"/>
  <c r="S559" i="1" s="1"/>
  <c r="L560" i="1"/>
  <c r="M560" i="1" s="1"/>
  <c r="L561" i="1"/>
  <c r="M561" i="1" s="1"/>
  <c r="L562" i="1"/>
  <c r="M562" i="1" s="1"/>
  <c r="N562" i="1" s="1"/>
  <c r="S562" i="1" s="1"/>
  <c r="L563" i="1"/>
  <c r="M563" i="1" s="1"/>
  <c r="N563" i="1" s="1"/>
  <c r="S563" i="1" s="1"/>
  <c r="L564" i="1"/>
  <c r="M564" i="1" s="1"/>
  <c r="N564" i="1" s="1"/>
  <c r="S564" i="1" s="1"/>
  <c r="L565" i="1"/>
  <c r="M565" i="1" s="1"/>
  <c r="N565" i="1" s="1"/>
  <c r="L566" i="1"/>
  <c r="M566" i="1" s="1"/>
  <c r="L567" i="1"/>
  <c r="M567" i="1" s="1"/>
  <c r="L568" i="1"/>
  <c r="M568" i="1" s="1"/>
  <c r="N568" i="1" s="1"/>
  <c r="S568" i="1" s="1"/>
  <c r="L569" i="1"/>
  <c r="M569" i="1" s="1"/>
  <c r="L570" i="1"/>
  <c r="M570" i="1" s="1"/>
  <c r="N570" i="1" s="1"/>
  <c r="S570" i="1" s="1"/>
  <c r="L571" i="1"/>
  <c r="M571" i="1" s="1"/>
  <c r="N571" i="1" s="1"/>
  <c r="S571" i="1" s="1"/>
  <c r="L572" i="1"/>
  <c r="M572" i="1" s="1"/>
  <c r="L573" i="1"/>
  <c r="M573" i="1" s="1"/>
  <c r="N573" i="1" s="1"/>
  <c r="S573" i="1" s="1"/>
  <c r="L574" i="1"/>
  <c r="M574" i="1" s="1"/>
  <c r="N574" i="1" s="1"/>
  <c r="S574" i="1" s="1"/>
  <c r="L575" i="1"/>
  <c r="M575" i="1" s="1"/>
  <c r="N575" i="1" s="1"/>
  <c r="S575" i="1" s="1"/>
  <c r="L576" i="1"/>
  <c r="M576" i="1" s="1"/>
  <c r="N576" i="1" s="1"/>
  <c r="S576" i="1" s="1"/>
  <c r="L577" i="1"/>
  <c r="M577" i="1" s="1"/>
  <c r="N577" i="1" s="1"/>
  <c r="S577" i="1" s="1"/>
  <c r="L578" i="1"/>
  <c r="M578" i="1" s="1"/>
  <c r="N578" i="1" s="1"/>
  <c r="S578" i="1" s="1"/>
  <c r="L579" i="1"/>
  <c r="M579" i="1" s="1"/>
  <c r="S579" i="1" s="1"/>
  <c r="L580" i="1"/>
  <c r="M580" i="1" s="1"/>
  <c r="N580" i="1" s="1"/>
  <c r="S580" i="1" s="1"/>
  <c r="L581" i="1"/>
  <c r="M581" i="1" s="1"/>
  <c r="L582" i="1"/>
  <c r="M582" i="1" s="1"/>
  <c r="L583" i="1"/>
  <c r="M583" i="1" s="1"/>
  <c r="N583" i="1" s="1"/>
  <c r="S583" i="1" s="1"/>
  <c r="L584" i="1"/>
  <c r="M584" i="1" s="1"/>
  <c r="S584" i="1" s="1"/>
  <c r="L585" i="1"/>
  <c r="M585" i="1" s="1"/>
  <c r="N585" i="1" s="1"/>
  <c r="S585" i="1" s="1"/>
  <c r="L586" i="1"/>
  <c r="M586" i="1" s="1"/>
  <c r="L587" i="1"/>
  <c r="M587" i="1" s="1"/>
  <c r="N587" i="1" s="1"/>
  <c r="S587" i="1" s="1"/>
  <c r="L588" i="1"/>
  <c r="M588" i="1" s="1"/>
  <c r="N588" i="1" s="1"/>
  <c r="S588" i="1" s="1"/>
  <c r="L589" i="1"/>
  <c r="M589" i="1" s="1"/>
  <c r="L590" i="1"/>
  <c r="M590" i="1" s="1"/>
  <c r="L591" i="1"/>
  <c r="M591" i="1" s="1"/>
  <c r="N591" i="1" s="1"/>
  <c r="S591" i="1" s="1"/>
  <c r="L592" i="1"/>
  <c r="M592" i="1" s="1"/>
  <c r="L593" i="1"/>
  <c r="M593" i="1" s="1"/>
  <c r="L594" i="1"/>
  <c r="M594" i="1" s="1"/>
  <c r="N594" i="1" s="1"/>
  <c r="S594" i="1" s="1"/>
  <c r="L595" i="1"/>
  <c r="M595" i="1" s="1"/>
  <c r="L596" i="1"/>
  <c r="M596" i="1" s="1"/>
  <c r="N596" i="1" s="1"/>
  <c r="S596" i="1" s="1"/>
  <c r="L597" i="1"/>
  <c r="M597" i="1" s="1"/>
  <c r="L598" i="1"/>
  <c r="M598" i="1" s="1"/>
  <c r="L599" i="1"/>
  <c r="M599" i="1" s="1"/>
  <c r="N599" i="1" s="1"/>
  <c r="S599" i="1" s="1"/>
  <c r="L600" i="1"/>
  <c r="M600" i="1" s="1"/>
  <c r="N600" i="1" s="1"/>
  <c r="S600" i="1" s="1"/>
  <c r="L601" i="1"/>
  <c r="M601" i="1" s="1"/>
  <c r="L602" i="1"/>
  <c r="M602" i="1" s="1"/>
  <c r="L603" i="1"/>
  <c r="M603" i="1" s="1"/>
  <c r="N603" i="1" s="1"/>
  <c r="S603" i="1" s="1"/>
  <c r="L604" i="1"/>
  <c r="M604" i="1" s="1"/>
  <c r="N604" i="1" s="1"/>
  <c r="S604" i="1" s="1"/>
  <c r="L605" i="1"/>
  <c r="M605" i="1" s="1"/>
  <c r="L606" i="1"/>
  <c r="M606" i="1" s="1"/>
  <c r="N606" i="1" s="1"/>
  <c r="S606" i="1" s="1"/>
  <c r="L607" i="1"/>
  <c r="M607" i="1" s="1"/>
  <c r="L608" i="1"/>
  <c r="M608" i="1" s="1"/>
  <c r="N608" i="1" s="1"/>
  <c r="S608" i="1" s="1"/>
  <c r="L609" i="1"/>
  <c r="M609" i="1" s="1"/>
  <c r="L610" i="1"/>
  <c r="M610" i="1" s="1"/>
  <c r="N610" i="1" s="1"/>
  <c r="S610" i="1" s="1"/>
  <c r="L611" i="1"/>
  <c r="M611" i="1" s="1"/>
  <c r="N611" i="1" s="1"/>
  <c r="S611" i="1" s="1"/>
  <c r="L612" i="1"/>
  <c r="M612" i="1" s="1"/>
  <c r="S612" i="1" s="1"/>
  <c r="L613" i="1"/>
  <c r="M613" i="1" s="1"/>
  <c r="L614" i="1"/>
  <c r="M614" i="1" s="1"/>
  <c r="L615" i="1"/>
  <c r="M615" i="1" s="1"/>
  <c r="L616" i="1"/>
  <c r="M616" i="1" s="1"/>
  <c r="N616" i="1" s="1"/>
  <c r="S616" i="1" s="1"/>
  <c r="L617" i="1"/>
  <c r="M617" i="1" s="1"/>
  <c r="N617" i="1" s="1"/>
  <c r="S617" i="1" s="1"/>
  <c r="L618" i="1"/>
  <c r="M618" i="1" s="1"/>
  <c r="N618" i="1" s="1"/>
  <c r="S618" i="1" s="1"/>
  <c r="L619" i="1"/>
  <c r="M619" i="1" s="1"/>
  <c r="L620" i="1"/>
  <c r="M620" i="1" s="1"/>
  <c r="N620" i="1" s="1"/>
  <c r="S620" i="1" s="1"/>
  <c r="L621" i="1"/>
  <c r="M621" i="1" s="1"/>
  <c r="N621" i="1" s="1"/>
  <c r="S621" i="1" s="1"/>
  <c r="L622" i="1"/>
  <c r="M622" i="1" s="1"/>
  <c r="L623" i="1"/>
  <c r="M623" i="1" s="1"/>
  <c r="L624" i="1"/>
  <c r="M624" i="1" s="1"/>
  <c r="L625" i="1"/>
  <c r="M625" i="1" s="1"/>
  <c r="N625" i="1" s="1"/>
  <c r="S625" i="1" s="1"/>
  <c r="L626" i="1"/>
  <c r="M626" i="1" s="1"/>
  <c r="L627" i="1"/>
  <c r="M627" i="1" s="1"/>
  <c r="L628" i="1"/>
  <c r="M628" i="1" s="1"/>
  <c r="N628" i="1" s="1"/>
  <c r="S628" i="1" s="1"/>
  <c r="L629" i="1"/>
  <c r="M629" i="1" s="1"/>
  <c r="L630" i="1"/>
  <c r="M630" i="1" s="1"/>
  <c r="N630" i="1" s="1"/>
  <c r="S630" i="1" s="1"/>
  <c r="L631" i="1"/>
  <c r="M631" i="1" s="1"/>
  <c r="L632" i="1"/>
  <c r="M632" i="1" s="1"/>
  <c r="N632" i="1" s="1"/>
  <c r="S632" i="1" s="1"/>
  <c r="L633" i="1"/>
  <c r="M633" i="1" s="1"/>
  <c r="N633" i="1" s="1"/>
  <c r="S633" i="1" s="1"/>
  <c r="L634" i="1"/>
  <c r="M634" i="1" s="1"/>
  <c r="L635" i="1"/>
  <c r="M635" i="1" s="1"/>
  <c r="L636" i="1"/>
  <c r="M636" i="1" s="1"/>
  <c r="S636" i="1" s="1"/>
  <c r="L637" i="1"/>
  <c r="M637" i="1" s="1"/>
  <c r="N637" i="1" s="1"/>
  <c r="S637" i="1" s="1"/>
  <c r="L638" i="1"/>
  <c r="M638" i="1" s="1"/>
  <c r="N638" i="1" s="1"/>
  <c r="S638" i="1" s="1"/>
  <c r="L639" i="1"/>
  <c r="M639" i="1" s="1"/>
  <c r="N639" i="1" s="1"/>
  <c r="S639" i="1" s="1"/>
  <c r="L640" i="1"/>
  <c r="M640" i="1" s="1"/>
  <c r="N640" i="1" s="1"/>
  <c r="S640" i="1" s="1"/>
  <c r="L641" i="1"/>
  <c r="M641" i="1" s="1"/>
  <c r="N641" i="1" s="1"/>
  <c r="S641" i="1" s="1"/>
  <c r="L642" i="1"/>
  <c r="M642" i="1" s="1"/>
  <c r="L643" i="1"/>
  <c r="M643" i="1" s="1"/>
  <c r="L644" i="1"/>
  <c r="M644" i="1" s="1"/>
  <c r="L645" i="1"/>
  <c r="M645" i="1" s="1"/>
  <c r="L646" i="1"/>
  <c r="M646" i="1" s="1"/>
  <c r="L647" i="1"/>
  <c r="M647" i="1" s="1"/>
  <c r="L648" i="1"/>
  <c r="M648" i="1" s="1"/>
  <c r="N648" i="1" s="1"/>
  <c r="S648" i="1" s="1"/>
  <c r="L649" i="1"/>
  <c r="M649" i="1" s="1"/>
  <c r="L650" i="1"/>
  <c r="M650" i="1" s="1"/>
  <c r="N650" i="1" s="1"/>
  <c r="S650" i="1" s="1"/>
  <c r="L651" i="1"/>
  <c r="M651" i="1" s="1"/>
  <c r="L652" i="1"/>
  <c r="M652" i="1" s="1"/>
  <c r="L653" i="1"/>
  <c r="M653" i="1" s="1"/>
  <c r="N653" i="1" s="1"/>
  <c r="S653" i="1" s="1"/>
  <c r="L654" i="1"/>
  <c r="M654" i="1" s="1"/>
  <c r="N654" i="1" s="1"/>
  <c r="S654" i="1" s="1"/>
  <c r="L655" i="1"/>
  <c r="M655" i="1" s="1"/>
  <c r="L656" i="1"/>
  <c r="M656" i="1" s="1"/>
  <c r="S656" i="1" s="1"/>
  <c r="L657" i="1"/>
  <c r="M657" i="1" s="1"/>
  <c r="N657" i="1" s="1"/>
  <c r="S657" i="1" s="1"/>
  <c r="L658" i="1"/>
  <c r="M658" i="1" s="1"/>
  <c r="L659" i="1"/>
  <c r="M659" i="1" s="1"/>
  <c r="N659" i="1" s="1"/>
  <c r="S659" i="1" s="1"/>
  <c r="L660" i="1"/>
  <c r="M660" i="1" s="1"/>
  <c r="N660" i="1" s="1"/>
  <c r="S660" i="1" s="1"/>
  <c r="L661" i="1"/>
  <c r="M661" i="1" s="1"/>
  <c r="N661" i="1" s="1"/>
  <c r="S661" i="1" s="1"/>
  <c r="L662" i="1"/>
  <c r="M662" i="1" s="1"/>
  <c r="N662" i="1" s="1"/>
  <c r="S662" i="1" s="1"/>
  <c r="L663" i="1"/>
  <c r="M663" i="1" s="1"/>
  <c r="N663" i="1" s="1"/>
  <c r="S663" i="1" s="1"/>
  <c r="L664" i="1"/>
  <c r="M664" i="1" s="1"/>
  <c r="N664" i="1" s="1"/>
  <c r="S664" i="1" s="1"/>
  <c r="L665" i="1"/>
  <c r="M665" i="1" s="1"/>
  <c r="N665" i="1" s="1"/>
  <c r="S665" i="1" s="1"/>
  <c r="L666" i="1"/>
  <c r="M666" i="1" s="1"/>
  <c r="N666" i="1" s="1"/>
  <c r="S666" i="1" s="1"/>
  <c r="L667" i="1"/>
  <c r="M667" i="1" s="1"/>
  <c r="N667" i="1" s="1"/>
  <c r="S667" i="1" s="1"/>
  <c r="L668" i="1"/>
  <c r="M668" i="1" s="1"/>
  <c r="N668" i="1" s="1"/>
  <c r="S668" i="1" s="1"/>
  <c r="L669" i="1"/>
  <c r="M669" i="1" s="1"/>
  <c r="L670" i="1"/>
  <c r="M670" i="1" s="1"/>
  <c r="N670" i="1" s="1"/>
  <c r="S670" i="1" s="1"/>
  <c r="L671" i="1"/>
  <c r="M671" i="1" s="1"/>
  <c r="N671" i="1" s="1"/>
  <c r="S671" i="1" s="1"/>
  <c r="L672" i="1"/>
  <c r="M672" i="1" s="1"/>
  <c r="N672" i="1" s="1"/>
  <c r="S672" i="1" s="1"/>
  <c r="L673" i="1"/>
  <c r="M673" i="1" s="1"/>
  <c r="N673" i="1" s="1"/>
  <c r="S673" i="1" s="1"/>
  <c r="L674" i="1"/>
  <c r="M674" i="1" s="1"/>
  <c r="N674" i="1" s="1"/>
  <c r="S674" i="1" s="1"/>
  <c r="L675" i="1"/>
  <c r="M675" i="1" s="1"/>
  <c r="L676" i="1"/>
  <c r="M676" i="1" s="1"/>
  <c r="N676" i="1" s="1"/>
  <c r="S676" i="1" s="1"/>
  <c r="L677" i="1"/>
  <c r="M677" i="1" s="1"/>
  <c r="L678" i="1"/>
  <c r="M678" i="1" s="1"/>
  <c r="N678" i="1" s="1"/>
  <c r="S678" i="1" s="1"/>
  <c r="L679" i="1"/>
  <c r="M679" i="1" s="1"/>
  <c r="N679" i="1" s="1"/>
  <c r="S679" i="1" s="1"/>
  <c r="L680" i="1"/>
  <c r="M680" i="1" s="1"/>
  <c r="L681" i="1"/>
  <c r="M681" i="1" s="1"/>
  <c r="L682" i="1"/>
  <c r="M682" i="1" s="1"/>
  <c r="L683" i="1"/>
  <c r="M683" i="1" s="1"/>
  <c r="N683" i="1" s="1"/>
  <c r="S683" i="1" s="1"/>
  <c r="L684" i="1"/>
  <c r="M684" i="1" s="1"/>
  <c r="N684" i="1" s="1"/>
  <c r="S684" i="1" s="1"/>
  <c r="L685" i="1"/>
  <c r="M685" i="1" s="1"/>
  <c r="N685" i="1" s="1"/>
  <c r="S685" i="1" s="1"/>
  <c r="L686" i="1"/>
  <c r="M686" i="1" s="1"/>
  <c r="L687" i="1"/>
  <c r="M687" i="1" s="1"/>
  <c r="N687" i="1" s="1"/>
  <c r="S687" i="1" s="1"/>
  <c r="L688" i="1"/>
  <c r="M688" i="1" s="1"/>
  <c r="N688" i="1" s="1"/>
  <c r="S688" i="1" s="1"/>
  <c r="L689" i="1"/>
  <c r="M689" i="1" s="1"/>
  <c r="L690" i="1"/>
  <c r="M690" i="1" s="1"/>
  <c r="L691" i="1"/>
  <c r="M691" i="1" s="1"/>
  <c r="N691" i="1" s="1"/>
  <c r="S691" i="1" s="1"/>
  <c r="L692" i="1"/>
  <c r="M692" i="1" s="1"/>
  <c r="N692" i="1" s="1"/>
  <c r="S692" i="1" s="1"/>
  <c r="L693" i="1"/>
  <c r="M693" i="1" s="1"/>
  <c r="L694" i="1"/>
  <c r="M694" i="1" s="1"/>
  <c r="L695" i="1"/>
  <c r="M695" i="1" s="1"/>
  <c r="N695" i="1" s="1"/>
  <c r="S695" i="1" s="1"/>
  <c r="L696" i="1"/>
  <c r="M696" i="1" s="1"/>
  <c r="N696" i="1" s="1"/>
  <c r="S696" i="1" s="1"/>
  <c r="L697" i="1"/>
  <c r="M697" i="1" s="1"/>
  <c r="L698" i="1"/>
  <c r="M698" i="1" s="1"/>
  <c r="N698" i="1" s="1"/>
  <c r="S698" i="1" s="1"/>
  <c r="L699" i="1"/>
  <c r="M699" i="1" s="1"/>
  <c r="S699" i="1" s="1"/>
  <c r="L700" i="1"/>
  <c r="M700" i="1" s="1"/>
  <c r="L701" i="1"/>
  <c r="M701" i="1" s="1"/>
  <c r="L702" i="1"/>
  <c r="M702" i="1" s="1"/>
  <c r="N702" i="1" s="1"/>
  <c r="S702" i="1" s="1"/>
  <c r="L703" i="1"/>
  <c r="M703" i="1" s="1"/>
  <c r="L704" i="1"/>
  <c r="M704" i="1" s="1"/>
  <c r="N704" i="1" s="1"/>
  <c r="S704" i="1" s="1"/>
  <c r="L705" i="1"/>
  <c r="M705" i="1" s="1"/>
  <c r="N705" i="1" s="1"/>
  <c r="S705" i="1" s="1"/>
  <c r="L706" i="1"/>
  <c r="M706" i="1" s="1"/>
  <c r="N706" i="1" s="1"/>
  <c r="S706" i="1" s="1"/>
  <c r="L707" i="1"/>
  <c r="M707" i="1" s="1"/>
  <c r="L708" i="1"/>
  <c r="M708" i="1" s="1"/>
  <c r="L709" i="1"/>
  <c r="M709" i="1" s="1"/>
  <c r="N709" i="1" s="1"/>
  <c r="S709" i="1" s="1"/>
  <c r="L710" i="1"/>
  <c r="M710" i="1" s="1"/>
  <c r="N710" i="1" s="1"/>
  <c r="S710" i="1" s="1"/>
  <c r="L711" i="1"/>
  <c r="M711" i="1" s="1"/>
  <c r="N711" i="1" s="1"/>
  <c r="S711" i="1" s="1"/>
  <c r="L712" i="1"/>
  <c r="M712" i="1" s="1"/>
  <c r="N712" i="1" s="1"/>
  <c r="S712" i="1" s="1"/>
  <c r="L713" i="1"/>
  <c r="M713" i="1" s="1"/>
  <c r="L714" i="1"/>
  <c r="M714" i="1" s="1"/>
  <c r="L715" i="1"/>
  <c r="M715" i="1" s="1"/>
  <c r="N715" i="1" s="1"/>
  <c r="S715" i="1" s="1"/>
  <c r="L716" i="1"/>
  <c r="M716" i="1" s="1"/>
  <c r="N716" i="1" s="1"/>
  <c r="S716" i="1" s="1"/>
  <c r="L717" i="1"/>
  <c r="M717" i="1" s="1"/>
  <c r="L718" i="1"/>
  <c r="M718" i="1" s="1"/>
  <c r="L719" i="1"/>
  <c r="M719" i="1" s="1"/>
  <c r="L720" i="1"/>
  <c r="M720" i="1" s="1"/>
  <c r="L721" i="1"/>
  <c r="M721" i="1" s="1"/>
  <c r="N721" i="1" s="1"/>
  <c r="S721" i="1" s="1"/>
  <c r="L722" i="1"/>
  <c r="M722" i="1" s="1"/>
  <c r="N722" i="1" s="1"/>
  <c r="S722" i="1" s="1"/>
  <c r="L723" i="1"/>
  <c r="M723" i="1" s="1"/>
  <c r="L724" i="1"/>
  <c r="M724" i="1" s="1"/>
  <c r="L725" i="1"/>
  <c r="M725" i="1" s="1"/>
  <c r="N725" i="1" s="1"/>
  <c r="S725" i="1" s="1"/>
  <c r="L726" i="1"/>
  <c r="M726" i="1" s="1"/>
  <c r="N726" i="1" s="1"/>
  <c r="S726" i="1" s="1"/>
  <c r="L727" i="1"/>
  <c r="M727" i="1" s="1"/>
  <c r="N727" i="1" s="1"/>
  <c r="S727" i="1" s="1"/>
  <c r="L728" i="1"/>
  <c r="M728" i="1" s="1"/>
  <c r="L729" i="1"/>
  <c r="M729" i="1" s="1"/>
  <c r="L730" i="1"/>
  <c r="M730" i="1" s="1"/>
  <c r="L731" i="1"/>
  <c r="M731" i="1" s="1"/>
  <c r="L732" i="1"/>
  <c r="M732" i="1" s="1"/>
  <c r="L733" i="1"/>
  <c r="M733" i="1" s="1"/>
  <c r="L734" i="1"/>
  <c r="M734" i="1" s="1"/>
  <c r="L735" i="1"/>
  <c r="M735" i="1" s="1"/>
  <c r="N735" i="1" s="1"/>
  <c r="S735" i="1" s="1"/>
  <c r="L736" i="1"/>
  <c r="M736" i="1" s="1"/>
  <c r="N736" i="1" s="1"/>
  <c r="S736" i="1" s="1"/>
  <c r="L737" i="1"/>
  <c r="M737" i="1" s="1"/>
  <c r="L738" i="1"/>
  <c r="M738" i="1" s="1"/>
  <c r="L739" i="1"/>
  <c r="M739" i="1" s="1"/>
  <c r="L740" i="1"/>
  <c r="M740" i="1" s="1"/>
  <c r="N740" i="1" s="1"/>
  <c r="S740" i="1" s="1"/>
  <c r="L741" i="1"/>
  <c r="M741" i="1" s="1"/>
  <c r="L742" i="1"/>
  <c r="M742" i="1" s="1"/>
  <c r="L743" i="1"/>
  <c r="M743" i="1" s="1"/>
  <c r="L744" i="1"/>
  <c r="M744" i="1" s="1"/>
  <c r="L745" i="1"/>
  <c r="M745" i="1" s="1"/>
  <c r="N745" i="1" s="1"/>
  <c r="S745" i="1" s="1"/>
  <c r="L746" i="1"/>
  <c r="M746" i="1" s="1"/>
  <c r="N746" i="1" s="1"/>
  <c r="S746" i="1" s="1"/>
  <c r="L747" i="1"/>
  <c r="M747" i="1" s="1"/>
  <c r="N747" i="1" s="1"/>
  <c r="S747" i="1" s="1"/>
  <c r="L748" i="1"/>
  <c r="M748" i="1" s="1"/>
  <c r="L749" i="1"/>
  <c r="M749" i="1" s="1"/>
  <c r="L750" i="1"/>
  <c r="M750" i="1" s="1"/>
  <c r="N750" i="1" s="1"/>
  <c r="S750" i="1" s="1"/>
  <c r="L751" i="1"/>
  <c r="M751" i="1" s="1"/>
  <c r="L752" i="1"/>
  <c r="M752" i="1" s="1"/>
  <c r="L753" i="1"/>
  <c r="M753" i="1" s="1"/>
  <c r="L754" i="1"/>
  <c r="M754" i="1" s="1"/>
  <c r="N754" i="1" s="1"/>
  <c r="S754" i="1" s="1"/>
  <c r="L755" i="1"/>
  <c r="M755" i="1" s="1"/>
  <c r="L756" i="1"/>
  <c r="M756" i="1" s="1"/>
  <c r="N756" i="1" s="1"/>
  <c r="S756" i="1" s="1"/>
  <c r="L757" i="1"/>
  <c r="M757" i="1" s="1"/>
  <c r="N757" i="1" s="1"/>
  <c r="S757" i="1" s="1"/>
  <c r="L758" i="1"/>
  <c r="M758" i="1" s="1"/>
  <c r="L759" i="1"/>
  <c r="M759" i="1" s="1"/>
  <c r="N759" i="1" s="1"/>
  <c r="S759" i="1" s="1"/>
  <c r="L760" i="1"/>
  <c r="M760" i="1" s="1"/>
  <c r="L761" i="1"/>
  <c r="M761" i="1" s="1"/>
  <c r="S761" i="1" s="1"/>
  <c r="L762" i="1"/>
  <c r="M762" i="1" s="1"/>
  <c r="N762" i="1" s="1"/>
  <c r="S762" i="1" s="1"/>
  <c r="L763" i="1"/>
  <c r="M763" i="1" s="1"/>
  <c r="S763" i="1" s="1"/>
  <c r="L764" i="1"/>
  <c r="M764" i="1" s="1"/>
  <c r="L765" i="1"/>
  <c r="M765" i="1" s="1"/>
  <c r="L766" i="1"/>
  <c r="M766" i="1" s="1"/>
  <c r="N766" i="1" s="1"/>
  <c r="S766" i="1" s="1"/>
  <c r="L767" i="1"/>
  <c r="M767" i="1" s="1"/>
  <c r="L768" i="1"/>
  <c r="M768" i="1" s="1"/>
  <c r="N768" i="1" s="1"/>
  <c r="S768" i="1" s="1"/>
  <c r="L769" i="1"/>
  <c r="M769" i="1" s="1"/>
  <c r="N769" i="1" s="1"/>
  <c r="S769" i="1" s="1"/>
  <c r="L770" i="1"/>
  <c r="M770" i="1" s="1"/>
  <c r="N770" i="1" s="1"/>
  <c r="S770" i="1" s="1"/>
  <c r="L771" i="1"/>
  <c r="M771" i="1" s="1"/>
  <c r="N771" i="1" s="1"/>
  <c r="S771" i="1" s="1"/>
  <c r="L772" i="1"/>
  <c r="M772" i="1" s="1"/>
  <c r="L773" i="1"/>
  <c r="M773" i="1" s="1"/>
  <c r="L774" i="1"/>
  <c r="M774" i="1" s="1"/>
  <c r="S774" i="1" s="1"/>
  <c r="L775" i="1"/>
  <c r="M775" i="1" s="1"/>
  <c r="N775" i="1" s="1"/>
  <c r="S775" i="1" s="1"/>
  <c r="L776" i="1"/>
  <c r="M776" i="1" s="1"/>
  <c r="N776" i="1" s="1"/>
  <c r="S776" i="1" s="1"/>
  <c r="L777" i="1"/>
  <c r="M777" i="1" s="1"/>
  <c r="L778" i="1"/>
  <c r="M778" i="1" s="1"/>
  <c r="N778" i="1" s="1"/>
  <c r="S778" i="1" s="1"/>
  <c r="L779" i="1"/>
  <c r="M779" i="1" s="1"/>
  <c r="N779" i="1" s="1"/>
  <c r="S779" i="1" s="1"/>
  <c r="L780" i="1"/>
  <c r="M780" i="1" s="1"/>
  <c r="S780" i="1" s="1"/>
  <c r="L781" i="1"/>
  <c r="M781" i="1" s="1"/>
  <c r="L782" i="1"/>
  <c r="M782" i="1" s="1"/>
  <c r="N782" i="1" s="1"/>
  <c r="S782" i="1" s="1"/>
  <c r="L783" i="1"/>
  <c r="M783" i="1" s="1"/>
  <c r="N783" i="1" s="1"/>
  <c r="S783" i="1" s="1"/>
  <c r="L784" i="1"/>
  <c r="M784" i="1" s="1"/>
  <c r="N784" i="1" s="1"/>
  <c r="S784" i="1" s="1"/>
  <c r="L785" i="1"/>
  <c r="M785" i="1" s="1"/>
  <c r="N785" i="1" s="1"/>
  <c r="S785" i="1" s="1"/>
  <c r="L786" i="1"/>
  <c r="M786" i="1" s="1"/>
  <c r="L787" i="1"/>
  <c r="M787" i="1" s="1"/>
  <c r="N787" i="1" s="1"/>
  <c r="S787" i="1" s="1"/>
  <c r="L788" i="1"/>
  <c r="M788" i="1" s="1"/>
  <c r="N788" i="1" s="1"/>
  <c r="S788" i="1" s="1"/>
  <c r="L789" i="1"/>
  <c r="M789" i="1" s="1"/>
  <c r="L790" i="1"/>
  <c r="M790" i="1" s="1"/>
  <c r="N790" i="1" s="1"/>
  <c r="S790" i="1" s="1"/>
  <c r="L791" i="1"/>
  <c r="M791" i="1" s="1"/>
  <c r="N791" i="1" s="1"/>
  <c r="S791" i="1" s="1"/>
  <c r="L792" i="1"/>
  <c r="M792" i="1" s="1"/>
  <c r="L793" i="1"/>
  <c r="M793" i="1" s="1"/>
  <c r="N792" i="1" s="1"/>
  <c r="L794" i="1"/>
  <c r="M794" i="1" s="1"/>
  <c r="N794" i="1" s="1"/>
  <c r="S794" i="1" s="1"/>
  <c r="L795" i="1"/>
  <c r="M795" i="1" s="1"/>
  <c r="N795" i="1" s="1"/>
  <c r="S795" i="1" s="1"/>
  <c r="L796" i="1"/>
  <c r="M796" i="1" s="1"/>
  <c r="L797" i="1"/>
  <c r="M797" i="1" s="1"/>
  <c r="N797" i="1" s="1"/>
  <c r="S797" i="1" s="1"/>
  <c r="L798" i="1"/>
  <c r="M798" i="1" s="1"/>
  <c r="N798" i="1" s="1"/>
  <c r="S798" i="1" s="1"/>
  <c r="L799" i="1"/>
  <c r="M799" i="1" s="1"/>
  <c r="N799" i="1" s="1"/>
  <c r="S799" i="1" s="1"/>
  <c r="L800" i="1"/>
  <c r="M800" i="1" s="1"/>
  <c r="L801" i="1"/>
  <c r="M801" i="1" s="1"/>
  <c r="N801" i="1" s="1"/>
  <c r="S801" i="1" s="1"/>
  <c r="L802" i="1"/>
  <c r="M802" i="1" s="1"/>
  <c r="L803" i="1"/>
  <c r="M803" i="1" s="1"/>
  <c r="L2" i="1"/>
  <c r="M2" i="1" s="1"/>
  <c r="N19" i="1"/>
  <c r="S19" i="1" s="1"/>
  <c r="N183" i="1"/>
  <c r="S183" i="1" s="1"/>
  <c r="N13" i="1"/>
  <c r="S13" i="1" s="1"/>
  <c r="N622" i="1" l="1"/>
  <c r="S622" i="1" s="1"/>
  <c r="N266" i="1"/>
  <c r="S266" i="1" s="1"/>
  <c r="N214" i="1"/>
  <c r="S214" i="1" s="1"/>
  <c r="N803" i="1"/>
  <c r="S803" i="1" s="1"/>
  <c r="N135" i="1"/>
  <c r="S135" i="1" s="1"/>
  <c r="N609" i="1"/>
  <c r="S609" i="1" s="1"/>
  <c r="N284" i="1"/>
  <c r="S284" i="1" s="1"/>
  <c r="N89" i="1"/>
  <c r="S89" i="1" s="1"/>
  <c r="N82" i="1"/>
  <c r="S82" i="1" s="1"/>
  <c r="N91" i="1"/>
  <c r="S91" i="1" s="1"/>
  <c r="N649" i="1"/>
  <c r="S649" i="1" s="1"/>
  <c r="S74" i="1"/>
  <c r="N2" i="1"/>
  <c r="M804" i="1"/>
  <c r="N758" i="1"/>
  <c r="S758" i="1" s="1"/>
  <c r="N75" i="1"/>
  <c r="S75" i="1" s="1"/>
  <c r="N31" i="1"/>
  <c r="S31" i="1" s="1"/>
  <c r="N330" i="1"/>
  <c r="S330" i="1" s="1"/>
  <c r="N286" i="1"/>
  <c r="S286" i="1" s="1"/>
  <c r="N382" i="1"/>
  <c r="S382" i="1" s="1"/>
  <c r="N450" i="1"/>
  <c r="S450" i="1" s="1"/>
  <c r="N728" i="1"/>
  <c r="S728" i="1" s="1"/>
  <c r="N731" i="1"/>
  <c r="S731" i="1" s="1"/>
  <c r="N119" i="1"/>
  <c r="S119" i="1" s="1"/>
  <c r="N645" i="1"/>
  <c r="S645" i="1" s="1"/>
  <c r="N741" i="1"/>
  <c r="S741" i="1" s="1"/>
  <c r="N556" i="1"/>
  <c r="S556" i="1" s="1"/>
  <c r="N22" i="1"/>
  <c r="S22" i="1" s="1"/>
  <c r="N83" i="1"/>
  <c r="S83" i="1" s="1"/>
  <c r="N395" i="1"/>
  <c r="S395" i="1" s="1"/>
  <c r="N789" i="1"/>
  <c r="S789" i="1" s="1"/>
  <c r="N755" i="1"/>
  <c r="S755" i="1" s="1"/>
  <c r="N241" i="1"/>
  <c r="S241" i="1" s="1"/>
  <c r="N767" i="1"/>
  <c r="S767" i="1" s="1"/>
  <c r="N449" i="1"/>
  <c r="S449" i="1" s="1"/>
  <c r="N677" i="1"/>
  <c r="S677" i="1" s="1"/>
  <c r="N760" i="1"/>
  <c r="S760" i="1" s="1"/>
  <c r="N772" i="1"/>
  <c r="S772" i="1" s="1"/>
  <c r="N293" i="1"/>
  <c r="S293" i="1" s="1"/>
  <c r="N549" i="1"/>
  <c r="S549" i="1" s="1"/>
  <c r="N292" i="1"/>
  <c r="S292" i="1" s="1"/>
  <c r="N252" i="1"/>
  <c r="S252" i="1" s="1"/>
  <c r="N669" i="1"/>
  <c r="S669" i="1" s="1"/>
  <c r="N462" i="1"/>
  <c r="S462" i="1" s="1"/>
  <c r="N459" i="1"/>
  <c r="S459" i="1" s="1"/>
  <c r="N498" i="1"/>
  <c r="S498" i="1" s="1"/>
  <c r="N426" i="1"/>
  <c r="S426" i="1" s="1"/>
  <c r="N802" i="1"/>
  <c r="S802" i="1" s="1"/>
  <c r="N215" i="1"/>
  <c r="S215" i="1" s="1"/>
  <c r="N220" i="1"/>
  <c r="S220" i="1" s="1"/>
  <c r="N139" i="1"/>
  <c r="S139" i="1" s="1"/>
  <c r="N445" i="1"/>
  <c r="S445" i="1" s="1"/>
  <c r="N781" i="1"/>
  <c r="S781" i="1" s="1"/>
  <c r="N283" i="1"/>
  <c r="S283" i="1" s="1"/>
  <c r="N289" i="1"/>
  <c r="S289" i="1" s="1"/>
  <c r="N136" i="1"/>
  <c r="S136" i="1" s="1"/>
  <c r="N128" i="1"/>
  <c r="S128" i="1" s="1"/>
  <c r="N243" i="1"/>
  <c r="S243" i="1" s="1"/>
  <c r="N153" i="1"/>
  <c r="S153" i="1" s="1"/>
  <c r="N338" i="1"/>
  <c r="S338" i="1" s="1"/>
  <c r="N288" i="1"/>
  <c r="S288" i="1" s="1"/>
  <c r="N248" i="1"/>
  <c r="S248" i="1" s="1"/>
  <c r="N151" i="1"/>
  <c r="S151" i="1" s="1"/>
  <c r="N143" i="1"/>
  <c r="S143" i="1" s="1"/>
  <c r="N777" i="1"/>
  <c r="S777" i="1" s="1"/>
  <c r="N536" i="1"/>
  <c r="S536" i="1" s="1"/>
  <c r="N352" i="1"/>
  <c r="S352" i="1" s="1"/>
  <c r="N279" i="1"/>
  <c r="S279" i="1" s="1"/>
  <c r="N134" i="1"/>
  <c r="S134" i="1" s="1"/>
  <c r="N79" i="1"/>
  <c r="S79" i="1" s="1"/>
  <c r="N63" i="1"/>
  <c r="S63" i="1" s="1"/>
  <c r="N422" i="1"/>
  <c r="S422" i="1" s="1"/>
  <c r="N680" i="1"/>
  <c r="S680" i="1" s="1"/>
  <c r="D813" i="1"/>
  <c r="N335" i="1"/>
  <c r="S335" i="1" s="1"/>
  <c r="N11" i="1"/>
  <c r="S11" i="1" s="1"/>
  <c r="N3" i="1"/>
  <c r="S3" i="1" s="1"/>
  <c r="N605" i="1"/>
  <c r="S605" i="1" s="1"/>
  <c r="N619" i="1"/>
  <c r="S619" i="1" s="1"/>
  <c r="N602" i="1"/>
  <c r="S602" i="1" s="1"/>
  <c r="N613" i="1"/>
  <c r="S613" i="1" s="1"/>
  <c r="N601" i="1"/>
  <c r="S601" i="1" s="1"/>
  <c r="N615" i="1"/>
  <c r="S615" i="1" s="1"/>
  <c r="N629" i="1"/>
  <c r="S629" i="1" s="1"/>
  <c r="N542" i="1"/>
  <c r="S542" i="1" s="1"/>
  <c r="N543" i="1"/>
  <c r="S543" i="1" s="1"/>
  <c r="N474" i="1"/>
  <c r="S474" i="1" s="1"/>
  <c r="N379" i="1"/>
  <c r="S379" i="1" s="1"/>
  <c r="N270" i="1"/>
  <c r="S270" i="1" s="1"/>
  <c r="S792" i="1"/>
  <c r="N626" i="1"/>
  <c r="S626" i="1" s="1"/>
  <c r="N646" i="1"/>
  <c r="S646" i="1" s="1"/>
  <c r="N796" i="1"/>
  <c r="S796" i="1" s="1"/>
  <c r="N793" i="1"/>
  <c r="S793" i="1" s="1"/>
  <c r="N447" i="1"/>
  <c r="S447" i="1" s="1"/>
  <c r="N800" i="1"/>
  <c r="S800" i="1" s="1"/>
  <c r="N111" i="1"/>
  <c r="S111" i="1" s="1"/>
  <c r="N297" i="1"/>
  <c r="S297" i="1" s="1"/>
  <c r="N737" i="1"/>
  <c r="S737" i="1" s="1"/>
  <c r="N738" i="1"/>
  <c r="S738" i="1" s="1"/>
  <c r="N690" i="1"/>
  <c r="S690" i="1" s="1"/>
  <c r="N634" i="1"/>
  <c r="S634" i="1" s="1"/>
  <c r="N561" i="1"/>
  <c r="S561" i="1" s="1"/>
  <c r="N651" i="1"/>
  <c r="S651" i="1" s="1"/>
  <c r="N624" i="1"/>
  <c r="S624" i="1" s="1"/>
  <c r="N590" i="1"/>
  <c r="S590" i="1" s="1"/>
  <c r="N592" i="1"/>
  <c r="S592" i="1" s="1"/>
  <c r="N739" i="1"/>
  <c r="S739" i="1" s="1"/>
  <c r="N589" i="1"/>
  <c r="S589" i="1" s="1"/>
  <c r="N694" i="1"/>
  <c r="S694" i="1" s="1"/>
  <c r="N567" i="1"/>
  <c r="S567" i="1" s="1"/>
  <c r="N627" i="1"/>
  <c r="S627" i="1" s="1"/>
  <c r="N581" i="1"/>
  <c r="S581" i="1" s="1"/>
  <c r="N751" i="1"/>
  <c r="S751" i="1" s="1"/>
  <c r="N697" i="1"/>
  <c r="S697" i="1" s="1"/>
  <c r="N598" i="1"/>
  <c r="S598" i="1" s="1"/>
  <c r="N714" i="1"/>
  <c r="S714" i="1" s="1"/>
  <c r="N752" i="1"/>
  <c r="S752" i="1" s="1"/>
  <c r="S565" i="1"/>
  <c r="N720" i="1"/>
  <c r="S720" i="1" s="1"/>
  <c r="N642" i="1"/>
  <c r="S642" i="1" s="1"/>
  <c r="N34" i="1"/>
  <c r="S34" i="1" s="1"/>
  <c r="N42" i="1"/>
  <c r="S42" i="1" s="1"/>
  <c r="N147" i="1"/>
  <c r="S147" i="1" s="1"/>
  <c r="N360" i="1"/>
  <c r="S360" i="1" s="1"/>
  <c r="N127" i="1"/>
  <c r="S127" i="1" s="1"/>
  <c r="N155" i="1"/>
  <c r="S155" i="1" s="1"/>
  <c r="N213" i="1"/>
  <c r="S213" i="1" s="1"/>
  <c r="N67" i="1"/>
  <c r="S67" i="1" s="1"/>
  <c r="N17" i="1"/>
  <c r="S17" i="1" s="1"/>
  <c r="N370" i="1"/>
  <c r="S370" i="1" s="1"/>
  <c r="N341" i="1"/>
  <c r="S341" i="1" s="1"/>
  <c r="N552" i="1"/>
  <c r="S552" i="1" s="1"/>
  <c r="N431" i="1"/>
  <c r="S431" i="1" s="1"/>
  <c r="N209" i="1"/>
  <c r="S209" i="1" s="1"/>
  <c r="N408" i="1"/>
  <c r="S408" i="1" s="1"/>
  <c r="N358" i="1"/>
  <c r="S358" i="1" s="1"/>
  <c r="N342" i="1"/>
  <c r="S342" i="1" s="1"/>
  <c r="N409" i="1"/>
  <c r="S409" i="1" s="1"/>
  <c r="N419" i="1"/>
  <c r="S419" i="1" s="1"/>
  <c r="N207" i="1"/>
  <c r="S207" i="1" s="1"/>
  <c r="N33" i="1"/>
  <c r="S33" i="1" s="1"/>
  <c r="N786" i="1"/>
  <c r="S786" i="1" s="1"/>
  <c r="N193" i="1"/>
  <c r="S193" i="1" s="1"/>
  <c r="N337" i="1"/>
  <c r="S337" i="1" s="1"/>
  <c r="N36" i="1"/>
  <c r="S36" i="1" s="1"/>
  <c r="N229" i="1"/>
  <c r="S229" i="1" s="1"/>
  <c r="N328" i="1"/>
  <c r="S328" i="1" s="1"/>
  <c r="N423" i="1"/>
  <c r="S423" i="1" s="1"/>
  <c r="N390" i="1"/>
  <c r="S390" i="1" s="1"/>
  <c r="N544" i="1"/>
  <c r="S544" i="1" s="1"/>
  <c r="N675" i="1"/>
  <c r="S675" i="1" s="1"/>
  <c r="N16" i="1"/>
  <c r="S16" i="1" s="1"/>
  <c r="N122" i="1"/>
  <c r="S122" i="1" s="1"/>
  <c r="N406" i="1"/>
  <c r="S406" i="1" s="1"/>
  <c r="N231" i="1"/>
  <c r="S231" i="1" s="1"/>
  <c r="N331" i="1"/>
  <c r="S331" i="1" s="1"/>
  <c r="N210" i="1"/>
  <c r="S210" i="1" s="1"/>
  <c r="N160" i="1"/>
  <c r="S160" i="1" s="1"/>
  <c r="N32" i="1"/>
  <c r="S32" i="1" s="1"/>
  <c r="N503" i="1"/>
  <c r="S503" i="1" s="1"/>
  <c r="N53" i="1"/>
  <c r="S53" i="1" s="1"/>
  <c r="N148" i="1"/>
  <c r="S148" i="1" s="1"/>
  <c r="N71" i="1"/>
  <c r="S71" i="1" s="1"/>
  <c r="N227" i="1"/>
  <c r="S227" i="1" s="1"/>
  <c r="N235" i="1"/>
  <c r="S235" i="1" s="1"/>
  <c r="N133" i="1"/>
  <c r="S133" i="1" s="1"/>
  <c r="N351" i="1"/>
  <c r="S351" i="1" s="1"/>
  <c r="N44" i="1"/>
  <c r="S44" i="1" s="1"/>
  <c r="N336" i="1"/>
  <c r="S336" i="1" s="1"/>
  <c r="N90" i="1"/>
  <c r="S90" i="1" s="1"/>
  <c r="N49" i="1"/>
  <c r="S49" i="1" s="1"/>
  <c r="N773" i="1"/>
  <c r="S773" i="1" s="1"/>
  <c r="N221" i="1"/>
  <c r="S221" i="1" s="1"/>
  <c r="N362" i="1"/>
  <c r="S362" i="1" s="1"/>
  <c r="N487" i="1"/>
  <c r="S487" i="1" s="1"/>
  <c r="N400" i="1"/>
  <c r="S400" i="1" s="1"/>
  <c r="N217" i="1"/>
  <c r="S217" i="1" s="1"/>
  <c r="N764" i="1"/>
  <c r="S764" i="1" s="1"/>
  <c r="N218" i="1"/>
  <c r="S218" i="1" s="1"/>
  <c r="N192" i="1"/>
  <c r="S192" i="1" s="1"/>
  <c r="N372" i="1"/>
  <c r="S372" i="1" s="1"/>
  <c r="N514" i="1"/>
  <c r="S514" i="1" s="1"/>
  <c r="N765" i="1"/>
  <c r="S765" i="1" s="1"/>
  <c r="N224" i="1"/>
  <c r="S224" i="1" s="1"/>
  <c r="N41" i="1"/>
  <c r="S41" i="1" s="1"/>
  <c r="N138" i="1"/>
  <c r="S138" i="1" s="1"/>
  <c r="N69" i="1"/>
  <c r="S69" i="1" s="1"/>
  <c r="N523" i="1"/>
  <c r="S523" i="1" s="1"/>
  <c r="N489" i="1"/>
  <c r="S489" i="1" s="1"/>
  <c r="N29" i="1"/>
  <c r="S29" i="1" s="1"/>
  <c r="E575" i="3"/>
  <c r="N753" i="1"/>
  <c r="S753" i="1" s="1"/>
  <c r="N749" i="1"/>
  <c r="S749" i="1" s="1"/>
  <c r="N748" i="1"/>
  <c r="S748" i="1" s="1"/>
  <c r="N744" i="1"/>
  <c r="S744" i="1" s="1"/>
  <c r="N743" i="1"/>
  <c r="S743" i="1" s="1"/>
  <c r="N742" i="1"/>
  <c r="S742" i="1" s="1"/>
  <c r="N734" i="1"/>
  <c r="S734" i="1" s="1"/>
  <c r="N733" i="1"/>
  <c r="S733" i="1" s="1"/>
  <c r="N732" i="1"/>
  <c r="S732" i="1" s="1"/>
  <c r="N730" i="1"/>
  <c r="S730" i="1" s="1"/>
  <c r="N729" i="1"/>
  <c r="S729" i="1" s="1"/>
  <c r="N724" i="1"/>
  <c r="S724" i="1" s="1"/>
  <c r="N723" i="1"/>
  <c r="S723" i="1" s="1"/>
  <c r="N719" i="1"/>
  <c r="S719" i="1" s="1"/>
  <c r="N718" i="1"/>
  <c r="S718" i="1" s="1"/>
  <c r="N717" i="1"/>
  <c r="S717" i="1" s="1"/>
  <c r="N713" i="1"/>
  <c r="S713" i="1" s="1"/>
  <c r="N708" i="1"/>
  <c r="S708" i="1" s="1"/>
  <c r="N707" i="1"/>
  <c r="S707" i="1" s="1"/>
  <c r="N703" i="1"/>
  <c r="S703" i="1" s="1"/>
  <c r="N701" i="1"/>
  <c r="S701" i="1" s="1"/>
  <c r="N700" i="1"/>
  <c r="S700" i="1" s="1"/>
  <c r="N693" i="1"/>
  <c r="S693" i="1" s="1"/>
  <c r="N689" i="1"/>
  <c r="S689" i="1" s="1"/>
  <c r="N686" i="1"/>
  <c r="S686" i="1" s="1"/>
  <c r="N682" i="1"/>
  <c r="S682" i="1" s="1"/>
  <c r="N681" i="1"/>
  <c r="S681" i="1" s="1"/>
  <c r="N658" i="1"/>
  <c r="S658" i="1" s="1"/>
  <c r="N655" i="1"/>
  <c r="S655" i="1" s="1"/>
  <c r="N652" i="1"/>
  <c r="S652" i="1" s="1"/>
  <c r="N647" i="1"/>
  <c r="S647" i="1" s="1"/>
  <c r="N644" i="1"/>
  <c r="S644" i="1" s="1"/>
  <c r="N643" i="1"/>
  <c r="S643" i="1" s="1"/>
  <c r="N635" i="1"/>
  <c r="S635" i="1" s="1"/>
  <c r="N631" i="1"/>
  <c r="S631" i="1" s="1"/>
  <c r="N623" i="1"/>
  <c r="S623" i="1" s="1"/>
  <c r="N614" i="1"/>
  <c r="S614" i="1" s="1"/>
  <c r="N607" i="1"/>
  <c r="S607" i="1" s="1"/>
  <c r="N597" i="1"/>
  <c r="S597" i="1" s="1"/>
  <c r="N595" i="1"/>
  <c r="S595" i="1" s="1"/>
  <c r="N593" i="1"/>
  <c r="S593" i="1" s="1"/>
  <c r="N586" i="1"/>
  <c r="S586" i="1" s="1"/>
  <c r="N582" i="1"/>
  <c r="S582" i="1" s="1"/>
  <c r="N572" i="1"/>
  <c r="S572" i="1" s="1"/>
  <c r="N569" i="1"/>
  <c r="S569" i="1" s="1"/>
  <c r="N566" i="1"/>
  <c r="S566" i="1" s="1"/>
  <c r="N560" i="1"/>
  <c r="S560" i="1" s="1"/>
  <c r="N525" i="1"/>
  <c r="S525" i="1" s="1"/>
  <c r="N418" i="1"/>
  <c r="S418" i="1" s="1"/>
  <c r="D815" i="1"/>
  <c r="D814" i="1"/>
  <c r="P804" i="1"/>
  <c r="Q804" i="1"/>
  <c r="O804" i="1"/>
  <c r="S2" i="1" l="1"/>
  <c r="D807" i="1"/>
  <c r="D811" i="1" s="1"/>
  <c r="D806" i="1"/>
  <c r="D808" i="1"/>
  <c r="N804" i="1"/>
  <c r="D810" i="1" l="1"/>
  <c r="F804" i="1"/>
  <c r="G804" i="1"/>
  <c r="H804" i="1"/>
  <c r="I804" i="1"/>
  <c r="J804" i="1"/>
  <c r="L804" i="1"/>
  <c r="D809" i="1" l="1"/>
  <c r="D81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Hai, Nguyen Quang (Ban QLQH&amp;KSTK-TP.QLDDKS&amp;MT)</author>
  </authors>
  <commentList>
    <comment ref="B87" authorId="0" shapeId="0" xr:uid="{04672077-6E1F-45A4-8898-6ECCF4658DA4}">
      <text>
        <r>
          <rPr>
            <b/>
            <sz val="9"/>
            <color indexed="81"/>
            <rFont val="Tahoma"/>
            <family val="2"/>
          </rPr>
          <t xml:space="preserve">Hai, Nguyen Quang </t>
        </r>
        <r>
          <rPr>
            <sz val="9"/>
            <color indexed="81"/>
            <rFont val="Tahoma"/>
            <family val="2"/>
          </rPr>
          <t xml:space="preserve">
LỚP 12A6</t>
        </r>
      </text>
    </comment>
  </commentList>
</comments>
</file>

<file path=xl/sharedStrings.xml><?xml version="1.0" encoding="utf-8"?>
<sst xmlns="http://schemas.openxmlformats.org/spreadsheetml/2006/main" count="16357" uniqueCount="7199">
  <si>
    <t>ID</t>
  </si>
  <si>
    <t>Tháng</t>
  </si>
  <si>
    <t>Tên HV</t>
  </si>
  <si>
    <t>Mã HV</t>
  </si>
  <si>
    <t>Lớp TT</t>
  </si>
  <si>
    <t>Môn Toán</t>
  </si>
  <si>
    <t>Môn Văn</t>
  </si>
  <si>
    <t>Môn Anh</t>
  </si>
  <si>
    <t>Môn Lý</t>
  </si>
  <si>
    <t>Môn Hóa</t>
  </si>
  <si>
    <t>Đơn giá</t>
  </si>
  <si>
    <t>Tổng số lượt</t>
  </si>
  <si>
    <t xml:space="preserve"> Tổng số tiền </t>
  </si>
  <si>
    <t>Số TK</t>
  </si>
  <si>
    <t>Tên TK</t>
  </si>
  <si>
    <t>Tên NH</t>
  </si>
  <si>
    <t>Trần Bảo Duy(NVC)</t>
  </si>
  <si>
    <t>SV10Ax1</t>
  </si>
  <si>
    <t>10A</t>
  </si>
  <si>
    <t>0670190997777</t>
  </si>
  <si>
    <t>NGUYEN THI HUYEN</t>
  </si>
  <si>
    <t>Ngân hàng MB</t>
  </si>
  <si>
    <t>Nguyễn Thu Quyên</t>
  </si>
  <si>
    <t>SV10x10x1</t>
  </si>
  <si>
    <t>10A10</t>
  </si>
  <si>
    <t>Hoàng Thanh Phong</t>
  </si>
  <si>
    <t>SV10x10x10</t>
  </si>
  <si>
    <t>Trần Quỳnh Anh</t>
  </si>
  <si>
    <t>SV10x10x11</t>
  </si>
  <si>
    <t>Đoàn Minh Ánh</t>
  </si>
  <si>
    <t>SV10x10x12</t>
  </si>
  <si>
    <t>Lê Vũ Bảo Anh</t>
  </si>
  <si>
    <t>SV10x10x13</t>
  </si>
  <si>
    <t>Bùi Đức Hải Minh</t>
  </si>
  <si>
    <t>SV10x10x14</t>
  </si>
  <si>
    <t>Đặng Anh Thư</t>
  </si>
  <si>
    <t>SV10x10x15</t>
  </si>
  <si>
    <t>Đỗ Anh Thư</t>
  </si>
  <si>
    <t>SV10x10x16</t>
  </si>
  <si>
    <t>Đỗ Đăng Dũng</t>
  </si>
  <si>
    <t>SV10x10x17</t>
  </si>
  <si>
    <t>Đỗ Quang Minh</t>
  </si>
  <si>
    <t>SV10x10x2</t>
  </si>
  <si>
    <t>Đoàn Tuệ Anh</t>
  </si>
  <si>
    <t>SV10x10x3</t>
  </si>
  <si>
    <t>Nguyễn Phương Thảo</t>
  </si>
  <si>
    <t>SV10x10x4</t>
  </si>
  <si>
    <t>Hồ Châu Anh</t>
  </si>
  <si>
    <t>SV10x10x5</t>
  </si>
  <si>
    <t>Trần Phương Thảo</t>
  </si>
  <si>
    <t>SV10x10x6</t>
  </si>
  <si>
    <t>Nguyễn Thanh Bình</t>
  </si>
  <si>
    <t>SV10x10x7</t>
  </si>
  <si>
    <t>Đào Xuân Bách</t>
  </si>
  <si>
    <t>SV10x10x8</t>
  </si>
  <si>
    <t>Nguyễn Đức Bảo</t>
  </si>
  <si>
    <t>SV10x10x9</t>
  </si>
  <si>
    <t>Đào Thu An</t>
  </si>
  <si>
    <t>SV10x12x1</t>
  </si>
  <si>
    <t>10A12</t>
  </si>
  <si>
    <t>Ngô Phạm An Phương</t>
  </si>
  <si>
    <t>SV10x12x10</t>
  </si>
  <si>
    <t>Đoàn Minh Quân</t>
  </si>
  <si>
    <t>SV10x12x11</t>
  </si>
  <si>
    <t>Đinh Hoài An</t>
  </si>
  <si>
    <t>SV10x12x13</t>
  </si>
  <si>
    <t>Trần Ngọc Anh</t>
  </si>
  <si>
    <t>SV10x12x14</t>
  </si>
  <si>
    <t>Phạm Khánh Chi</t>
  </si>
  <si>
    <t>SV10x12x15</t>
  </si>
  <si>
    <t>Nguyễn Hương Giang</t>
  </si>
  <si>
    <t>SV10x12x16</t>
  </si>
  <si>
    <t>Nguyễn Ngọc Hân</t>
  </si>
  <si>
    <t>SV10x12x17</t>
  </si>
  <si>
    <t>Đỗ Hoàng Ngọc Huyền</t>
  </si>
  <si>
    <t>SV10x12x18</t>
  </si>
  <si>
    <t>Lê Kiến Huy</t>
  </si>
  <si>
    <t>SV10x12x19</t>
  </si>
  <si>
    <t>Vũ Nguyễn Khánh An</t>
  </si>
  <si>
    <t>SV10x12x2</t>
  </si>
  <si>
    <t>Lã Bảo Khánh</t>
  </si>
  <si>
    <t>SV10x12x20</t>
  </si>
  <si>
    <t>Nguyễn Nam Khánh</t>
  </si>
  <si>
    <t>SV10x12x21</t>
  </si>
  <si>
    <t>Nguyễn Phương Linh</t>
  </si>
  <si>
    <t>SV10x12x22</t>
  </si>
  <si>
    <t>Lê Nguyễn Khánh Ly</t>
  </si>
  <si>
    <t>SV10x12x23</t>
  </si>
  <si>
    <t>Nguyễn Thị Khánh Linh</t>
  </si>
  <si>
    <t>SV10x12x24</t>
  </si>
  <si>
    <t>Phạm Tuấn Minh</t>
  </si>
  <si>
    <t>SV10x12x25</t>
  </si>
  <si>
    <t>Trịnh Hà Phương</t>
  </si>
  <si>
    <t>SV10x12x26</t>
  </si>
  <si>
    <t>Phạm Huyền Trang</t>
  </si>
  <si>
    <t>SV10x12x27</t>
  </si>
  <si>
    <t>Lê Bảo Trân</t>
  </si>
  <si>
    <t>SV10x12x28</t>
  </si>
  <si>
    <t>Nguyễn Quốc Việt</t>
  </si>
  <si>
    <t>SV10x12x29</t>
  </si>
  <si>
    <t>Cao Minh Châu</t>
  </si>
  <si>
    <t>SV10x12x3</t>
  </si>
  <si>
    <t>Bùi Thanh Xuân</t>
  </si>
  <si>
    <t>SV10x12x30</t>
  </si>
  <si>
    <t>Ngô Ngọc Anh</t>
  </si>
  <si>
    <t>SV10x12x31</t>
  </si>
  <si>
    <t>Nguyễn Ngọc Anh Thư</t>
  </si>
  <si>
    <t>SV10x12x32</t>
  </si>
  <si>
    <t>Nguyễn Thu Trang</t>
  </si>
  <si>
    <t>SV10x12x33</t>
  </si>
  <si>
    <t>Chu Vĩnh Hưng</t>
  </si>
  <si>
    <t>SV10x12x34</t>
  </si>
  <si>
    <t>Mai Thái Sơn</t>
  </si>
  <si>
    <t>SV10x12x35</t>
  </si>
  <si>
    <t>Nguyễn Tùng Lâm</t>
  </si>
  <si>
    <t>SV10x12x36</t>
  </si>
  <si>
    <t>Hà Minh Đức</t>
  </si>
  <si>
    <t>SV10x12x4</t>
  </si>
  <si>
    <t>Bùi Phúc Hưng</t>
  </si>
  <si>
    <t>SV10x12x5</t>
  </si>
  <si>
    <t>Hoàng Trung Kiên</t>
  </si>
  <si>
    <t>SV10x12x6</t>
  </si>
  <si>
    <t>Ngô Duy Minh</t>
  </si>
  <si>
    <t>SV10x12x7</t>
  </si>
  <si>
    <t>Nguyễn Vũ Bảo Minh</t>
  </si>
  <si>
    <t>SV10x12x8</t>
  </si>
  <si>
    <t>Trần Bảo Minh</t>
  </si>
  <si>
    <t>SV10x12x9</t>
  </si>
  <si>
    <t>Đỗ Thị Vân Hà</t>
  </si>
  <si>
    <t>SV10x13x1</t>
  </si>
  <si>
    <t>10A13</t>
  </si>
  <si>
    <t>Vũ Xuân Trường</t>
  </si>
  <si>
    <t>SV10x13x10</t>
  </si>
  <si>
    <t>Nguyễn Thanh Tùng</t>
  </si>
  <si>
    <t>SV10x13x11</t>
  </si>
  <si>
    <t>Phạm Hà Phương Uyên</t>
  </si>
  <si>
    <t>SV10x13x12</t>
  </si>
  <si>
    <t>Đỗ Thanh Vinh</t>
  </si>
  <si>
    <t>SV10x13x13</t>
  </si>
  <si>
    <t>Nguyễn Phương Vy</t>
  </si>
  <si>
    <t>SV10x13x14</t>
  </si>
  <si>
    <t>Nguyễn Thảo Xuân</t>
  </si>
  <si>
    <t>SV10x13x15</t>
  </si>
  <si>
    <t>Nguyễn Huy Hoàng</t>
  </si>
  <si>
    <t>SV10x13x2</t>
  </si>
  <si>
    <t>Lê Gia Linh</t>
  </si>
  <si>
    <t>SV10x13x3</t>
  </si>
  <si>
    <t>Phạm Ngọc Mến</t>
  </si>
  <si>
    <t>SV10x13x5</t>
  </si>
  <si>
    <t>Khúc Nguyễn Hà My</t>
  </si>
  <si>
    <t>SV10x13x6</t>
  </si>
  <si>
    <t>Trần Diệu My</t>
  </si>
  <si>
    <t>SV10x13x7</t>
  </si>
  <si>
    <t>Lê Bích Tâm</t>
  </si>
  <si>
    <t>SV10x13x8</t>
  </si>
  <si>
    <t>Dương Xuân Trang</t>
  </si>
  <si>
    <t>SV10x13x9</t>
  </si>
  <si>
    <t>Bùi Thị Mai Anh</t>
  </si>
  <si>
    <t>SV10x14x1</t>
  </si>
  <si>
    <t>10A14</t>
  </si>
  <si>
    <t>Nguyễn Tuấn Phong</t>
  </si>
  <si>
    <t>SV10x14x10</t>
  </si>
  <si>
    <t>Lưu Minh Phương</t>
  </si>
  <si>
    <t>SV10x14x11</t>
  </si>
  <si>
    <t>Nguyễn Minh Quân</t>
  </si>
  <si>
    <t>SV10x14x12</t>
  </si>
  <si>
    <t>Bùi Phương Thảo</t>
  </si>
  <si>
    <t>SV10x14x13</t>
  </si>
  <si>
    <t>Trần Quốc Bảo</t>
  </si>
  <si>
    <t>SV10x14x14</t>
  </si>
  <si>
    <t>Nguyễn Phương Nhi</t>
  </si>
  <si>
    <t>SV10x14x15</t>
  </si>
  <si>
    <t>Đặng Thế Quang</t>
  </si>
  <si>
    <t>SV10x14x16</t>
  </si>
  <si>
    <t>Nguyễn Hoàng Sơn</t>
  </si>
  <si>
    <t>SV10x14x17</t>
  </si>
  <si>
    <t>Nguyễn Duy Toàn</t>
  </si>
  <si>
    <t>SV10x14x18</t>
  </si>
  <si>
    <t>Vũ Đức Thiện</t>
  </si>
  <si>
    <t>SV10x14x19</t>
  </si>
  <si>
    <t>Mai Trường Giang</t>
  </si>
  <si>
    <t>SV10x14x2</t>
  </si>
  <si>
    <t>Nguyễn Phương Anh</t>
  </si>
  <si>
    <t>SV10x14x20</t>
  </si>
  <si>
    <t>Ngô Tiến Đạt</t>
  </si>
  <si>
    <t>SV10x14x21</t>
  </si>
  <si>
    <t>Nguyễn Hải Ngọc Hân</t>
  </si>
  <si>
    <t>SV10x14x3</t>
  </si>
  <si>
    <t>Hoàng Trí Hiền</t>
  </si>
  <si>
    <t>SV10x14x4</t>
  </si>
  <si>
    <t>Nguyễn Thị Ngọc Khánh</t>
  </si>
  <si>
    <t>SV10x14x5</t>
  </si>
  <si>
    <t>Đinh Lê Phương Linh</t>
  </si>
  <si>
    <t>SV10x14x6</t>
  </si>
  <si>
    <t>Nguyễn Hoàng Ngân</t>
  </si>
  <si>
    <t>SV10x14x7</t>
  </si>
  <si>
    <t>Lưu Yến Nhi</t>
  </si>
  <si>
    <t>SV10x14x8</t>
  </si>
  <si>
    <t>Trần Yến Nhi</t>
  </si>
  <si>
    <t>SV10x14x9</t>
  </si>
  <si>
    <t>Lưu Tường An</t>
  </si>
  <si>
    <t>SV10x16x1</t>
  </si>
  <si>
    <t>10A16</t>
  </si>
  <si>
    <t>Đỗ Ngọc Bảo Linh</t>
  </si>
  <si>
    <t>SV10x16x10</t>
  </si>
  <si>
    <t>Đào Trần Anh Minh</t>
  </si>
  <si>
    <t>SV10x16x11</t>
  </si>
  <si>
    <t>Phạm Gia Minh</t>
  </si>
  <si>
    <t>SV10x16x12</t>
  </si>
  <si>
    <t>Hồ Hải Nam</t>
  </si>
  <si>
    <t>SV10x16x13</t>
  </si>
  <si>
    <t>Lê Hoàng Nam</t>
  </si>
  <si>
    <t>SV10x16x14</t>
  </si>
  <si>
    <t>Nguyễn Sỹ Nguyên</t>
  </si>
  <si>
    <t>SV10x16x15</t>
  </si>
  <si>
    <t>Hà Thị Mai Phương</t>
  </si>
  <si>
    <t>SV10x16x16</t>
  </si>
  <si>
    <t>Vũ Nguyễn Văn Quân</t>
  </si>
  <si>
    <t>SV10x16x17</t>
  </si>
  <si>
    <t>Nguyễn Thị Minh Thư</t>
  </si>
  <si>
    <t>SV10x16x18</t>
  </si>
  <si>
    <t>Vũ Khánh An</t>
  </si>
  <si>
    <t>SV10x16x2</t>
  </si>
  <si>
    <t>Tống Trâm Anh</t>
  </si>
  <si>
    <t>SV10x16x3</t>
  </si>
  <si>
    <t>Vũ Hà Anh</t>
  </si>
  <si>
    <t>SV10x16x4</t>
  </si>
  <si>
    <t>Đoàn Thủy Bích</t>
  </si>
  <si>
    <t>SV10x16x5</t>
  </si>
  <si>
    <t>Nguyễn Khánh Chi</t>
  </si>
  <si>
    <t>SV10x16x6</t>
  </si>
  <si>
    <t>Ngô Thành Đức</t>
  </si>
  <si>
    <t>SV10x16x7</t>
  </si>
  <si>
    <t>Nguyễn Huy Khánh</t>
  </si>
  <si>
    <t>SV10x16x8</t>
  </si>
  <si>
    <t>SV10x16x9</t>
  </si>
  <si>
    <t>Phạm Thế Anh</t>
  </si>
  <si>
    <t>SV10x17x1</t>
  </si>
  <si>
    <t>10A17</t>
  </si>
  <si>
    <t>Vương Văn Minh Hiếu</t>
  </si>
  <si>
    <t>SV10x17x10</t>
  </si>
  <si>
    <t>Trần Thị Yến Nhi</t>
  </si>
  <si>
    <t>SV10x17x11</t>
  </si>
  <si>
    <t>Nguyễn Khoa Phát</t>
  </si>
  <si>
    <t>SV10x17x12</t>
  </si>
  <si>
    <t>Nguyễn Ngân Anh</t>
  </si>
  <si>
    <t>SV10x17x13</t>
  </si>
  <si>
    <t>Nguyễn Ngô Quỳnh Chi</t>
  </si>
  <si>
    <t>SV10x17x14</t>
  </si>
  <si>
    <t>Vũ Hiền Anh</t>
  </si>
  <si>
    <t>SV10x17x15</t>
  </si>
  <si>
    <t>Vũ Nhật Anh</t>
  </si>
  <si>
    <t>SV10x17x2</t>
  </si>
  <si>
    <t>Phạm Quốc Anh</t>
  </si>
  <si>
    <t>SV10x17x3</t>
  </si>
  <si>
    <t>Trần Vân Anh</t>
  </si>
  <si>
    <t>SV10x17x4</t>
  </si>
  <si>
    <t>Nguyễn Tiến Bảo</t>
  </si>
  <si>
    <t>SV10x17x5</t>
  </si>
  <si>
    <t>Ngô Quốc Cường</t>
  </si>
  <si>
    <t>SV10x17x6</t>
  </si>
  <si>
    <t>Ngô Minh Chính</t>
  </si>
  <si>
    <t>SV10x17x7</t>
  </si>
  <si>
    <t>Nguyễn Tùng Giang</t>
  </si>
  <si>
    <t>SV10x17x8</t>
  </si>
  <si>
    <t>Nguyễn Khánh Hà</t>
  </si>
  <si>
    <t>SV10x17x9</t>
  </si>
  <si>
    <t>Nguyễn Minh Anh</t>
  </si>
  <si>
    <t>SV10x1x1</t>
  </si>
  <si>
    <t>10A1</t>
  </si>
  <si>
    <t>Nguyễn Thanh Sơn</t>
  </si>
  <si>
    <t>SV10x1x10</t>
  </si>
  <si>
    <t>Vũ Ngọc Tùng</t>
  </si>
  <si>
    <t>SV10x1x11</t>
  </si>
  <si>
    <t>Nguyễn Thái Sơn</t>
  </si>
  <si>
    <t>SV10x1x12</t>
  </si>
  <si>
    <t>Nguyễn Duy Anh</t>
  </si>
  <si>
    <t>SV10x1x13</t>
  </si>
  <si>
    <t>Đỗ Hoàng Nguyệt Ánh</t>
  </si>
  <si>
    <t>SV10x1x14</t>
  </si>
  <si>
    <t>SV10x1x15</t>
  </si>
  <si>
    <t>Nguyễn Đoàn Bảo Châu</t>
  </si>
  <si>
    <t>SV10x1x16</t>
  </si>
  <si>
    <t>Tạ Minh Đức</t>
  </si>
  <si>
    <t>SV10x1x17</t>
  </si>
  <si>
    <t>Nguyễn Gia Huy</t>
  </si>
  <si>
    <t>SV10x1x18</t>
  </si>
  <si>
    <t>Trần Hồng Linh</t>
  </si>
  <si>
    <t>SV10x1x19</t>
  </si>
  <si>
    <t>Trần Mai Anh</t>
  </si>
  <si>
    <t>SV10x1x2</t>
  </si>
  <si>
    <t>Nguyễn Bảo Ngân</t>
  </si>
  <si>
    <t>SV10x1x20</t>
  </si>
  <si>
    <t>Phạm Minh Quân</t>
  </si>
  <si>
    <t>SV10x1x21</t>
  </si>
  <si>
    <t>Đinh Vũ Thăng</t>
  </si>
  <si>
    <t>SV10x1x22</t>
  </si>
  <si>
    <t>Phùng Quyết Tiến</t>
  </si>
  <si>
    <t>SV10x1x23</t>
  </si>
  <si>
    <t>Đỗ Thế Anh</t>
  </si>
  <si>
    <t>SV10x1x24</t>
  </si>
  <si>
    <t>Nguyễn Phương Chi</t>
  </si>
  <si>
    <t>SV10x1x25</t>
  </si>
  <si>
    <t>Nguyễn Thị Huyền Trang</t>
  </si>
  <si>
    <t>SV10x1x26</t>
  </si>
  <si>
    <t>Bùi Quỳnh Chi</t>
  </si>
  <si>
    <t>SV10x1x3</t>
  </si>
  <si>
    <t>Đinh Tuấn Cường</t>
  </si>
  <si>
    <t>SV10x1x4</t>
  </si>
  <si>
    <t>Vũ Gia Huy</t>
  </si>
  <si>
    <t>SV10x1x5</t>
  </si>
  <si>
    <t>Nguyễn Đăng Khoa</t>
  </si>
  <si>
    <t>SV10x1x6</t>
  </si>
  <si>
    <t>Phạm Nhân Kiệt</t>
  </si>
  <si>
    <t>SV10x1x7</t>
  </si>
  <si>
    <t>Nguyễn Quang Nguyên</t>
  </si>
  <si>
    <t>SV10x1x8</t>
  </si>
  <si>
    <t>Nguyễn Đức Nhân</t>
  </si>
  <si>
    <t>SV10x1x9</t>
  </si>
  <si>
    <t>SV10x2x1</t>
  </si>
  <si>
    <t>10A2</t>
  </si>
  <si>
    <t>Nguyễn Tuấn Anh</t>
  </si>
  <si>
    <t>SV10x2x10</t>
  </si>
  <si>
    <t>Hoàng Công Khánh</t>
  </si>
  <si>
    <t>SV10x2x11</t>
  </si>
  <si>
    <t>Hoàng Thị Ngọc Hà</t>
  </si>
  <si>
    <t>SV10x2x12</t>
  </si>
  <si>
    <t>Dương Công Chí Bảo</t>
  </si>
  <si>
    <t>SV10x2x13</t>
  </si>
  <si>
    <t>Trịnh Hà Vy</t>
  </si>
  <si>
    <t>SV10x2x14</t>
  </si>
  <si>
    <t>Trần Minh Khang</t>
  </si>
  <si>
    <t>SV10x2x15</t>
  </si>
  <si>
    <t>Lê Minh Khoa An</t>
  </si>
  <si>
    <t>SV10x2x16</t>
  </si>
  <si>
    <t>Phạm Bá Thắng</t>
  </si>
  <si>
    <t>SV10x2x17</t>
  </si>
  <si>
    <t>Lê An Dương</t>
  </si>
  <si>
    <t>SV10x2x19</t>
  </si>
  <si>
    <t>Nguyễn Thiên Phú</t>
  </si>
  <si>
    <t>SV10x2x2</t>
  </si>
  <si>
    <t>Lê Trường Giang</t>
  </si>
  <si>
    <t>SV10x2x20</t>
  </si>
  <si>
    <t>SV10x2x21</t>
  </si>
  <si>
    <t>Mông Thế Khang</t>
  </si>
  <si>
    <t>SV10x2x22</t>
  </si>
  <si>
    <t>Nguyễn Hoàng Thùy Dương</t>
  </si>
  <si>
    <t>SV10x2x23</t>
  </si>
  <si>
    <t>Lưu Ngọc Long</t>
  </si>
  <si>
    <t>SV10x2x24</t>
  </si>
  <si>
    <t>Phạm Xuân Trà</t>
  </si>
  <si>
    <t>SV10x2x25</t>
  </si>
  <si>
    <t>Nguyễn Ngọc Bảo Châu</t>
  </si>
  <si>
    <t>SV10x2x3</t>
  </si>
  <si>
    <t>Vũ Mai Chi</t>
  </si>
  <si>
    <t>SV10x2x4</t>
  </si>
  <si>
    <t>Nguyễn Trường Bảo Lộc</t>
  </si>
  <si>
    <t>SV10x2x5</t>
  </si>
  <si>
    <t>Trần Duy Hưng</t>
  </si>
  <si>
    <t>SV10x2x6</t>
  </si>
  <si>
    <t>Ngô Kim Ngân</t>
  </si>
  <si>
    <t>SV10x2x7</t>
  </si>
  <si>
    <t>Quách Thanh Tùng</t>
  </si>
  <si>
    <t>SV10x2x8</t>
  </si>
  <si>
    <t>Mai Yến Vy</t>
  </si>
  <si>
    <t>SV10x2x9</t>
  </si>
  <si>
    <t>Đỗ Bảo Khoa</t>
  </si>
  <si>
    <t>SV10x3x1</t>
  </si>
  <si>
    <t>10A3</t>
  </si>
  <si>
    <t>Đỗ Đại Lợi</t>
  </si>
  <si>
    <t>SV10x3x11</t>
  </si>
  <si>
    <t>Trần Quang Minh</t>
  </si>
  <si>
    <t>SV10x3x12</t>
  </si>
  <si>
    <t>Phạm Hoàng Oanh</t>
  </si>
  <si>
    <t>SV10x3x13</t>
  </si>
  <si>
    <t>Nguyễn Thiệu Quân</t>
  </si>
  <si>
    <t>SV10x3x14</t>
  </si>
  <si>
    <t>Đỗ Đại Quyền</t>
  </si>
  <si>
    <t>SV10x3x15</t>
  </si>
  <si>
    <t>Dương Tuấn Anh</t>
  </si>
  <si>
    <t>SV10x3x16</t>
  </si>
  <si>
    <t>Nguyễn Minh Trí Dũng</t>
  </si>
  <si>
    <t>SV10x3x17</t>
  </si>
  <si>
    <t>Phạm Tuấn Dương</t>
  </si>
  <si>
    <t>SV10x3x18</t>
  </si>
  <si>
    <t>Hoàng Minh Đạt</t>
  </si>
  <si>
    <t>SV10x3x19</t>
  </si>
  <si>
    <t>Lê Phước An</t>
  </si>
  <si>
    <t>SV10x3x2</t>
  </si>
  <si>
    <t>Nguyễn Minh Giang</t>
  </si>
  <si>
    <t>SV10x3x20</t>
  </si>
  <si>
    <t>Phan Thị Hà Linh</t>
  </si>
  <si>
    <t>SV10x3x21</t>
  </si>
  <si>
    <t>Bùi Nguyễn Thanh Mai</t>
  </si>
  <si>
    <t>SV10x3x22</t>
  </si>
  <si>
    <t>Lê Thị Mai Anh</t>
  </si>
  <si>
    <t>SV10x3x3</t>
  </si>
  <si>
    <t>Nông Nguyễn Phương Anh</t>
  </si>
  <si>
    <t>SV10x3x4</t>
  </si>
  <si>
    <t>Nguyễn Nhật Bình</t>
  </si>
  <si>
    <t>SV10x3x5</t>
  </si>
  <si>
    <t>Đàm Khương Duy</t>
  </si>
  <si>
    <t>SV10x3x6</t>
  </si>
  <si>
    <t>Vũ Văn Hải</t>
  </si>
  <si>
    <t>SV10x3x7</t>
  </si>
  <si>
    <t>Nguyễn Cảnh Hào</t>
  </si>
  <si>
    <t>SV10x3x8</t>
  </si>
  <si>
    <t>Vương Quốc Khánh</t>
  </si>
  <si>
    <t>SV10x3x9</t>
  </si>
  <si>
    <t>Phan Châu Anh</t>
  </si>
  <si>
    <t>SV10x5x1</t>
  </si>
  <si>
    <t>10A5</t>
  </si>
  <si>
    <t>Nguyễn Xuân Hiếu</t>
  </si>
  <si>
    <t>SV10x5x10</t>
  </si>
  <si>
    <t>Phan Hà Bảo Châu</t>
  </si>
  <si>
    <t>SV10x5x11</t>
  </si>
  <si>
    <t>Lê Quang Huy</t>
  </si>
  <si>
    <t>SV10x5x12</t>
  </si>
  <si>
    <t>Nguyễn Thu Nga</t>
  </si>
  <si>
    <t>SV10x5x13</t>
  </si>
  <si>
    <t>Kiều Mạnh Dũng</t>
  </si>
  <si>
    <t>SV10x5x14</t>
  </si>
  <si>
    <t>Phạm Thu Giang</t>
  </si>
  <si>
    <t>SV10x5x2</t>
  </si>
  <si>
    <t>Huỳnh Phương Oanh</t>
  </si>
  <si>
    <t>SV10x5x3</t>
  </si>
  <si>
    <t>Đào Quỳnh Hương</t>
  </si>
  <si>
    <t>SV10x5x4</t>
  </si>
  <si>
    <t>Bùi Đức Nhật Minh</t>
  </si>
  <si>
    <t>SV10x5x5</t>
  </si>
  <si>
    <t>Trương Đức Gia Bảo</t>
  </si>
  <si>
    <t>SV10x5x6</t>
  </si>
  <si>
    <t>Nguyễn Đức Khải</t>
  </si>
  <si>
    <t>SV10x5x7</t>
  </si>
  <si>
    <t>Nguyễn Trọng Tú</t>
  </si>
  <si>
    <t>SV10x5x8</t>
  </si>
  <si>
    <t>Nguyễn Nguyên Vũ Thái Dương</t>
  </si>
  <si>
    <t>SV10x5x9</t>
  </si>
  <si>
    <t>Nguyễn Quang Huy</t>
  </si>
  <si>
    <t>SV10x6x1</t>
  </si>
  <si>
    <t>10A6</t>
  </si>
  <si>
    <t>Nguyễn Hải Nam</t>
  </si>
  <si>
    <t>SV10x6x2</t>
  </si>
  <si>
    <t>Đàm Yến Nhi</t>
  </si>
  <si>
    <t>SV10x6x3</t>
  </si>
  <si>
    <t>Nguyễn Quỳnh Anh</t>
  </si>
  <si>
    <t>SV10x7x1</t>
  </si>
  <si>
    <t>10A7</t>
  </si>
  <si>
    <t>Đặng Cao Hải Lâm</t>
  </si>
  <si>
    <t>SV10x7x10</t>
  </si>
  <si>
    <t>Âu Mai Linh</t>
  </si>
  <si>
    <t>SV10x7x11</t>
  </si>
  <si>
    <t>Hoàng Diệu Linh</t>
  </si>
  <si>
    <t>SV10x7x12</t>
  </si>
  <si>
    <t>Nguyễn Ngọc Mai</t>
  </si>
  <si>
    <t>SV10x7x13</t>
  </si>
  <si>
    <t>Phạm Lê Thu Minh</t>
  </si>
  <si>
    <t>SV10x7x14</t>
  </si>
  <si>
    <t>SV10x7x15</t>
  </si>
  <si>
    <t>Hoàng Minh Phương</t>
  </si>
  <si>
    <t>SV10x7x16</t>
  </si>
  <si>
    <t>Khúc Phạm Hà Phương</t>
  </si>
  <si>
    <t>SV10x7x17</t>
  </si>
  <si>
    <t>Trần Diễm Quỳnh</t>
  </si>
  <si>
    <t>SV10x7x18</t>
  </si>
  <si>
    <t>Triệu Lâm Uyên</t>
  </si>
  <si>
    <t>SV10x7x19</t>
  </si>
  <si>
    <t>Nguyễn Thục Anh</t>
  </si>
  <si>
    <t>SV10x7x2</t>
  </si>
  <si>
    <t>Nguyễn Bảo Cường</t>
  </si>
  <si>
    <t>SV10x7x3</t>
  </si>
  <si>
    <t>Phạm Thành Đạt</t>
  </si>
  <si>
    <t>SV10x7x4</t>
  </si>
  <si>
    <t>Tô Hải Đăng</t>
  </si>
  <si>
    <t>SV10x7x5</t>
  </si>
  <si>
    <t>Nguyễn Dương Khánh Huyền</t>
  </si>
  <si>
    <t>SV10x7x6</t>
  </si>
  <si>
    <t>Nguyễn Khánh Huyền</t>
  </si>
  <si>
    <t>SV10x7x7</t>
  </si>
  <si>
    <t>Nguyễn Thành Hưng</t>
  </si>
  <si>
    <t>SV10x7x8</t>
  </si>
  <si>
    <t>Phạm Thu Hương</t>
  </si>
  <si>
    <t>SV10x7x9</t>
  </si>
  <si>
    <t>Nguyễn Nhật Anh</t>
  </si>
  <si>
    <t>SV10x8x1</t>
  </si>
  <si>
    <t>10A8</t>
  </si>
  <si>
    <t>Lưu Đăng Khôi</t>
  </si>
  <si>
    <t>SV10x8x10</t>
  </si>
  <si>
    <t>Vũ Thị Mai Lan</t>
  </si>
  <si>
    <t>SV10x8x11</t>
  </si>
  <si>
    <t>Phạm Chi Linh</t>
  </si>
  <si>
    <t>SV10x8x13</t>
  </si>
  <si>
    <t>Cáp Minh Ngọc</t>
  </si>
  <si>
    <t>SV10x8x14</t>
  </si>
  <si>
    <t>Phan Khánh Ngọc</t>
  </si>
  <si>
    <t>SV10x8x15</t>
  </si>
  <si>
    <t>Trần Minh Ngọc</t>
  </si>
  <si>
    <t>SV10x8x16</t>
  </si>
  <si>
    <t>Phạm Châu Uyên Nhi</t>
  </si>
  <si>
    <t>SV10x8x17</t>
  </si>
  <si>
    <t>SV10x8x18</t>
  </si>
  <si>
    <t>Nguyễn Minh Phương</t>
  </si>
  <si>
    <t>SV10x8x19</t>
  </si>
  <si>
    <t>Trần Đức Anh</t>
  </si>
  <si>
    <t>SV10x8x2</t>
  </si>
  <si>
    <t>Lê Phương Uyên</t>
  </si>
  <si>
    <t>SV10x8x20</t>
  </si>
  <si>
    <t>Nguyễn Anh Vũ</t>
  </si>
  <si>
    <t>SV10x8x21</t>
  </si>
  <si>
    <t>Đoàn Như Ý</t>
  </si>
  <si>
    <t>SV10x8x22</t>
  </si>
  <si>
    <t>Tống Gia Hân</t>
  </si>
  <si>
    <t>SV10x8x23</t>
  </si>
  <si>
    <t>Phạm Tú Uyên</t>
  </si>
  <si>
    <t>SV10x8x24</t>
  </si>
  <si>
    <t>Trương Linh Anh</t>
  </si>
  <si>
    <t>SV10x8x3</t>
  </si>
  <si>
    <t>Vũ Đặng Bảo Châu</t>
  </si>
  <si>
    <t>SV10x8x4</t>
  </si>
  <si>
    <t>Ngô Thùy Chi</t>
  </si>
  <si>
    <t>SV10x8x5</t>
  </si>
  <si>
    <t>Nguyễn Thảo Chi</t>
  </si>
  <si>
    <t>SV10x8x6</t>
  </si>
  <si>
    <t>Đỗ Thị Thùy Dung</t>
  </si>
  <si>
    <t>SV10x8x7</t>
  </si>
  <si>
    <t>Nguyễn Thùy Dương</t>
  </si>
  <si>
    <t>SV10x8x8</t>
  </si>
  <si>
    <t>Đàm Tuấn Hưng</t>
  </si>
  <si>
    <t>SV10x8x9</t>
  </si>
  <si>
    <t>Nguyễn Bảo Châu</t>
  </si>
  <si>
    <t>SV10x9x1</t>
  </si>
  <si>
    <t>10A9</t>
  </si>
  <si>
    <t>Nguyễn Minh Sơn</t>
  </si>
  <si>
    <t>SV10x9x10</t>
  </si>
  <si>
    <t>Nguyễn Quang Sơn</t>
  </si>
  <si>
    <t>SV10x9x11</t>
  </si>
  <si>
    <t>Đặng Hoàng Tường</t>
  </si>
  <si>
    <t>SV10x9x12</t>
  </si>
  <si>
    <t>Bùi Hoàng Việt</t>
  </si>
  <si>
    <t>SV10x9x13</t>
  </si>
  <si>
    <t>Đinh Tuấn Vũ</t>
  </si>
  <si>
    <t>SV10x9x14</t>
  </si>
  <si>
    <t>Đỗ Diệp Chi</t>
  </si>
  <si>
    <t>SV10x9x2</t>
  </si>
  <si>
    <t>Đỗ Thế Duy</t>
  </si>
  <si>
    <t>SV10x9x3</t>
  </si>
  <si>
    <t>Bùi Lâm Thùy Dương</t>
  </si>
  <si>
    <t>SV10x9x4</t>
  </si>
  <si>
    <t>Nguyễn Nam Quốc Đạt</t>
  </si>
  <si>
    <t>SV10x9x5</t>
  </si>
  <si>
    <t>Nguyễn Hồng Hân</t>
  </si>
  <si>
    <t>SV10x9x6</t>
  </si>
  <si>
    <t>Phạm Nam Khánh</t>
  </si>
  <si>
    <t>SV10x9x7</t>
  </si>
  <si>
    <t>Dương Nguyễn Phương Linh</t>
  </si>
  <si>
    <t>SV10x9x8</t>
  </si>
  <si>
    <t>Lê Quang Minh</t>
  </si>
  <si>
    <t>SV10x9x9</t>
  </si>
  <si>
    <t>Nguyễn Trà My(PL)</t>
  </si>
  <si>
    <t>SV11Ax1</t>
  </si>
  <si>
    <t>11A</t>
  </si>
  <si>
    <t>Phạm Gia Hân(PL)</t>
  </si>
  <si>
    <t>SV11Ax2</t>
  </si>
  <si>
    <t>Hoàng Thu Thuỷ(NVC)</t>
  </si>
  <si>
    <t>SV11Ax3</t>
  </si>
  <si>
    <t>Đinh Vũ Hà Anh(NVC)</t>
  </si>
  <si>
    <t>SV11Ax4</t>
  </si>
  <si>
    <t>Nguyễn Hoàng Khánh Ngân(NVC)</t>
  </si>
  <si>
    <t>SV11Ax5</t>
  </si>
  <si>
    <t>Đào Thị Mai Anh(NVC)</t>
  </si>
  <si>
    <t>SV11Ax6</t>
  </si>
  <si>
    <t>Đỗ Bảo Nam(NVC)</t>
  </si>
  <si>
    <t>SV11Ax7</t>
  </si>
  <si>
    <t>Ngô Hải Anh</t>
  </si>
  <si>
    <t>SV11x11x1</t>
  </si>
  <si>
    <t>11A11</t>
  </si>
  <si>
    <t>Nguyễn Bảo Trân</t>
  </si>
  <si>
    <t>SV11x11x10</t>
  </si>
  <si>
    <t>Nguyễn Quang Nam</t>
  </si>
  <si>
    <t>SV11x11x11</t>
  </si>
  <si>
    <t>Lê Hoàng Giang</t>
  </si>
  <si>
    <t>SV11x11x2</t>
  </si>
  <si>
    <t>Ngô Đình Quốc Thái</t>
  </si>
  <si>
    <t>SV11x11x4</t>
  </si>
  <si>
    <t>Dương Hương Thảo</t>
  </si>
  <si>
    <t>SV11x11x6</t>
  </si>
  <si>
    <t>Dương Phương Thảo</t>
  </si>
  <si>
    <t>SV11x11x7</t>
  </si>
  <si>
    <t>Nguyễn Khánh Linh</t>
  </si>
  <si>
    <t>SV11x11x8</t>
  </si>
  <si>
    <t>Phạm Khánh Trâm</t>
  </si>
  <si>
    <t>SV11x11x9</t>
  </si>
  <si>
    <t>Đinh Minh Hằng</t>
  </si>
  <si>
    <t>SV11x13x1</t>
  </si>
  <si>
    <t>11A13</t>
  </si>
  <si>
    <t>Đinh Phương Anh</t>
  </si>
  <si>
    <t>SV11x15x1</t>
  </si>
  <si>
    <t>11A15</t>
  </si>
  <si>
    <t>Trần Duy Long</t>
  </si>
  <si>
    <t>SV11x15x10</t>
  </si>
  <si>
    <t>Lê Bảo Khánh Ly</t>
  </si>
  <si>
    <t>SV11x15x11</t>
  </si>
  <si>
    <t>Hoàng Phương Mai</t>
  </si>
  <si>
    <t>SV11x15x12</t>
  </si>
  <si>
    <t>Dương Hạnh Minh</t>
  </si>
  <si>
    <t>SV11x15x13</t>
  </si>
  <si>
    <t>Đỗ Quang Bình Minh</t>
  </si>
  <si>
    <t>SV11x15x14</t>
  </si>
  <si>
    <t>Nguyễn Tú Quyên</t>
  </si>
  <si>
    <t>SV11x15x15</t>
  </si>
  <si>
    <t>Phạm Nhật Thảo</t>
  </si>
  <si>
    <t>SV11x15x16</t>
  </si>
  <si>
    <t>Nguyễn Hà Thu</t>
  </si>
  <si>
    <t>SV11x15x17</t>
  </si>
  <si>
    <t>Nguyễn Minh Ánh</t>
  </si>
  <si>
    <t>SV11x15x18</t>
  </si>
  <si>
    <t>Nguyễn Tuấn Việt</t>
  </si>
  <si>
    <t>SV11x15x19</t>
  </si>
  <si>
    <t>Nguyễn Hoàng Anh</t>
  </si>
  <si>
    <t>SV11x15x2</t>
  </si>
  <si>
    <t>Nguyễn Đăng Việt</t>
  </si>
  <si>
    <t>SV11x15x20</t>
  </si>
  <si>
    <t>Vương Phương Anh</t>
  </si>
  <si>
    <t>SV11x15x3</t>
  </si>
  <si>
    <t>Hoàng Giang Ánh</t>
  </si>
  <si>
    <t>SV11x15x4</t>
  </si>
  <si>
    <t>Lưu Xuân Mai</t>
  </si>
  <si>
    <t>SV11x15x5</t>
  </si>
  <si>
    <t>Nguyễn Thị Thu Hà</t>
  </si>
  <si>
    <t>SV11x15x6</t>
  </si>
  <si>
    <t>Nguyễn Minh Trường</t>
  </si>
  <si>
    <t>SV11x15x7</t>
  </si>
  <si>
    <t>SV11x15x8</t>
  </si>
  <si>
    <t>Nguyễn Gia Hưng</t>
  </si>
  <si>
    <t>SV11x15x9</t>
  </si>
  <si>
    <t>SV11x1x1</t>
  </si>
  <si>
    <t>11A1</t>
  </si>
  <si>
    <t>Nguyễn Gia Khoa</t>
  </si>
  <si>
    <t>SV11x1x10</t>
  </si>
  <si>
    <t>Hoàng Khánh Nam</t>
  </si>
  <si>
    <t>SV11x1x11</t>
  </si>
  <si>
    <t>Nguyễn Thu Ngân</t>
  </si>
  <si>
    <t>SV11x1x12</t>
  </si>
  <si>
    <t>Trần Khôi Nguyên</t>
  </si>
  <si>
    <t>SV11x1x13</t>
  </si>
  <si>
    <t>Nguyễn Khánh Phương</t>
  </si>
  <si>
    <t>SV11x1x14</t>
  </si>
  <si>
    <t>Hoàng Minh Quân</t>
  </si>
  <si>
    <t>SV11x1x15</t>
  </si>
  <si>
    <t>Đinh Nguyên Dương</t>
  </si>
  <si>
    <t>SV11x1x16</t>
  </si>
  <si>
    <t>Nguyễn Phương Thủy</t>
  </si>
  <si>
    <t>SV11x1x17</t>
  </si>
  <si>
    <t>Nghiêm Xuân Bảo Minh</t>
  </si>
  <si>
    <t>SV11x1x18</t>
  </si>
  <si>
    <t>Vũ Thị Thanh Phương</t>
  </si>
  <si>
    <t>SV11x1x19</t>
  </si>
  <si>
    <t>SV11x1x20</t>
  </si>
  <si>
    <t>Lê Ngọc Như Anh</t>
  </si>
  <si>
    <t>SV11x1x21</t>
  </si>
  <si>
    <t>Phạm Chí Thiên</t>
  </si>
  <si>
    <t>SV11x1x3</t>
  </si>
  <si>
    <t>Nguyễn Tùng Dương</t>
  </si>
  <si>
    <t>SV11x1x4</t>
  </si>
  <si>
    <t>Đỗ Minh Quân</t>
  </si>
  <si>
    <t>SV11x1x5</t>
  </si>
  <si>
    <t>Nguyễn Gia Kỳ</t>
  </si>
  <si>
    <t>SV11x1x6</t>
  </si>
  <si>
    <t>Nguyễn Đăng Khôi</t>
  </si>
  <si>
    <t>SV11x1x7</t>
  </si>
  <si>
    <t>Nguyễn Vũ Minh Anh</t>
  </si>
  <si>
    <t>SV11x1x8</t>
  </si>
  <si>
    <t>Nghiêm Thành Đạt</t>
  </si>
  <si>
    <t>SV11x1x9</t>
  </si>
  <si>
    <t>Nguyễn Khánh An</t>
  </si>
  <si>
    <t>SV11x2x1</t>
  </si>
  <si>
    <t>11A2</t>
  </si>
  <si>
    <t>Lương Đức Huy</t>
  </si>
  <si>
    <t>SV11x2x10</t>
  </si>
  <si>
    <t>Trương Ngọc Vy</t>
  </si>
  <si>
    <t>SV11x2x11</t>
  </si>
  <si>
    <t>Nguyễn Minh Phúc</t>
  </si>
  <si>
    <t>SV11x2x12</t>
  </si>
  <si>
    <t>Bùi Việt Hải</t>
  </si>
  <si>
    <t>SV11x2x13</t>
  </si>
  <si>
    <t>Nguyễn Anh Dũng</t>
  </si>
  <si>
    <t>SV11x2x14</t>
  </si>
  <si>
    <t>Phan Quốc Anh</t>
  </si>
  <si>
    <t>SV11x2x15</t>
  </si>
  <si>
    <t>Nguyễn Duy Dũng</t>
  </si>
  <si>
    <t>SV11x2x16</t>
  </si>
  <si>
    <t>Trần Trọng Dũng</t>
  </si>
  <si>
    <t>SV11x2x17</t>
  </si>
  <si>
    <t>Vũ Minh Đức</t>
  </si>
  <si>
    <t>SV11x2x18</t>
  </si>
  <si>
    <t>Phạm Hiển Long</t>
  </si>
  <si>
    <t>SV11x2x19</t>
  </si>
  <si>
    <t>Hoàng Khánh Linh Anh</t>
  </si>
  <si>
    <t>SV11x2x2</t>
  </si>
  <si>
    <t>Lê Mạc Thuỳ Trinh</t>
  </si>
  <si>
    <t>SV11x2x20</t>
  </si>
  <si>
    <t>Lương Ngọc Vy</t>
  </si>
  <si>
    <t>SV11x2x21</t>
  </si>
  <si>
    <t>Nguyễn Hữu Nam</t>
  </si>
  <si>
    <t>SV11x2x22</t>
  </si>
  <si>
    <t>Trần Đình Dũng</t>
  </si>
  <si>
    <t>SV11x2x3</t>
  </si>
  <si>
    <t>SV11x2x4</t>
  </si>
  <si>
    <t>Nguyễn Thị Minh Hằng</t>
  </si>
  <si>
    <t>SV11x2x5</t>
  </si>
  <si>
    <t>Trần Quang Hưng</t>
  </si>
  <si>
    <t>SV11x2x6</t>
  </si>
  <si>
    <t>SV11x2x7</t>
  </si>
  <si>
    <t>Lưu Tường Mai Phương</t>
  </si>
  <si>
    <t>SV11x2x8</t>
  </si>
  <si>
    <t>Khổng Quốc An</t>
  </si>
  <si>
    <t>SV11x2x9</t>
  </si>
  <si>
    <t>Hoàng Việt Anh</t>
  </si>
  <si>
    <t>SV11x3x1</t>
  </si>
  <si>
    <t>11A3</t>
  </si>
  <si>
    <t>2588666868</t>
  </si>
  <si>
    <t>CONG TY TNHH TRI THUC SAO VIET</t>
  </si>
  <si>
    <t>Mai Nguyễn Thảo Nguyên</t>
  </si>
  <si>
    <t>SV11x3x10</t>
  </si>
  <si>
    <t>Lê Minh Quang</t>
  </si>
  <si>
    <t>SV11x3x11</t>
  </si>
  <si>
    <t>Mai Anh Quân</t>
  </si>
  <si>
    <t>SV11x3x12</t>
  </si>
  <si>
    <t>Lê Huy Sơn</t>
  </si>
  <si>
    <t>SV11x3x13</t>
  </si>
  <si>
    <t>Trần Nam Sơn</t>
  </si>
  <si>
    <t>SV11x3x14</t>
  </si>
  <si>
    <t>Đặng Phú Thái</t>
  </si>
  <si>
    <t>SV11x3x15</t>
  </si>
  <si>
    <t>Nguyễn Đặng Cẩm Tú</t>
  </si>
  <si>
    <t>SV11x3x16</t>
  </si>
  <si>
    <t>Nguyễn Trần Quang Vinh</t>
  </si>
  <si>
    <t>SV11x3x17</t>
  </si>
  <si>
    <t>Nguyễn Thị Hải Vân</t>
  </si>
  <si>
    <t>SV11x3x18</t>
  </si>
  <si>
    <t>Nguyễn Phú Nam</t>
  </si>
  <si>
    <t>SV11x3x19</t>
  </si>
  <si>
    <t>Nguyễn Bá Hải Bằng</t>
  </si>
  <si>
    <t>SV11x3x2</t>
  </si>
  <si>
    <t>Khúc Ngọc Anh</t>
  </si>
  <si>
    <t>SV11x3x20</t>
  </si>
  <si>
    <t>SV11x3x21</t>
  </si>
  <si>
    <t>Nguyễn Ngọc Quang Hải</t>
  </si>
  <si>
    <t>SV11x3x22</t>
  </si>
  <si>
    <t>Đỗ Lê Kiên</t>
  </si>
  <si>
    <t>SV11x3x23</t>
  </si>
  <si>
    <t>Vũ Thanh Tùng</t>
  </si>
  <si>
    <t>SV11x3x24</t>
  </si>
  <si>
    <t>Nguyễn Bùi Minh Đức</t>
  </si>
  <si>
    <t>SV11x3x25</t>
  </si>
  <si>
    <t>Nguyễn Hạ Vy</t>
  </si>
  <si>
    <t>SV11x3x26</t>
  </si>
  <si>
    <t>Nguyễn Thành Nam</t>
  </si>
  <si>
    <t>SV11x3x27</t>
  </si>
  <si>
    <t>Nguyễn Tuấn Minh</t>
  </si>
  <si>
    <t>SV11x3x28</t>
  </si>
  <si>
    <t>Nguyễn Thiên</t>
  </si>
  <si>
    <t>SV11x3x29</t>
  </si>
  <si>
    <t>Đặng Quỳnh Chi</t>
  </si>
  <si>
    <t>SV11x3x3</t>
  </si>
  <si>
    <t>Nguyễn Gia Duy</t>
  </si>
  <si>
    <t>SV11x3x30</t>
  </si>
  <si>
    <t>Nguyễn Thị Kim Chi</t>
  </si>
  <si>
    <t>SV11x3x4</t>
  </si>
  <si>
    <t>Trương Bỉnh Lê Đạt</t>
  </si>
  <si>
    <t>SV11x3x5</t>
  </si>
  <si>
    <t>Nguyễn Minh Đức</t>
  </si>
  <si>
    <t>SV11x3x6</t>
  </si>
  <si>
    <t>Hà Xuân Việt Khánh</t>
  </si>
  <si>
    <t>SV11x3x7</t>
  </si>
  <si>
    <t>Nguyễn Hoàng Mai</t>
  </si>
  <si>
    <t>SV11x3x8</t>
  </si>
  <si>
    <t>Trần Thụy Trà Mi</t>
  </si>
  <si>
    <t>SV11x3x9</t>
  </si>
  <si>
    <t>Đỗ Vũ Bá Linh</t>
  </si>
  <si>
    <t>SV11x4x1</t>
  </si>
  <si>
    <t>11A4</t>
  </si>
  <si>
    <t>Nguyễn Thị Thu Hiền</t>
  </si>
  <si>
    <t>SV11x4x2</t>
  </si>
  <si>
    <t>Khuất Tiến Minh</t>
  </si>
  <si>
    <t>SV11x4x3</t>
  </si>
  <si>
    <t>Lê Đức Thịnh</t>
  </si>
  <si>
    <t>SV11x4x4</t>
  </si>
  <si>
    <t>Mai Khánh Huyền</t>
  </si>
  <si>
    <t>SV11x4x5</t>
  </si>
  <si>
    <t>Nguyễn Đăng Huy</t>
  </si>
  <si>
    <t>SV11x4x6</t>
  </si>
  <si>
    <t>SV11x4x7</t>
  </si>
  <si>
    <t>Nguyễn Thị Mai Anh</t>
  </si>
  <si>
    <t>SV11x5x1</t>
  </si>
  <si>
    <t>11A5</t>
  </si>
  <si>
    <t>Trần Thị Trang</t>
  </si>
  <si>
    <t>SV11x5x2</t>
  </si>
  <si>
    <t>Nguyễn Thị Thảo Như</t>
  </si>
  <si>
    <t>SV11x5x3</t>
  </si>
  <si>
    <t>Ngô Minh Quang</t>
  </si>
  <si>
    <t>SV11x5x4</t>
  </si>
  <si>
    <t>Nguyễn Vũ Đức</t>
  </si>
  <si>
    <t>SV11x6x1</t>
  </si>
  <si>
    <t>11A6</t>
  </si>
  <si>
    <t>Nguyễn Phan Ý Nhi</t>
  </si>
  <si>
    <t>SV11x6x10</t>
  </si>
  <si>
    <t>Lê Yến Nhi</t>
  </si>
  <si>
    <t>SV11x6x11</t>
  </si>
  <si>
    <t>Mai Hải Phong</t>
  </si>
  <si>
    <t>SV11x6x12</t>
  </si>
  <si>
    <t>Lê Minh Sơn</t>
  </si>
  <si>
    <t>SV11x6x13</t>
  </si>
  <si>
    <t>Nguyễn Thùy Trang</t>
  </si>
  <si>
    <t>SV11x6x14</t>
  </si>
  <si>
    <t>Hà Thu Thảo</t>
  </si>
  <si>
    <t>SV11x6x15</t>
  </si>
  <si>
    <t>Đặng Thị Minh Anh</t>
  </si>
  <si>
    <t>SV11x6x16</t>
  </si>
  <si>
    <t>Tường Ngọc Anh</t>
  </si>
  <si>
    <t>SV11x6x17</t>
  </si>
  <si>
    <t>Nguyễn Tùng Chi</t>
  </si>
  <si>
    <t>SV11x6x18</t>
  </si>
  <si>
    <t>Nguyễn Tiến Dũng</t>
  </si>
  <si>
    <t>SV11x6x19</t>
  </si>
  <si>
    <t>Đào Hà An</t>
  </si>
  <si>
    <t>SV11x6x2</t>
  </si>
  <si>
    <t>Nguyễn Quỳnh Dương</t>
  </si>
  <si>
    <t>SV11x6x20</t>
  </si>
  <si>
    <t>Nguyễn Quốc Đông</t>
  </si>
  <si>
    <t>SV11x6x21</t>
  </si>
  <si>
    <t>SV11x6x22</t>
  </si>
  <si>
    <t>Nguyễn Thanh Trường Giang</t>
  </si>
  <si>
    <t>SV11x6x23</t>
  </si>
  <si>
    <t>Ngô Nguyễn Hồ Phương Hoa</t>
  </si>
  <si>
    <t>SV11x6x24</t>
  </si>
  <si>
    <t>Nguyễn Đỗ Thảo Hương</t>
  </si>
  <si>
    <t>SV11x6x25</t>
  </si>
  <si>
    <t>Dương Bảo Khánh</t>
  </si>
  <si>
    <t>SV11x6x26</t>
  </si>
  <si>
    <t>Nguyễn Bảo Nam</t>
  </si>
  <si>
    <t>SV11x6x27</t>
  </si>
  <si>
    <t>Ngô Gia Bảo Nhi</t>
  </si>
  <si>
    <t>SV11x6x28</t>
  </si>
  <si>
    <t>Hoàng Khánh Phương</t>
  </si>
  <si>
    <t>SV11x6x29</t>
  </si>
  <si>
    <t>Nguyễn Vân Anh</t>
  </si>
  <si>
    <t>SV11x6x3</t>
  </si>
  <si>
    <t>Nguyễn Hà Phương</t>
  </si>
  <si>
    <t>SV11x6x30</t>
  </si>
  <si>
    <t>Đàm Thế Sơn</t>
  </si>
  <si>
    <t>SV11x6x31</t>
  </si>
  <si>
    <t>An Đình Khương</t>
  </si>
  <si>
    <t>SV11x6x32</t>
  </si>
  <si>
    <t>Lê Nguyễn Hồng Anh</t>
  </si>
  <si>
    <t>SV11x6x33</t>
  </si>
  <si>
    <t>Trần Hải Anh</t>
  </si>
  <si>
    <t>SV11x6x4</t>
  </si>
  <si>
    <t>Tạ Ngọc Hùng</t>
  </si>
  <si>
    <t>SV11x6x5</t>
  </si>
  <si>
    <t>Đào Tuệ Linh</t>
  </si>
  <si>
    <t>SV11x6x6</t>
  </si>
  <si>
    <t>Nguyễn Hoàng Linh</t>
  </si>
  <si>
    <t>SV11x6x7</t>
  </si>
  <si>
    <t>Trần Khánh Ly</t>
  </si>
  <si>
    <t>SV11x6x8</t>
  </si>
  <si>
    <t>Vũ Hồng Nam</t>
  </si>
  <si>
    <t>SV11x6x9</t>
  </si>
  <si>
    <t>Đỗ Hiếu Anh</t>
  </si>
  <si>
    <t>SV11x7x1</t>
  </si>
  <si>
    <t>11A7</t>
  </si>
  <si>
    <t>Nguyễn Đức Nam Khánh</t>
  </si>
  <si>
    <t>SV11x7x10</t>
  </si>
  <si>
    <t>Đào Phương Linh</t>
  </si>
  <si>
    <t>SV11x7x11</t>
  </si>
  <si>
    <t>Phan Thanh Gia Linh</t>
  </si>
  <si>
    <t>SV11x7x12</t>
  </si>
  <si>
    <t>Đinh Diệu Hà Vi</t>
  </si>
  <si>
    <t>SV11x7x13</t>
  </si>
  <si>
    <t>Nguyễn Đại Dương</t>
  </si>
  <si>
    <t>SV11x7x14</t>
  </si>
  <si>
    <t>Nguyễn Hưng Long</t>
  </si>
  <si>
    <t>SV11x7x15</t>
  </si>
  <si>
    <t>Phan Sỹ Quang Minh</t>
  </si>
  <si>
    <t>SV11x7x16</t>
  </si>
  <si>
    <t>Ngô Duy Bảo</t>
  </si>
  <si>
    <t>SV11x7x17</t>
  </si>
  <si>
    <t>SV11x7x2</t>
  </si>
  <si>
    <t>Phạm Hoàng Minh</t>
  </si>
  <si>
    <t>SV11x7x3</t>
  </si>
  <si>
    <t>Trần Khánh Linh</t>
  </si>
  <si>
    <t>SV11x7x4</t>
  </si>
  <si>
    <t>Vũ Quỳnh Trang</t>
  </si>
  <si>
    <t>SV11x7x5</t>
  </si>
  <si>
    <t>Nguyễn Ngọc Thanh</t>
  </si>
  <si>
    <t>SV11x7x6</t>
  </si>
  <si>
    <t>Phùng Mỹ Anh</t>
  </si>
  <si>
    <t>SV11x7x7</t>
  </si>
  <si>
    <t>Nguyễn Mạnh Duy</t>
  </si>
  <si>
    <t>SV11x7x8</t>
  </si>
  <si>
    <t>Đặng Minh Đức</t>
  </si>
  <si>
    <t>SV11x7x9</t>
  </si>
  <si>
    <t>Nguyễn Tiến Khang</t>
  </si>
  <si>
    <t>SV11x8x1</t>
  </si>
  <si>
    <t>11A8</t>
  </si>
  <si>
    <t>Phạm Hoàng Minh Trúc</t>
  </si>
  <si>
    <t>SV11x8x10</t>
  </si>
  <si>
    <t>Nguyễn Phú Trọng</t>
  </si>
  <si>
    <t>SV11x8x11</t>
  </si>
  <si>
    <t>Trương Bá Bảo Nam</t>
  </si>
  <si>
    <t>SV11x8x12</t>
  </si>
  <si>
    <t>Nguyễn Khắc Thu</t>
  </si>
  <si>
    <t>SV11x8x13</t>
  </si>
  <si>
    <t>Nguyễn Tùng Quân</t>
  </si>
  <si>
    <t>SV11x8x14</t>
  </si>
  <si>
    <t>Đỗ Tuấn Anh</t>
  </si>
  <si>
    <t>SV11x8x15</t>
  </si>
  <si>
    <t>Nguyễn Quang Anh</t>
  </si>
  <si>
    <t>SV11x8x2</t>
  </si>
  <si>
    <t>Nguyễn Vũ Ngọc Anh</t>
  </si>
  <si>
    <t>SV11x8x3</t>
  </si>
  <si>
    <t>Đào Yến Chi</t>
  </si>
  <si>
    <t>SV11x8x4</t>
  </si>
  <si>
    <t>SV11x8x5</t>
  </si>
  <si>
    <t>Bùi Gia Huy</t>
  </si>
  <si>
    <t>SV11x8x6</t>
  </si>
  <si>
    <t>Lưu Gia Khánh</t>
  </si>
  <si>
    <t>SV11x8x7</t>
  </si>
  <si>
    <t>Văn Đức Khánh</t>
  </si>
  <si>
    <t>SV11x8x8</t>
  </si>
  <si>
    <t>Trần Ngọc Bảo Trâm</t>
  </si>
  <si>
    <t>SV11x8x9</t>
  </si>
  <si>
    <t>Nguyễn Minh Tú</t>
  </si>
  <si>
    <t>SV11x9x1</t>
  </si>
  <si>
    <t>11A9</t>
  </si>
  <si>
    <t>Nguyễn Minh Tuấn</t>
  </si>
  <si>
    <t>SV11x9x2</t>
  </si>
  <si>
    <t>Tuấn Dũng</t>
  </si>
  <si>
    <t>SV12Ax1</t>
  </si>
  <si>
    <t>12A</t>
  </si>
  <si>
    <t>Trường Lâm</t>
  </si>
  <si>
    <t>SV12Ax2</t>
  </si>
  <si>
    <t>SV12x10x1</t>
  </si>
  <si>
    <t>12A10</t>
  </si>
  <si>
    <t>Nguyễn Phú Lộc</t>
  </si>
  <si>
    <t>SV12x10x2</t>
  </si>
  <si>
    <t>Lương Cao Thảo Linh</t>
  </si>
  <si>
    <t>SV12x11x1</t>
  </si>
  <si>
    <t>12A11</t>
  </si>
  <si>
    <t>Nguyễn Đức Trường</t>
  </si>
  <si>
    <t>SV12x11x10</t>
  </si>
  <si>
    <t>Vũ Thu Xuân</t>
  </si>
  <si>
    <t>SV12x11x11</t>
  </si>
  <si>
    <t>Nguyễn Hải Yến</t>
  </si>
  <si>
    <t>SV12x11x12</t>
  </si>
  <si>
    <t>Ngô Diệu Linh</t>
  </si>
  <si>
    <t>SV12x11x13</t>
  </si>
  <si>
    <t>Nguyễn Thị Ngọc Ánh</t>
  </si>
  <si>
    <t>SV12x11x14</t>
  </si>
  <si>
    <t>Phạm Viết Sang</t>
  </si>
  <si>
    <t>SV12x11x15</t>
  </si>
  <si>
    <t>Nguyễn Huyền My</t>
  </si>
  <si>
    <t>SV12x11x16</t>
  </si>
  <si>
    <t>Đặng Quỳnh Anh</t>
  </si>
  <si>
    <t>SV12x11x17</t>
  </si>
  <si>
    <t>Nguyễn Bảo Linh</t>
  </si>
  <si>
    <t>SV12x11x18</t>
  </si>
  <si>
    <t>Đỗ Thảo Ly</t>
  </si>
  <si>
    <t>SV12x11x19</t>
  </si>
  <si>
    <t>SV12x11x2</t>
  </si>
  <si>
    <t>Bùi Thảo Uyên</t>
  </si>
  <si>
    <t>SV12x11x20</t>
  </si>
  <si>
    <t>Đỗ Nhật Hà Phương</t>
  </si>
  <si>
    <t>SV12x11x21</t>
  </si>
  <si>
    <t>Phạm Thu Hà</t>
  </si>
  <si>
    <t>SV12x11x22</t>
  </si>
  <si>
    <t>Trần Mai Hương</t>
  </si>
  <si>
    <t>SV12x11x23</t>
  </si>
  <si>
    <t>Nguyễn Minh Thư</t>
  </si>
  <si>
    <t>SV12x11x24</t>
  </si>
  <si>
    <t>Mai Thị Thuỷ Tiên</t>
  </si>
  <si>
    <t>SV12x11x25</t>
  </si>
  <si>
    <t>Nguyễn Hương Thuỷ</t>
  </si>
  <si>
    <t>SV12x11x26</t>
  </si>
  <si>
    <t>Trần Đình Bách</t>
  </si>
  <si>
    <t>SV12x11x27</t>
  </si>
  <si>
    <t>Lê Ngọc Hân</t>
  </si>
  <si>
    <t>SV12x11x28</t>
  </si>
  <si>
    <t>Lưu Trà My</t>
  </si>
  <si>
    <t>SV12x11x29</t>
  </si>
  <si>
    <t>Nguyễn Việt Anh</t>
  </si>
  <si>
    <t>SV12x11x3</t>
  </si>
  <si>
    <t>Nguyễn Minh Đăng</t>
  </si>
  <si>
    <t>SV12x11x30</t>
  </si>
  <si>
    <t>Tống Minh Phương</t>
  </si>
  <si>
    <t>SV12x11x31</t>
  </si>
  <si>
    <t>Phạm Vũ Đức Anh</t>
  </si>
  <si>
    <t>SV12x11x4</t>
  </si>
  <si>
    <t>Trần Thế Bảo</t>
  </si>
  <si>
    <t>SV12x11x5</t>
  </si>
  <si>
    <t>Nguyễn Hoàng Phúc</t>
  </si>
  <si>
    <t>SV12x11x6</t>
  </si>
  <si>
    <t>Nguyễn Như Quỳnh</t>
  </si>
  <si>
    <t>SV12x11x7</t>
  </si>
  <si>
    <t>Nguyễn Minh Tâm</t>
  </si>
  <si>
    <t>SV12x11x8</t>
  </si>
  <si>
    <t>Nguyễn Thành Trung</t>
  </si>
  <si>
    <t>SV12x11x9</t>
  </si>
  <si>
    <t>Đinh Thị Phương Anh</t>
  </si>
  <si>
    <t>SV12x12x1</t>
  </si>
  <si>
    <t>12A12</t>
  </si>
  <si>
    <t>Phạm Đăng Khoa</t>
  </si>
  <si>
    <t>SV12x12x10</t>
  </si>
  <si>
    <t>Ng. Trần Bảo Linh</t>
  </si>
  <si>
    <t>SV12x12x11</t>
  </si>
  <si>
    <t>Vũ Hà Linh</t>
  </si>
  <si>
    <t>SV12x12x12</t>
  </si>
  <si>
    <t>Lê Hoàng Long</t>
  </si>
  <si>
    <t>SV12x12x13</t>
  </si>
  <si>
    <t>Nguyễn Đức Nghĩa</t>
  </si>
  <si>
    <t>SV12x12x14</t>
  </si>
  <si>
    <t>Vũ Yến Nhi</t>
  </si>
  <si>
    <t>SV12x12x15</t>
  </si>
  <si>
    <t>Nguyễn Anh Tuấn</t>
  </si>
  <si>
    <t>SV12x12x16</t>
  </si>
  <si>
    <t>Vũ Anh Tuấn</t>
  </si>
  <si>
    <t>SV12x12x17</t>
  </si>
  <si>
    <t>Nguyễn Thu Trúc</t>
  </si>
  <si>
    <t>SV12x12x18</t>
  </si>
  <si>
    <t>Hà Thị Hải Yến</t>
  </si>
  <si>
    <t>SV12x12x19</t>
  </si>
  <si>
    <t>Nguyễn Trung Anh</t>
  </si>
  <si>
    <t>SV12x12x2</t>
  </si>
  <si>
    <t>Vũ Anh Minh</t>
  </si>
  <si>
    <t>SV12x12x20</t>
  </si>
  <si>
    <t>Vũ Hồng Quân</t>
  </si>
  <si>
    <t>SV12x12x21</t>
  </si>
  <si>
    <t>Lê Đức Anh</t>
  </si>
  <si>
    <t>SV12x12x22</t>
  </si>
  <si>
    <t>Lê Thị Quỳnh Anh</t>
  </si>
  <si>
    <t>SV12x12x3</t>
  </si>
  <si>
    <t>Vũ Thành Đạt</t>
  </si>
  <si>
    <t>SV12x12x4</t>
  </si>
  <si>
    <t>Nguyễn Tiến Đạt</t>
  </si>
  <si>
    <t>SV12x12x5</t>
  </si>
  <si>
    <t>Nguyễn Vương Đức</t>
  </si>
  <si>
    <t>SV12x12x6</t>
  </si>
  <si>
    <t>Ngô Gia Huy</t>
  </si>
  <si>
    <t>SV12x12x7</t>
  </si>
  <si>
    <t>Nguyễn Mai Khanh</t>
  </si>
  <si>
    <t>SV12x12x8</t>
  </si>
  <si>
    <t>Trần Quốc Khánh</t>
  </si>
  <si>
    <t>SV12x12x9</t>
  </si>
  <si>
    <t>Nguyễn Văn Ngọc</t>
  </si>
  <si>
    <t>SV12x13x1</t>
  </si>
  <si>
    <t>12A13</t>
  </si>
  <si>
    <t>Đặng Việt Bách</t>
  </si>
  <si>
    <t>SV12x13x2</t>
  </si>
  <si>
    <t>Đặng Ngọc Nhân</t>
  </si>
  <si>
    <t>SV12x13x3</t>
  </si>
  <si>
    <t>Nguyễn Trung Hoàng Dũng</t>
  </si>
  <si>
    <t>SV12x13x4</t>
  </si>
  <si>
    <t>Mai Hương Ly</t>
  </si>
  <si>
    <t>SV12x14x1</t>
  </si>
  <si>
    <t>12A14</t>
  </si>
  <si>
    <t>Phan Ngọc Diệp</t>
  </si>
  <si>
    <t>SV12x14x2</t>
  </si>
  <si>
    <t>Thẩm Minh Anh</t>
  </si>
  <si>
    <t>SV12x14x3</t>
  </si>
  <si>
    <t>SV12x16x1</t>
  </si>
  <si>
    <t>12A16</t>
  </si>
  <si>
    <t>Mai Đức Giang</t>
  </si>
  <si>
    <t>SV12x16x10</t>
  </si>
  <si>
    <t>SV12x16x11</t>
  </si>
  <si>
    <t>Vương Hoài Linh</t>
  </si>
  <si>
    <t>SV12x16x12</t>
  </si>
  <si>
    <t>Nguyễn Thị Thanh Ngân</t>
  </si>
  <si>
    <t>SV12x16x13</t>
  </si>
  <si>
    <t>Nguyễn Minh Ngọc</t>
  </si>
  <si>
    <t>SV12x16x14</t>
  </si>
  <si>
    <t>Nguyễn Yến Nhi</t>
  </si>
  <si>
    <t>SV12x16x15</t>
  </si>
  <si>
    <t>Vũ Yến Trang</t>
  </si>
  <si>
    <t>SV12x16x16</t>
  </si>
  <si>
    <t>Trịnh Quỳnh Chi</t>
  </si>
  <si>
    <t>SV12x16x17</t>
  </si>
  <si>
    <t>SV12x16x18</t>
  </si>
  <si>
    <t>SV12x16x19</t>
  </si>
  <si>
    <t>Lê Lan Phương</t>
  </si>
  <si>
    <t>SV12x16x2</t>
  </si>
  <si>
    <t>Trịnh Ngọc Nguyên Khang</t>
  </si>
  <si>
    <t>SV12x16x20</t>
  </si>
  <si>
    <t>SV12x16x3</t>
  </si>
  <si>
    <t>Ngô Vân Anh</t>
  </si>
  <si>
    <t>SV12x16x4</t>
  </si>
  <si>
    <t>Nguyễn Bảo Nhi</t>
  </si>
  <si>
    <t>SV12x16x5</t>
  </si>
  <si>
    <t>Hoàng Vân Anh</t>
  </si>
  <si>
    <t>SV12x16x6</t>
  </si>
  <si>
    <t>Nguyễn Thị Minh Châu</t>
  </si>
  <si>
    <t>SV12x16x7</t>
  </si>
  <si>
    <t>Đoàn Lưu Khánh Chi</t>
  </si>
  <si>
    <t>SV12x16x8</t>
  </si>
  <si>
    <t>Trương Thị Ngọc Dung</t>
  </si>
  <si>
    <t>SV12x16x9</t>
  </si>
  <si>
    <t>Nguyễn Hữu Trí Nguyên</t>
  </si>
  <si>
    <t>SV12x1x1</t>
  </si>
  <si>
    <t>12A1</t>
  </si>
  <si>
    <t>Đào Thị Diệu Linh</t>
  </si>
  <si>
    <t>SV12x1x10</t>
  </si>
  <si>
    <t>Chu Quỳnh Lâm</t>
  </si>
  <si>
    <t>SV12x1x11</t>
  </si>
  <si>
    <t>Nguyễn Thành Long</t>
  </si>
  <si>
    <t>SV12x1x12</t>
  </si>
  <si>
    <t>Hoàng Long Nhật</t>
  </si>
  <si>
    <t>SV12x1x13</t>
  </si>
  <si>
    <t>Trần Ngọc Quân</t>
  </si>
  <si>
    <t>SV12x1x14</t>
  </si>
  <si>
    <t>Nguyễn Thúy Quỳnh</t>
  </si>
  <si>
    <t>SV12x1x15</t>
  </si>
  <si>
    <t>SV12x1x16</t>
  </si>
  <si>
    <t>Bùi Vĩnh Đại</t>
  </si>
  <si>
    <t>SV12x1x17</t>
  </si>
  <si>
    <t>Nguyễn Tấn Dũng</t>
  </si>
  <si>
    <t>SV12x1x18</t>
  </si>
  <si>
    <t>Trần Đăng Khôi</t>
  </si>
  <si>
    <t>SV12x1x19</t>
  </si>
  <si>
    <t>SV12x1x2</t>
  </si>
  <si>
    <t>Nguyễn Đức Long</t>
  </si>
  <si>
    <t>SV12x1x20</t>
  </si>
  <si>
    <t>Nguyễn Thành Luân</t>
  </si>
  <si>
    <t>SV12x1x21</t>
  </si>
  <si>
    <t>Bùi Bảo Ngọc</t>
  </si>
  <si>
    <t>SV12x1x22</t>
  </si>
  <si>
    <t>Nguyễn Tâm Nhi</t>
  </si>
  <si>
    <t>SV12x1x23</t>
  </si>
  <si>
    <t>Nguyễn Đức Thắng</t>
  </si>
  <si>
    <t>SV12x1x24</t>
  </si>
  <si>
    <t>Lê Thùy Trang</t>
  </si>
  <si>
    <t>SV12x1x25</t>
  </si>
  <si>
    <t>Trần Minh Trí</t>
  </si>
  <si>
    <t>SV12x1x26</t>
  </si>
  <si>
    <t>Lại Thị Tú Uyên</t>
  </si>
  <si>
    <t>SV12x1x27</t>
  </si>
  <si>
    <t>Hoàng Hải Yến</t>
  </si>
  <si>
    <t>SV12x1x28</t>
  </si>
  <si>
    <t>SV12x1x3</t>
  </si>
  <si>
    <t>Nguyễn Vũ Mai Anh</t>
  </si>
  <si>
    <t>SV12x1x4</t>
  </si>
  <si>
    <t>Võ Bảo Anh</t>
  </si>
  <si>
    <t>SV12x1x5</t>
  </si>
  <si>
    <t>SV12x1x6</t>
  </si>
  <si>
    <t>Lưu Minh Châu</t>
  </si>
  <si>
    <t>SV12x1x7</t>
  </si>
  <si>
    <t>Đỗ Thu Hiền</t>
  </si>
  <si>
    <t>SV12x1x8</t>
  </si>
  <si>
    <t>Trần Gia Huy</t>
  </si>
  <si>
    <t>SV12x1x9</t>
  </si>
  <si>
    <t>Vũ Gia An</t>
  </si>
  <si>
    <t>SV12x2x1</t>
  </si>
  <si>
    <t>12A2</t>
  </si>
  <si>
    <t>Nguyễn Xuân Phúc</t>
  </si>
  <si>
    <t>SV12x2x10</t>
  </si>
  <si>
    <t>Lê Hiền Phương</t>
  </si>
  <si>
    <t>SV12x2x11</t>
  </si>
  <si>
    <t>Khuất Duy Quang</t>
  </si>
  <si>
    <t>SV12x2x12</t>
  </si>
  <si>
    <t>Vũ Quang Sơn</t>
  </si>
  <si>
    <t>SV12x2x13</t>
  </si>
  <si>
    <t>Nguyễn Quang Thắng</t>
  </si>
  <si>
    <t>SV12x2x14</t>
  </si>
  <si>
    <t>Ngô Quang Tùng</t>
  </si>
  <si>
    <t>SV12x2x15</t>
  </si>
  <si>
    <t>Vũ Mai Phương</t>
  </si>
  <si>
    <t>SV12x2x16</t>
  </si>
  <si>
    <t>Nguyễn Khôi Nguyên</t>
  </si>
  <si>
    <t>SV12x2x17</t>
  </si>
  <si>
    <t>Đỗ Việt Hưng</t>
  </si>
  <si>
    <t>SV12x2x18</t>
  </si>
  <si>
    <t>Trần Hoàng Tùng</t>
  </si>
  <si>
    <t>SV12x2x19</t>
  </si>
  <si>
    <t>SV12x2x2</t>
  </si>
  <si>
    <t>Nguyễn Quang Minh</t>
  </si>
  <si>
    <t>SV12x2x20</t>
  </si>
  <si>
    <t>Mao Khánh An</t>
  </si>
  <si>
    <t>SV12x2x21</t>
  </si>
  <si>
    <t>Phan Quốc Trí</t>
  </si>
  <si>
    <t>SV12x2x22</t>
  </si>
  <si>
    <t>Vũ Vạn Chấn</t>
  </si>
  <si>
    <t>SV12x2x23</t>
  </si>
  <si>
    <t>SV12x2x24</t>
  </si>
  <si>
    <t>Võ Quang Minh</t>
  </si>
  <si>
    <t>SV12x2x25</t>
  </si>
  <si>
    <t>Nguyễn Ngọc Son</t>
  </si>
  <si>
    <t>SV12x2x26</t>
  </si>
  <si>
    <t>Nguyễn Thanh Dương</t>
  </si>
  <si>
    <t>SV12x2x27</t>
  </si>
  <si>
    <t>Phan Trường Giang</t>
  </si>
  <si>
    <t>SV12x2x28</t>
  </si>
  <si>
    <t>Thân Tuệ Minh</t>
  </si>
  <si>
    <t>SV12x2x29</t>
  </si>
  <si>
    <t>Hoàng Tiến Đạt</t>
  </si>
  <si>
    <t>SV12x2x3</t>
  </si>
  <si>
    <t>Bùi Thảo Nguyên</t>
  </si>
  <si>
    <t>SV12x2x30</t>
  </si>
  <si>
    <t>Nguyễn An Phương</t>
  </si>
  <si>
    <t>SV12x2x31</t>
  </si>
  <si>
    <t>Nguyễn Hữu Vũ</t>
  </si>
  <si>
    <t>SV12x2x32</t>
  </si>
  <si>
    <t>Vũ Xuân Hải Đăng</t>
  </si>
  <si>
    <t>SV12x2x33</t>
  </si>
  <si>
    <t>Nguyễn Nhật Hoàng</t>
  </si>
  <si>
    <t>SV12x2x34</t>
  </si>
  <si>
    <t>Nguyễn Ngọc Anh</t>
  </si>
  <si>
    <t>SV12x2x35</t>
  </si>
  <si>
    <t>Nguyễn Việt Cường</t>
  </si>
  <si>
    <t>SV12x2x36</t>
  </si>
  <si>
    <t>Nguyễn Quang Diệu</t>
  </si>
  <si>
    <t>SV12x2x37</t>
  </si>
  <si>
    <t>Phan Ngọc Hà</t>
  </si>
  <si>
    <t>SV12x2x4</t>
  </si>
  <si>
    <t>Trịnh Kim Hồng</t>
  </si>
  <si>
    <t>SV12x2x5</t>
  </si>
  <si>
    <t>Bùi Quang Huy</t>
  </si>
  <si>
    <t>SV12x2x6</t>
  </si>
  <si>
    <t>Hoàng Minh Huy</t>
  </si>
  <si>
    <t>SV12x2x7</t>
  </si>
  <si>
    <t>Nguyễn Ngọc Phúc Khanh</t>
  </si>
  <si>
    <t>SV12x2x8</t>
  </si>
  <si>
    <t>Nguyễn Gia Nam</t>
  </si>
  <si>
    <t>SV12x2x9</t>
  </si>
  <si>
    <t>Lưu Trâm Anh</t>
  </si>
  <si>
    <t>SV12x3x1</t>
  </si>
  <si>
    <t>12A3</t>
  </si>
  <si>
    <t>Lê Anh Thư</t>
  </si>
  <si>
    <t>SV12x3x10</t>
  </si>
  <si>
    <t>Vũ Ngân Thương</t>
  </si>
  <si>
    <t>SV12x3x11</t>
  </si>
  <si>
    <t>Nguyễn Trọng Anh Quý</t>
  </si>
  <si>
    <t>SV12x3x12</t>
  </si>
  <si>
    <t>Lê Đức Dũng</t>
  </si>
  <si>
    <t>SV12x3x13</t>
  </si>
  <si>
    <t>Nguyễn Thành Đoàn</t>
  </si>
  <si>
    <t>SV12x3x14</t>
  </si>
  <si>
    <t>Lê Hà Linh</t>
  </si>
  <si>
    <t>SV12x3x15</t>
  </si>
  <si>
    <t>Vũ Đức Lộc</t>
  </si>
  <si>
    <t>SV12x3x16</t>
  </si>
  <si>
    <t>Đào Vi Quang Minh</t>
  </si>
  <si>
    <t>SV12x3x17</t>
  </si>
  <si>
    <t>Dương Thủy Tiên</t>
  </si>
  <si>
    <t>SV12x3x18</t>
  </si>
  <si>
    <t>Lê Nguyễn Bảo Trâm</t>
  </si>
  <si>
    <t>SV12x3x19</t>
  </si>
  <si>
    <t>Nguyễn Phú Đức</t>
  </si>
  <si>
    <t>SV12x3x2</t>
  </si>
  <si>
    <t>Lê Anh Tuấn</t>
  </si>
  <si>
    <t>SV12x3x20</t>
  </si>
  <si>
    <t>SV12x3x21</t>
  </si>
  <si>
    <t>Trần Nguyên Vũ</t>
  </si>
  <si>
    <t>SV12x3x22</t>
  </si>
  <si>
    <t>Lê Huy Hải</t>
  </si>
  <si>
    <t>SV12x3x23</t>
  </si>
  <si>
    <t>Tạ Thanh Vân</t>
  </si>
  <si>
    <t>SV12x3x24</t>
  </si>
  <si>
    <t>Nguyễn Hoàng Hà An</t>
  </si>
  <si>
    <t>SV12x3x25</t>
  </si>
  <si>
    <t>Đinh Nhật Anh</t>
  </si>
  <si>
    <t>SV12x3x26</t>
  </si>
  <si>
    <t>Đinh Việt Anh</t>
  </si>
  <si>
    <t>SV12x3x27</t>
  </si>
  <si>
    <t>Lê Tiến Dũng</t>
  </si>
  <si>
    <t>SV12x3x28</t>
  </si>
  <si>
    <t>Trần Xuân Dũng</t>
  </si>
  <si>
    <t>SV12x3x29</t>
  </si>
  <si>
    <t>Mai Quang Huy</t>
  </si>
  <si>
    <t>SV12x3x3</t>
  </si>
  <si>
    <t>Nguyễn Nghĩa Trường Hải</t>
  </si>
  <si>
    <t>SV12x3x30</t>
  </si>
  <si>
    <t>Vũ Nam Khánh</t>
  </si>
  <si>
    <t>SV12x3x31</t>
  </si>
  <si>
    <t>Nguyễn Việt Khôi</t>
  </si>
  <si>
    <t>SV12x3x32</t>
  </si>
  <si>
    <t>Dương Đình Lợi</t>
  </si>
  <si>
    <t>SV12x3x33</t>
  </si>
  <si>
    <t>Nguyễn Đức Minh</t>
  </si>
  <si>
    <t>SV12x3x34</t>
  </si>
  <si>
    <t>Trương Quốc Pháp</t>
  </si>
  <si>
    <t>SV12x3x35</t>
  </si>
  <si>
    <t>Vũ Hoàng Việt</t>
  </si>
  <si>
    <t>SV12x3x36</t>
  </si>
  <si>
    <t>Mậu Anh Vũ</t>
  </si>
  <si>
    <t>SV12x3x37</t>
  </si>
  <si>
    <t>Trương Thư Kỳ</t>
  </si>
  <si>
    <t>SV12x3x4</t>
  </si>
  <si>
    <t>Nguyễn Đức Phương</t>
  </si>
  <si>
    <t>SV12x3x5</t>
  </si>
  <si>
    <t>Nguyễn Thanh Phúc</t>
  </si>
  <si>
    <t>SV12x3x6</t>
  </si>
  <si>
    <t>Lương Ngọc Hà</t>
  </si>
  <si>
    <t>SV12x3x7</t>
  </si>
  <si>
    <t>Phạm Gia Khánh</t>
  </si>
  <si>
    <t>SV12x3x8</t>
  </si>
  <si>
    <t>Cao Hà Trang</t>
  </si>
  <si>
    <t>SV12x3x9</t>
  </si>
  <si>
    <t>Nguyễn Vũ Hải Đăng</t>
  </si>
  <si>
    <t>SV12x4x1</t>
  </si>
  <si>
    <t>12A4</t>
  </si>
  <si>
    <t>Trần Đức Minh Anh</t>
  </si>
  <si>
    <t>SV12x4x10</t>
  </si>
  <si>
    <t>Hồ Thị Quỳnh Dương</t>
  </si>
  <si>
    <t>SV12x4x11</t>
  </si>
  <si>
    <t>Hoàng Tuấn Hải</t>
  </si>
  <si>
    <t>SV12x4x12</t>
  </si>
  <si>
    <t>Trần Tùng Lâm A</t>
  </si>
  <si>
    <t>SV12x4x13</t>
  </si>
  <si>
    <t>Hoàng Bảo Long</t>
  </si>
  <si>
    <t>SV12x4x14</t>
  </si>
  <si>
    <t>Đỗ Gia Minh</t>
  </si>
  <si>
    <t>SV12x4x15</t>
  </si>
  <si>
    <t>Đinh Thanh Phong</t>
  </si>
  <si>
    <t>SV12x4x16</t>
  </si>
  <si>
    <t>Đoàn Lê Minh Quân</t>
  </si>
  <si>
    <t>SV12x4x17</t>
  </si>
  <si>
    <t>Nguyễn Thành Vinh</t>
  </si>
  <si>
    <t>SV12x4x18</t>
  </si>
  <si>
    <t>Nguyễn Quốc Hùng</t>
  </si>
  <si>
    <t>SV12x4x19</t>
  </si>
  <si>
    <t>SV12x4x2</t>
  </si>
  <si>
    <t>SV12x4x20</t>
  </si>
  <si>
    <t>Trần Nam Khánh</t>
  </si>
  <si>
    <t>SV12x4x21</t>
  </si>
  <si>
    <t>SV12x4x22</t>
  </si>
  <si>
    <t>Nguyễn Duy Thịnh</t>
  </si>
  <si>
    <t>SV12x4x3</t>
  </si>
  <si>
    <t>Đỗ Tuấn Arkadiusz Ludwik</t>
  </si>
  <si>
    <t>SV12x4x4</t>
  </si>
  <si>
    <t>Đinh Quang Bảo Nam</t>
  </si>
  <si>
    <t>SV12x4x5</t>
  </si>
  <si>
    <t>Nguyễn Bảo Việt</t>
  </si>
  <si>
    <t>SV12x4x6</t>
  </si>
  <si>
    <t>Dương Quang Anh</t>
  </si>
  <si>
    <t>SV12x4x7</t>
  </si>
  <si>
    <t>Hồ Lưu Hoài An</t>
  </si>
  <si>
    <t>SV12x4x8</t>
  </si>
  <si>
    <t>Ma Ngọc Vĩ Anh</t>
  </si>
  <si>
    <t>SV12x4x9</t>
  </si>
  <si>
    <t>Nguyễn Diệu Anh</t>
  </si>
  <si>
    <t>SV12x5x1</t>
  </si>
  <si>
    <t>12A5</t>
  </si>
  <si>
    <t>Nguyễn Thị Kim Sa</t>
  </si>
  <si>
    <t>SV12x5x10</t>
  </si>
  <si>
    <t>Nguyễn Đan Thu</t>
  </si>
  <si>
    <t>SV12x5x11</t>
  </si>
  <si>
    <t>Tạ Quốc Triệu</t>
  </si>
  <si>
    <t>SV12x5x12</t>
  </si>
  <si>
    <t>Phạm Anh Vũ</t>
  </si>
  <si>
    <t>SV12x5x13</t>
  </si>
  <si>
    <t>Vũ Hải Yến</t>
  </si>
  <si>
    <t>SV12x5x14</t>
  </si>
  <si>
    <t>Đào Thế Tùng</t>
  </si>
  <si>
    <t>SV12x5x15</t>
  </si>
  <si>
    <t>Lý Trần Gia Bảo</t>
  </si>
  <si>
    <t>SV12x5x16</t>
  </si>
  <si>
    <t>Đinh Thị Minh Phương</t>
  </si>
  <si>
    <t>SV12x5x17</t>
  </si>
  <si>
    <t>Bùi Đức Minh</t>
  </si>
  <si>
    <t>SV12x5x18</t>
  </si>
  <si>
    <t>Nguyễn Hoàng Phương</t>
  </si>
  <si>
    <t>SV12x5x19</t>
  </si>
  <si>
    <t>Phạm Nhật Bằng</t>
  </si>
  <si>
    <t>SV12x5x2</t>
  </si>
  <si>
    <t>Ngô Vũ Việt Anh</t>
  </si>
  <si>
    <t>SV12x5x20</t>
  </si>
  <si>
    <t>Âu Quốc Bảo</t>
  </si>
  <si>
    <t>SV12x5x21</t>
  </si>
  <si>
    <t>Cung Chí Cường</t>
  </si>
  <si>
    <t>SV12x5x22</t>
  </si>
  <si>
    <t>Nguyễn Anh Kiệt</t>
  </si>
  <si>
    <t>SV12x5x23</t>
  </si>
  <si>
    <t>Ngô Đình Nhật Minh</t>
  </si>
  <si>
    <t>SV12x5x24</t>
  </si>
  <si>
    <t>Đông Thị Nhung</t>
  </si>
  <si>
    <t>SV12x5x25</t>
  </si>
  <si>
    <t>Lê Đức Tâm</t>
  </si>
  <si>
    <t>SV12x5x26</t>
  </si>
  <si>
    <t>Hoàng Nhật Minh</t>
  </si>
  <si>
    <t>SV12x5x27</t>
  </si>
  <si>
    <t>Lưu gia Bảo</t>
  </si>
  <si>
    <t>SV12x5x28</t>
  </si>
  <si>
    <t>Lê Minh Thư</t>
  </si>
  <si>
    <t>SV12x5x29</t>
  </si>
  <si>
    <t>Lê Nguyễn Bảo Châm</t>
  </si>
  <si>
    <t>SV12x5x3</t>
  </si>
  <si>
    <t>Nguyễn Hạnh Nguyên</t>
  </si>
  <si>
    <t>SV12x5x30</t>
  </si>
  <si>
    <t>Đào Thế Anh</t>
  </si>
  <si>
    <t>SV12x5x31</t>
  </si>
  <si>
    <t>SV12x5x32</t>
  </si>
  <si>
    <t>Nguyễn Duy Hưng</t>
  </si>
  <si>
    <t>SV12x5x33</t>
  </si>
  <si>
    <t>Lê Khánh Duy</t>
  </si>
  <si>
    <t>SV12x5x4</t>
  </si>
  <si>
    <t>Lê Thái Duy</t>
  </si>
  <si>
    <t>SV12x5x5</t>
  </si>
  <si>
    <t>Đỗ Minh Hoàng</t>
  </si>
  <si>
    <t>SV12x5x6</t>
  </si>
  <si>
    <t>Nguyễn Trung Kiên</t>
  </si>
  <si>
    <t>SV12x5x7</t>
  </si>
  <si>
    <t>Hoàng Thùy Linh</t>
  </si>
  <si>
    <t>SV12x5x8</t>
  </si>
  <si>
    <t>Lê Linh Nga</t>
  </si>
  <si>
    <t>SV12x5x9</t>
  </si>
  <si>
    <t>SV12x6x1</t>
  </si>
  <si>
    <t>12A6</t>
  </si>
  <si>
    <t>Hòa Đoàn Phương Linh</t>
  </si>
  <si>
    <t>SV12x6x10</t>
  </si>
  <si>
    <t>Khúc Hà Linh</t>
  </si>
  <si>
    <t>SV12x6x11</t>
  </si>
  <si>
    <t>SV12x6x12</t>
  </si>
  <si>
    <t>Bùi Trà My</t>
  </si>
  <si>
    <t>SV12x6x13</t>
  </si>
  <si>
    <t>Đỗ Khánh Phát</t>
  </si>
  <si>
    <t>SV12x6x14</t>
  </si>
  <si>
    <t>Ngô An Phú</t>
  </si>
  <si>
    <t>SV12x6x15</t>
  </si>
  <si>
    <t>Nguyễn Mạnh Thắng</t>
  </si>
  <si>
    <t>SV12x6x16</t>
  </si>
  <si>
    <t>Thái Thanh Thư</t>
  </si>
  <si>
    <t>SV12x6x17</t>
  </si>
  <si>
    <t>Đỗ Phương Thảo Vân</t>
  </si>
  <si>
    <t>SV12x6x18</t>
  </si>
  <si>
    <t>Trần Thị Linh Phương</t>
  </si>
  <si>
    <t>SV12x6x19</t>
  </si>
  <si>
    <t>Hòa Đoàn Phương Trà</t>
  </si>
  <si>
    <t>SV12x6x2</t>
  </si>
  <si>
    <t>Lê Đức Trung</t>
  </si>
  <si>
    <t>SV12x6x20</t>
  </si>
  <si>
    <t>Trần Đức Thành</t>
  </si>
  <si>
    <t>SV12x6x21</t>
  </si>
  <si>
    <t>Hồ Đức Việt</t>
  </si>
  <si>
    <t>SV12x6x22</t>
  </si>
  <si>
    <t>Lê Vương Đạt</t>
  </si>
  <si>
    <t>SV12x6x23</t>
  </si>
  <si>
    <t>Trần Tuấn Minh</t>
  </si>
  <si>
    <t>SV12x6x24</t>
  </si>
  <si>
    <t>Lại Đức Khánh</t>
  </si>
  <si>
    <t>SV12x6x25</t>
  </si>
  <si>
    <t>Trương Đình Gia Khánh</t>
  </si>
  <si>
    <t>SV12x6x26</t>
  </si>
  <si>
    <t>Trần An Lương</t>
  </si>
  <si>
    <t>SV12x6x28</t>
  </si>
  <si>
    <t>Thi Bách Thành</t>
  </si>
  <si>
    <t>SV12x6x29</t>
  </si>
  <si>
    <t>Đinh Hà Anh</t>
  </si>
  <si>
    <t>SV12x6x3</t>
  </si>
  <si>
    <t>Trần Minh Quang</t>
  </si>
  <si>
    <t>SV12x6x30</t>
  </si>
  <si>
    <t>Nguyễn Đức Anh</t>
  </si>
  <si>
    <t>SV12x6x31</t>
  </si>
  <si>
    <t>Nguyễn Phúc Bình</t>
  </si>
  <si>
    <t>SV12x6x32</t>
  </si>
  <si>
    <t>Nguyễn Phú Tuấn Anh</t>
  </si>
  <si>
    <t>SV12x6x33</t>
  </si>
  <si>
    <t>Đàm Quang Dũng</t>
  </si>
  <si>
    <t>SV12x6x34</t>
  </si>
  <si>
    <t>Đặng Tiến Đạt</t>
  </si>
  <si>
    <t>SV12x6x35</t>
  </si>
  <si>
    <t>Nguyễn Tiến Đức</t>
  </si>
  <si>
    <t>SV12x6x36</t>
  </si>
  <si>
    <t>Lê Việt Hùng</t>
  </si>
  <si>
    <t>SV12x6x37</t>
  </si>
  <si>
    <t>Bùi Hoàng Gia Huy</t>
  </si>
  <si>
    <t>SV12x6x38</t>
  </si>
  <si>
    <t>SV12x6x39</t>
  </si>
  <si>
    <t>SV12x6x4</t>
  </si>
  <si>
    <t>Nguyễn Mạnh Quân</t>
  </si>
  <si>
    <t>SV12x6x40</t>
  </si>
  <si>
    <t>SV12x6x41</t>
  </si>
  <si>
    <t>Mai Thu Trà</t>
  </si>
  <si>
    <t>SV12x6x42</t>
  </si>
  <si>
    <t>Vũ Lê Bảo Châu</t>
  </si>
  <si>
    <t>SV12x6x5</t>
  </si>
  <si>
    <t>Nguyễn Phương Hà</t>
  </si>
  <si>
    <t>SV12x6x6</t>
  </si>
  <si>
    <t>Nguyễn Bá Gia Huy</t>
  </si>
  <si>
    <t>SV12x6x7</t>
  </si>
  <si>
    <t>Bùi Quang Minh</t>
  </si>
  <si>
    <t>SV12x6x8</t>
  </si>
  <si>
    <t>Lê Văn Kiên</t>
  </si>
  <si>
    <t>SV12x6x9</t>
  </si>
  <si>
    <t>Nguyễn Việt Đức Anh</t>
  </si>
  <si>
    <t>SV12x7x1</t>
  </si>
  <si>
    <t>12A7</t>
  </si>
  <si>
    <t>Dương Hồng Hạnh</t>
  </si>
  <si>
    <t>SV12x7x2</t>
  </si>
  <si>
    <t>Trần Đức Huy</t>
  </si>
  <si>
    <t>SV12x7x3</t>
  </si>
  <si>
    <t>Trần Nhật Nam</t>
  </si>
  <si>
    <t>SV12x7x4</t>
  </si>
  <si>
    <t>SV12x7x5</t>
  </si>
  <si>
    <t>Đinh Minh Đăng</t>
  </si>
  <si>
    <t>SV12x7x6</t>
  </si>
  <si>
    <t>Lê Minh An</t>
  </si>
  <si>
    <t>SV12x7x7</t>
  </si>
  <si>
    <t>Trần Minh Thái</t>
  </si>
  <si>
    <t>SV12x7x8</t>
  </si>
  <si>
    <t>Mai Bảo Linh</t>
  </si>
  <si>
    <t>SV12x8x1</t>
  </si>
  <si>
    <t>12A8</t>
  </si>
  <si>
    <t>Nguyễn Minh Hiếu</t>
  </si>
  <si>
    <t>SV12x8x10</t>
  </si>
  <si>
    <t>Nguyễn Phúc Nguyên</t>
  </si>
  <si>
    <t>SV12x8x11</t>
  </si>
  <si>
    <t>Nguyễn Lê Minh Trang</t>
  </si>
  <si>
    <t>SV12x8x12</t>
  </si>
  <si>
    <t>Nguyễn Văn Tuấn</t>
  </si>
  <si>
    <t>SV12x8x13</t>
  </si>
  <si>
    <t>SV12x8x14</t>
  </si>
  <si>
    <t>Nguyễn Vũ Bảo Anh</t>
  </si>
  <si>
    <t>SV12x8x15</t>
  </si>
  <si>
    <t>Phạm Yến Nhi</t>
  </si>
  <si>
    <t>SV12x8x16</t>
  </si>
  <si>
    <t>Phạm Chấn Phong</t>
  </si>
  <si>
    <t>SV12x8x17</t>
  </si>
  <si>
    <t>Quách Ngọc Tuấn</t>
  </si>
  <si>
    <t>SV12x8x18</t>
  </si>
  <si>
    <t>Trần Nguyễn Bảo Châu</t>
  </si>
  <si>
    <t>SV12x8x19</t>
  </si>
  <si>
    <t>Nguyễn Vũ Thành Nam</t>
  </si>
  <si>
    <t>SV12x8x2</t>
  </si>
  <si>
    <t>Nguyễn Đình Đức</t>
  </si>
  <si>
    <t>SV12x8x20</t>
  </si>
  <si>
    <t>Trần Bảo Lâm</t>
  </si>
  <si>
    <t>SV12x8x21</t>
  </si>
  <si>
    <t>Trịnh Thùy Linh</t>
  </si>
  <si>
    <t>SV12x8x22</t>
  </si>
  <si>
    <t>Bùi Quỳnh Trang</t>
  </si>
  <si>
    <t>SV12x8x23</t>
  </si>
  <si>
    <t>Hoàng Khánh Vy</t>
  </si>
  <si>
    <t>SV12x8x24</t>
  </si>
  <si>
    <t>Nguyễn Quang Tuệ</t>
  </si>
  <si>
    <t>SV12x8x3</t>
  </si>
  <si>
    <t>Đồng Hoàng Anh</t>
  </si>
  <si>
    <t>SV12x8x4</t>
  </si>
  <si>
    <t>Nguyễn Tâm Anh</t>
  </si>
  <si>
    <t>SV12x8x5</t>
  </si>
  <si>
    <t>Thái Hoàng Bách</t>
  </si>
  <si>
    <t>SV12x8x6</t>
  </si>
  <si>
    <t>Nguyễn Hà Chi</t>
  </si>
  <si>
    <t>SV12x8x7</t>
  </si>
  <si>
    <t>Đàm Tuấn Dương</t>
  </si>
  <si>
    <t>SV12x8x8</t>
  </si>
  <si>
    <t>Lê Minh Hiếu</t>
  </si>
  <si>
    <t>SV12x8x9</t>
  </si>
  <si>
    <t>Nguyễn Trịnh Minh Hoàng</t>
  </si>
  <si>
    <t>SV12x9x1</t>
  </si>
  <si>
    <t>12A9</t>
  </si>
  <si>
    <t>Trần Ngọc Vy</t>
  </si>
  <si>
    <t>SV12x9x10</t>
  </si>
  <si>
    <t>Đỗ Tuấn Minh</t>
  </si>
  <si>
    <t>SV12x9x11</t>
  </si>
  <si>
    <t>Nguyễn Hoàng Bảo Ngân</t>
  </si>
  <si>
    <t>SV12x9x12</t>
  </si>
  <si>
    <t>SV12x9x13</t>
  </si>
  <si>
    <t>Đào Phương Vy</t>
  </si>
  <si>
    <t>SV12x9x14</t>
  </si>
  <si>
    <t>Danh Bảo Ngọc</t>
  </si>
  <si>
    <t>SV12x9x15</t>
  </si>
  <si>
    <t>SV12x9x16</t>
  </si>
  <si>
    <t>Diễm Đăng Hùng</t>
  </si>
  <si>
    <t>SV12x9x17</t>
  </si>
  <si>
    <t>Hoàng Nguyễn Gia Long</t>
  </si>
  <si>
    <t>SV12x9x2</t>
  </si>
  <si>
    <t>Ngô Tiến Quyết</t>
  </si>
  <si>
    <t>SV12x9x3</t>
  </si>
  <si>
    <t>Nguyễn Đức Trí</t>
  </si>
  <si>
    <t>SV12x9x4</t>
  </si>
  <si>
    <t>Bùi Duy Thịnh</t>
  </si>
  <si>
    <t>SV12x9x5</t>
  </si>
  <si>
    <t>Nguyễn Ngọc Ánh</t>
  </si>
  <si>
    <t>SV12x9x6</t>
  </si>
  <si>
    <t>Hà Bùi Bảo Châu</t>
  </si>
  <si>
    <t>SV12x9x7</t>
  </si>
  <si>
    <t>Nguyễn Ngọc Bảo Trâm</t>
  </si>
  <si>
    <t>SV12x9x8</t>
  </si>
  <si>
    <t>Nguyễn Hà Vy</t>
  </si>
  <si>
    <t>SV12x9x9</t>
  </si>
  <si>
    <t>SAO KÊ CHI TIẾT TÀI KHOẢN
Account Statement</t>
  </si>
  <si>
    <t>NGÂN HÀNG TMCP QUÂN ĐỘI
Military Commercial Joint Stock Bank</t>
  </si>
  <si>
    <r>
      <rPr>
        <b/>
        <sz val="10"/>
        <color rgb="FF000000"/>
        <rFont val="Times"/>
      </rPr>
      <t>Từ ngày</t>
    </r>
    <r>
      <rPr>
        <i/>
        <sz val="10"/>
        <color rgb="FF000000"/>
        <rFont val="Times"/>
      </rPr>
      <t>/From:</t>
    </r>
    <r>
      <rPr>
        <b/>
        <sz val="10"/>
        <color rgb="FF000000"/>
        <rFont val="Times"/>
      </rPr>
      <t>15/10/2025 00:00:00 Đến ngày</t>
    </r>
    <r>
      <rPr>
        <i/>
        <sz val="10"/>
        <color rgb="FF000000"/>
        <rFont val="Times"/>
      </rPr>
      <t>/To:</t>
    </r>
    <r>
      <rPr>
        <b/>
        <sz val="10"/>
        <color rgb="FF000000"/>
        <rFont val="Times"/>
      </rPr>
      <t>23/10/2025 23:59:59</t>
    </r>
  </si>
  <si>
    <r>
      <rPr>
        <b/>
        <sz val="10"/>
        <color rgb="FF000000"/>
        <rFont val="Times"/>
      </rPr>
      <t xml:space="preserve"> Chi nhánh</t>
    </r>
    <r>
      <rPr>
        <i/>
        <sz val="10"/>
        <color rgb="FF000000"/>
        <rFont val="Times"/>
      </rPr>
      <t>/Branch:</t>
    </r>
    <r>
      <rPr>
        <sz val="10"/>
        <color rgb="FF000000"/>
        <rFont val="Times"/>
      </rPr>
      <t xml:space="preserve"> </t>
    </r>
    <r>
      <rPr>
        <b/>
        <sz val="10"/>
        <color rgb="FF000000"/>
        <rFont val="Times"/>
      </rPr>
      <t>VN0010060 - Dong Ha Noi</t>
    </r>
  </si>
  <si>
    <r>
      <rPr>
        <b/>
        <sz val="9"/>
        <color rgb="FF000000"/>
        <rFont val="Times"/>
      </rPr>
      <t>Tên khách hàng</t>
    </r>
    <r>
      <rPr>
        <i/>
        <sz val="9"/>
        <color rgb="FF000000"/>
        <rFont val="Times"/>
      </rPr>
      <t xml:space="preserve">/Customer name: </t>
    </r>
    <r>
      <rPr>
        <b/>
        <sz val="9"/>
        <color rgb="FF000000"/>
        <rFont val="Times"/>
      </rPr>
      <t>CONG TY TNHH TRI THUC SAO VIET</t>
    </r>
    <r>
      <rPr>
        <sz val="9"/>
        <color rgb="FF000000"/>
        <rFont val="Times"/>
      </rPr>
      <t xml:space="preserve">
</t>
    </r>
    <r>
      <rPr>
        <b/>
        <sz val="9"/>
        <color rgb="FF000000"/>
        <rFont val="Times"/>
      </rPr>
      <t>Mã khách hàng</t>
    </r>
    <r>
      <rPr>
        <i/>
        <sz val="9"/>
        <color rgb="FF000000"/>
        <rFont val="Times"/>
      </rPr>
      <t xml:space="preserve">/Customer code: </t>
    </r>
    <r>
      <rPr>
        <b/>
        <sz val="9"/>
        <color rgb="FF000000"/>
        <rFont val="Times"/>
      </rPr>
      <t>37285976</t>
    </r>
    <r>
      <rPr>
        <sz val="9"/>
        <color rgb="FF000000"/>
        <rFont val="Times"/>
      </rPr>
      <t xml:space="preserve">
</t>
    </r>
    <r>
      <rPr>
        <b/>
        <sz val="9"/>
        <color rgb="FF000000"/>
        <rFont val="Times"/>
      </rPr>
      <t>Địa chỉ</t>
    </r>
    <r>
      <rPr>
        <i/>
        <sz val="9"/>
        <color rgb="FF000000"/>
        <rFont val="Times"/>
      </rPr>
      <t xml:space="preserve">/Address: </t>
    </r>
    <r>
      <rPr>
        <b/>
        <sz val="9"/>
        <color rgb="FF000000"/>
        <rFont val="Times"/>
      </rPr>
      <t>SO 5 HEM 197/318/7 DUONG THACH BAN-PHUONG THACH BAN-QUAN LONG BIEN-THANH PHO HA NOI-VIET NAM</t>
    </r>
  </si>
  <si>
    <r>
      <rPr>
        <b/>
        <sz val="9"/>
        <color rgb="FF000000"/>
        <rFont val="Times"/>
      </rPr>
      <t>Tài khoản</t>
    </r>
    <r>
      <rPr>
        <i/>
        <sz val="9"/>
        <color rgb="FF000000"/>
        <rFont val="Times"/>
      </rPr>
      <t xml:space="preserve">/Account No: </t>
    </r>
    <r>
      <rPr>
        <b/>
        <sz val="9"/>
        <color rgb="FF000000"/>
        <rFont val="Times"/>
      </rPr>
      <t>2588666868</t>
    </r>
    <r>
      <rPr>
        <sz val="9"/>
        <color rgb="FF000000"/>
        <rFont val="Times"/>
      </rPr>
      <t xml:space="preserve">
</t>
    </r>
    <r>
      <rPr>
        <b/>
        <sz val="9"/>
        <color rgb="FF000000"/>
        <rFont val="Times"/>
      </rPr>
      <t>Mã số thuế</t>
    </r>
    <r>
      <rPr>
        <i/>
        <sz val="9"/>
        <color rgb="FF000000"/>
        <rFont val="Times"/>
      </rPr>
      <t xml:space="preserve">/Tax code: </t>
    </r>
    <r>
      <rPr>
        <b/>
        <sz val="9"/>
        <color rgb="FF000000"/>
        <rFont val="Times"/>
      </rPr>
      <t>0110940616</t>
    </r>
    <r>
      <rPr>
        <sz val="9"/>
        <color rgb="FF000000"/>
        <rFont val="Times"/>
      </rPr>
      <t xml:space="preserve">
</t>
    </r>
    <r>
      <rPr>
        <b/>
        <sz val="9"/>
        <color rgb="FF000000"/>
        <rFont val="Times"/>
      </rPr>
      <t>Loại tiền</t>
    </r>
    <r>
      <rPr>
        <i/>
        <sz val="9"/>
        <color rgb="FF000000"/>
        <rFont val="Times"/>
      </rPr>
      <t xml:space="preserve">/Currency: </t>
    </r>
    <r>
      <rPr>
        <b/>
        <sz val="9"/>
        <color rgb="FF000000"/>
        <rFont val="Times"/>
      </rPr>
      <t>VND</t>
    </r>
  </si>
  <si>
    <r>
      <rPr>
        <sz val="10"/>
        <color rgb="FF000000"/>
        <rFont val="Times"/>
      </rPr>
      <t xml:space="preserve">
</t>
    </r>
    <r>
      <rPr>
        <b/>
        <sz val="10"/>
        <color rgb="FF000000"/>
        <rFont val="Times"/>
      </rPr>
      <t>Chúng tôi xin thông báo chi tiết phát sinh nợ/có trên tài khoản quý khách trong thời gian trên như sau:</t>
    </r>
    <r>
      <rPr>
        <sz val="10"/>
        <color rgb="FF000000"/>
        <rFont val="Times"/>
      </rPr>
      <t xml:space="preserve">
</t>
    </r>
    <r>
      <rPr>
        <i/>
        <sz val="10"/>
        <color rgb="FF000000"/>
        <rFont val="Times"/>
      </rPr>
      <t>We would like to inform you about your account debit/credit transactions as the following details:</t>
    </r>
    <r>
      <rPr>
        <sz val="10"/>
        <color rgb="FF000000"/>
        <rFont val="Times"/>
      </rPr>
      <t xml:space="preserve"> 
</t>
    </r>
    <r>
      <rPr>
        <b/>
        <sz val="10"/>
        <color rgb="FF000000"/>
        <rFont val="Times"/>
      </rPr>
      <t>Số dư đầu kỳ</t>
    </r>
    <r>
      <rPr>
        <i/>
        <sz val="10"/>
        <color rgb="FF000000"/>
        <rFont val="Times"/>
      </rPr>
      <t>/ Opening Balance:</t>
    </r>
    <r>
      <rPr>
        <sz val="10"/>
        <color rgb="FF000000"/>
        <rFont val="Times"/>
      </rPr>
      <t xml:space="preserve"> </t>
    </r>
    <r>
      <rPr>
        <b/>
        <sz val="10"/>
        <color rgb="FF000000"/>
        <rFont val="Times"/>
      </rPr>
      <t>78,946,894</t>
    </r>
    <r>
      <rPr>
        <sz val="10"/>
        <color rgb="FF000000"/>
        <rFont val="Times"/>
      </rPr>
      <t xml:space="preserve"> VND
</t>
    </r>
  </si>
  <si>
    <t>STT</t>
  </si>
  <si>
    <t>NGÀY GIAO DỊCH</t>
  </si>
  <si>
    <t>NGÀY HẠCH TOÁN</t>
  </si>
  <si>
    <t>PHÁT SINH NỢ</t>
  </si>
  <si>
    <t>PHÁT SINH CÓ</t>
  </si>
  <si>
    <t>SỐ DƯ</t>
  </si>
  <si>
    <t>ĐƠN VỊ THỤ HƯỞNG/ĐƠN VỊ CHUYỂN</t>
  </si>
  <si>
    <t>NỘI DUNG</t>
  </si>
  <si>
    <t>BÚT TOÁN</t>
  </si>
  <si>
    <t>23/10/2025 17:45:18</t>
  </si>
  <si>
    <t>23/10/2025</t>
  </si>
  <si>
    <t>0</t>
  </si>
  <si>
    <t>108,948,381</t>
  </si>
  <si>
    <t>VND-TGTT-NGUYEN THI THAM</t>
  </si>
  <si>
    <t xml:space="preserve">Nguyen Anh Vu SV12x3x21 thang 10 FT 25296146337417   Ma giao dich  Trac e993745 Trace 993745 </t>
  </si>
  <si>
    <t>FT25296820103778</t>
  </si>
  <si>
    <t>23/10/2025 17:03:00</t>
  </si>
  <si>
    <t>106,448,381</t>
  </si>
  <si>
    <t>NGUYEN THU HUONG</t>
  </si>
  <si>
    <t xml:space="preserve">Nguyen Dieu Anh SV12x5x1 thang 10-  Ma GD ACSP/ B9179595 </t>
  </si>
  <si>
    <t>FT25296570630850</t>
  </si>
  <si>
    <t>23/10/2025 16:27:31</t>
  </si>
  <si>
    <t>104,248,381</t>
  </si>
  <si>
    <t>TRAN THI THAO</t>
  </si>
  <si>
    <t>MBVCB.11426219341.880955.Hoang Nhat  Minh SV12x5x27 thang 10.CT tu 0021 001480243 TRAN THI THAO toi 2588666 868 CONG TY TNHH TRI THUC SAO VIET tai MB- Ma GD ACSP/ tj880955</t>
  </si>
  <si>
    <t>FT25296968103256</t>
  </si>
  <si>
    <t>23/10/2025 14:52:41</t>
  </si>
  <si>
    <t>102,548,381</t>
  </si>
  <si>
    <t>NGUYEN THI XUAN HUONG</t>
  </si>
  <si>
    <t xml:space="preserve">Nguyen Khoi Nguyen SV12x2x17 thang  10 </t>
  </si>
  <si>
    <t>FT25296912780058</t>
  </si>
  <si>
    <t>23/10/2025 14:16:48</t>
  </si>
  <si>
    <t>101,648,381</t>
  </si>
  <si>
    <t>VNDA-VUONG THI THAO</t>
  </si>
  <si>
    <t xml:space="preserve">Le Vuong Dat SV12x6x24 thang 10 FT2 5296253803070   Ma giao dich  Trace 674845 Trace 674845 </t>
  </si>
  <si>
    <t>FT25296552190273</t>
  </si>
  <si>
    <t>23/10/2025 13:40:31</t>
  </si>
  <si>
    <t>100,248,381</t>
  </si>
  <si>
    <t>NGUYEN QUANG MINH</t>
  </si>
  <si>
    <t xml:space="preserve">Nguyen Quang Minh SV12x2x20 thang 1 0 </t>
  </si>
  <si>
    <t>FT25296990931634</t>
  </si>
  <si>
    <t>23/10/2025 10:19:20</t>
  </si>
  <si>
    <t>98,448,381</t>
  </si>
  <si>
    <t>VU KHAC HUNG</t>
  </si>
  <si>
    <t>MBVCB.11421920347.080051.Vu Hai Yen  SV12x5x14 thang 10.CT tu 209197666 6 VU KHAC HUNG toi 2588666868 CONG TY TNHH TRI THUC SAO VIET tai MB- M a GD ACSP/ oq080051</t>
  </si>
  <si>
    <t>FT25296537976204</t>
  </si>
  <si>
    <t>23/10/2025 09:33:29</t>
  </si>
  <si>
    <t>96,248,381</t>
  </si>
  <si>
    <t>VND-TGTT-DINH THI LIEN</t>
  </si>
  <si>
    <t xml:space="preserve">Nguyen Tan Dung SV12x1x19 thang 10  FT25296930010700   Ma giao dich  Tr ace100688 Trace 100688 </t>
  </si>
  <si>
    <t>FT25296146669209</t>
  </si>
  <si>
    <t>23/10/2025 08:10:37</t>
  </si>
  <si>
    <t>95,348,381</t>
  </si>
  <si>
    <t>LUU KHANH DUONG</t>
  </si>
  <si>
    <t xml:space="preserve">QR   Luu Minh Chau SV12x1x7 thang 1 0- Ma GD ACSP/ 28446136 </t>
  </si>
  <si>
    <t>FT25296050947060</t>
  </si>
  <si>
    <t>23/10/2025 07:00:37</t>
  </si>
  <si>
    <t>92,648,381</t>
  </si>
  <si>
    <t>VND-TGTT-NGUYEN THI HA</t>
  </si>
  <si>
    <t xml:space="preserve">Bui Tra My SV12x6x13 thang 10 FT252 96600022109   Ma giao dich  Trace39 8963 Trace 398963 </t>
  </si>
  <si>
    <t>FT25296321306066</t>
  </si>
  <si>
    <t>23/10/2025 06:54:23</t>
  </si>
  <si>
    <t>91,248,381</t>
  </si>
  <si>
    <t>DUONG TIEN THUY</t>
  </si>
  <si>
    <t xml:space="preserve">DUONG THUY TIEN SV12X3X18 THANG 10-  Ma GD ACSP/ yn753419 </t>
  </si>
  <si>
    <t>FT25296913157811</t>
  </si>
  <si>
    <t>22/10/2025 22:56:18</t>
  </si>
  <si>
    <t>88,748,381</t>
  </si>
  <si>
    <t>DO THI THANH THUY</t>
  </si>
  <si>
    <t xml:space="preserve">Tran An Luong SV12x6x29 thang 10 </t>
  </si>
  <si>
    <t>FT25296870424608</t>
  </si>
  <si>
    <t>22/10/2025 22:00:54</t>
  </si>
  <si>
    <t>22/10/2025</t>
  </si>
  <si>
    <t>87,948,381</t>
  </si>
  <si>
    <t>VND-TGTT-DO ANH HONG</t>
  </si>
  <si>
    <t xml:space="preserve">Do Khanh Phat SV12x6x14 thang 10 FT  25296527000991   Ma giao dich  Trac  e766045 Trace 766045 </t>
  </si>
  <si>
    <t>FT25295724358152</t>
  </si>
  <si>
    <t>22/10/2025 21:39:56</t>
  </si>
  <si>
    <t>86,548,381</t>
  </si>
  <si>
    <t>VND-TGTT-PHAM THI OANH</t>
  </si>
  <si>
    <t xml:space="preserve">Nguyen  Khanh Linh SV12x6x28 thang   10 FT25296422640700   Ma giao dich    Trace680816 Trace 680816 </t>
  </si>
  <si>
    <t>FT25295668132658</t>
  </si>
  <si>
    <t>22/10/2025 21:39:33</t>
  </si>
  <si>
    <t>85,748,381</t>
  </si>
  <si>
    <t xml:space="preserve">Nguyen Khanh Linh SV12x6x12 thang 1  0 FT25296785309418   Ma giao dich    Trace679085 Trace 679085 </t>
  </si>
  <si>
    <t>FT25295943208975</t>
  </si>
  <si>
    <t>22/10/2025 21:33:24</t>
  </si>
  <si>
    <t>85,148,381</t>
  </si>
  <si>
    <t>DANG THI HUYEN</t>
  </si>
  <si>
    <t>MBVCB.11418173575.515823.Le Linh Ng  a SV12x5x9 thang 10.CT tu 002100109  1263 DANG THI HUYEN toi 2588666868  CONG TY TNHH TRI THUC SAO VIET tai MB- Ma GD ACSP/ ud515823</t>
  </si>
  <si>
    <t>FT25295018901903</t>
  </si>
  <si>
    <t>22/10/2025 21:09:34</t>
  </si>
  <si>
    <t>83,848,381</t>
  </si>
  <si>
    <t>NGUYEN VAN KIEN</t>
  </si>
  <si>
    <t xml:space="preserve">ISL3pps89rl6og6023t0241uq0pcn NGUYE  N TIEN DAT 12 12 dong tien hoc van   thang 10   Ma giao dich  Trace89546  1 Trace 895461 </t>
  </si>
  <si>
    <t>FT25295848114378</t>
  </si>
  <si>
    <t>22/10/2025 20:03:38</t>
  </si>
  <si>
    <t>82,948,381</t>
  </si>
  <si>
    <t>NGUYEN THI SEN</t>
  </si>
  <si>
    <t xml:space="preserve">QR   Mai Thu Tra SV12x6x43 thang 10  - Ma GD ACSP/ Zm547390 </t>
  </si>
  <si>
    <t>FT25295983309156</t>
  </si>
  <si>
    <t>22/10/2025 20:03:30</t>
  </si>
  <si>
    <t>82,148,381</t>
  </si>
  <si>
    <t>VND-TGTT-LE THI HAI DUONG</t>
  </si>
  <si>
    <t xml:space="preserve">Nguyen Tien Duc SV12x6x37 thang 10   FT25295308161893   Ma giao dich  Tr  ace183126 Trace 183126 </t>
  </si>
  <si>
    <t>FT25295895053261</t>
  </si>
  <si>
    <t>22/10/2025 19:43:17</t>
  </si>
  <si>
    <t>81,748,381</t>
  </si>
  <si>
    <t>NGUYEN THI HONG YEN</t>
  </si>
  <si>
    <t xml:space="preserve">MAI QUANG HUY SV12X3X3 THANG 10- Ma   GD ACSP/ SP251298 </t>
  </si>
  <si>
    <t>FT25295745428802</t>
  </si>
  <si>
    <t>22/10/2025 19:36:29</t>
  </si>
  <si>
    <t>79,548,381</t>
  </si>
  <si>
    <t>LE THI BINH</t>
  </si>
  <si>
    <t xml:space="preserve">Nguyen Viet Khoi SV12x3x32 thang 10     Ma giao dich  Trace015655 Trace   015655 </t>
  </si>
  <si>
    <t>FT25295022764170</t>
  </si>
  <si>
    <t>22/10/2025 19:18:59</t>
  </si>
  <si>
    <t>76,948,381</t>
  </si>
  <si>
    <t>LE THI MAI</t>
  </si>
  <si>
    <t xml:space="preserve">LE DUC TAM SV 12X5X26 THANG10- Ma G  D ACSP/ ho076727 </t>
  </si>
  <si>
    <t>FT25295983805002</t>
  </si>
  <si>
    <t>22/10/2025 18:40:16</t>
  </si>
  <si>
    <t>76,148,381</t>
  </si>
  <si>
    <t>NGUYEN THI THUY</t>
  </si>
  <si>
    <t xml:space="preserve">LE NGUYEN BAO CHAM SV12X5X3 THANG 1  0- Ma GD ACSP/ DL786188 </t>
  </si>
  <si>
    <t>FT25295449282154</t>
  </si>
  <si>
    <t>22/10/2025 18:12:44</t>
  </si>
  <si>
    <t>75,048,381</t>
  </si>
  <si>
    <t>THACH THI HUONG</t>
  </si>
  <si>
    <t xml:space="preserve">Nguyen Quynh Duong  11A6   toan T11    </t>
  </si>
  <si>
    <t>FT25295295764015</t>
  </si>
  <si>
    <t>22/10/2025 18:03:01</t>
  </si>
  <si>
    <t>74,148,381</t>
  </si>
  <si>
    <t>VND-TGTT-DANG THI KIM OANH</t>
  </si>
  <si>
    <t xml:space="preserve">Tran Hoang Tung SV12x2x19 thang 10   FT25295817882450   Ma giao dich  Tr  ace424834 Trace 424834 </t>
  </si>
  <si>
    <t>FT25295781005011</t>
  </si>
  <si>
    <t>22/10/2025 17:42:48</t>
  </si>
  <si>
    <t>72,348,381</t>
  </si>
  <si>
    <t>LUU THANH TRUNG</t>
  </si>
  <si>
    <t>MBVCB.11414996746.391688.Luu gia Ba  o SV12x5x28 thang 10.CT tu 10282958  14 LUU THANH TRUNG toi 2588666868 C  ONG TY TNHH TRI THUC SAO VIET tai M B- Ma GD ACSP/ pm391688</t>
  </si>
  <si>
    <t>FT25295850731308</t>
  </si>
  <si>
    <t>22/10/2025 11:38:28</t>
  </si>
  <si>
    <t>71,448,381</t>
  </si>
  <si>
    <t>THAI THI NGA</t>
  </si>
  <si>
    <t xml:space="preserve">ISL0n2ht9qgl5idcav6344rg0kop2 THAI   THI NGA Bui Hoang Gia Huy  SV12 6 3  9 thang 10   Ma giao dich  Trace815  366 Trace 815366 </t>
  </si>
  <si>
    <t>FT25295598100702</t>
  </si>
  <si>
    <t>22/10/2025 10:37:49</t>
  </si>
  <si>
    <t>70,648,381</t>
  </si>
  <si>
    <t>NGUYEN THI THANH</t>
  </si>
  <si>
    <t xml:space="preserve">Cao Ha Trang SV12x3x9 thang 10 </t>
  </si>
  <si>
    <t>FT25295290400940</t>
  </si>
  <si>
    <t>22/10/2025 09:45:48</t>
  </si>
  <si>
    <t>67,448,381</t>
  </si>
  <si>
    <t>BUI MINH QUANG</t>
  </si>
  <si>
    <t xml:space="preserve">Bui Quang Minh SV12x6x8 thang 10     Ma giao dich  Trace809965 Trace 809  965 </t>
  </si>
  <si>
    <t>FT25295857378603</t>
  </si>
  <si>
    <t>22/10/2025 07:54:25</t>
  </si>
  <si>
    <t>66,048,381</t>
  </si>
  <si>
    <t>LE NGOC ANH</t>
  </si>
  <si>
    <t xml:space="preserve">Le Anh Thu SV12x3x10 thang 10 FT252  95932500091   Ma giao dich  Trace83  1302 Trace 831302 </t>
  </si>
  <si>
    <t>FT25295350583000</t>
  </si>
  <si>
    <t>22/10/2025 07:25:37</t>
  </si>
  <si>
    <t>63,848,381</t>
  </si>
  <si>
    <t>NGO THI KIM DAO</t>
  </si>
  <si>
    <t xml:space="preserve">QR   Le Viet Hung SV12x6x38 thang 1  0- Ma GD ACSP/ Pp745124 </t>
  </si>
  <si>
    <t>FT25295295092158</t>
  </si>
  <si>
    <t>22/10/2025 06:30:56</t>
  </si>
  <si>
    <t>63,048,381</t>
  </si>
  <si>
    <t>VU THI HAI YEN</t>
  </si>
  <si>
    <t xml:space="preserve">Ngo Vu Viet Anh SV12x5x20 thang 10 </t>
  </si>
  <si>
    <t>FT25295031168171</t>
  </si>
  <si>
    <t>21/10/2025 22:19:40</t>
  </si>
  <si>
    <t>62,148,381</t>
  </si>
  <si>
    <t>NGUYEN THI HONG XIEM</t>
  </si>
  <si>
    <t xml:space="preserve">DO PHUONG THAO VAN SV12X6X19 THANG   10- Ma GD ACSP/ s8883051 </t>
  </si>
  <si>
    <t>FT25295392880880</t>
  </si>
  <si>
    <t>21/10/2025 20:31:06</t>
  </si>
  <si>
    <t>21/10/2025</t>
  </si>
  <si>
    <t>60,748,381</t>
  </si>
  <si>
    <t>NGUYEN THI PHU HA</t>
  </si>
  <si>
    <t xml:space="preserve">Hoang Tien Dat SV12x2x3 thang 10 </t>
  </si>
  <si>
    <t>FT25294808021952</t>
  </si>
  <si>
    <t>21/10/2025 18:39:31</t>
  </si>
  <si>
    <t>58,948,381</t>
  </si>
  <si>
    <t>NGUYEN THI LANH</t>
  </si>
  <si>
    <t>MBVCB.11403055683.496685.Tran Xuan  Dung SV12x3x29 thang 10.CT tu 10266  88912 NGUYEN THI LANH toi 258866686  8 CONG TY TNHH TRI THUC SAO VIET ta i MB- Ma GD ACSP/ sp496685</t>
  </si>
  <si>
    <t>FT25294553081552</t>
  </si>
  <si>
    <t>21/10/2025 16:41:13</t>
  </si>
  <si>
    <t>56,348,381</t>
  </si>
  <si>
    <t>NGUYEN THUY AN</t>
  </si>
  <si>
    <t>MBVCB.11401164659.234035.Nguyen Vie  t Cuong SV12x2x36 thang 10.CT tu 00  11001250370 NGUYEN THUY AN toi 2588  666868 CONG TY TNHH TRI THUC SAO VI ET tai MB- Ma GD ACSP/ pb234035</t>
  </si>
  <si>
    <t>FT25294598005320</t>
  </si>
  <si>
    <t>21/10/2025 12:14:25</t>
  </si>
  <si>
    <t>55,448,381</t>
  </si>
  <si>
    <t>DINH THI NGA</t>
  </si>
  <si>
    <t xml:space="preserve">Le Khanh Duy SV12x5x4 thang 10 </t>
  </si>
  <si>
    <t>FT25294386050119</t>
  </si>
  <si>
    <t>21/10/2025 11:42:29</t>
  </si>
  <si>
    <t>54,948,381</t>
  </si>
  <si>
    <t>NGUYEN THI KIM SA</t>
  </si>
  <si>
    <t xml:space="preserve">Nguyen Thi Kim Sa SV12x5x10 thang 1  0 </t>
  </si>
  <si>
    <t>FT25294020946750</t>
  </si>
  <si>
    <t>21/10/2025 07:20:30</t>
  </si>
  <si>
    <t>61,284,006</t>
  </si>
  <si>
    <t>VND-TGTT-LE THI HONG</t>
  </si>
  <si>
    <t xml:space="preserve">Tran Tuan Minh SV12x6x25 thang 10 F  T25294957923223   Ma giao dich  Tra  ce946958 Trace 946958 </t>
  </si>
  <si>
    <t>FT25294866326026</t>
  </si>
  <si>
    <t>20/10/2025 22:32:31</t>
  </si>
  <si>
    <t>20/10/2025</t>
  </si>
  <si>
    <t>59,984,006</t>
  </si>
  <si>
    <t>LE THI THUY NGA</t>
  </si>
  <si>
    <t xml:space="preserve">LE THI THUY NGA chuyen tien Nguyen   Duc Long SV12x1x21T10 </t>
  </si>
  <si>
    <t>FT25293111329116</t>
  </si>
  <si>
    <t>20/10/2025 22:21:46</t>
  </si>
  <si>
    <t>59,084,006</t>
  </si>
  <si>
    <t>VND-TGTT-NGUYEN THI HUONG</t>
  </si>
  <si>
    <t xml:space="preserve">Nguyen Xuan Phuc SV12x2x10 thang 10   FT25294887077228   Ma giao dich  T  race152782 Trace 152782 </t>
  </si>
  <si>
    <t>FT25293685080786</t>
  </si>
  <si>
    <t>20/10/2025 22:09:42</t>
  </si>
  <si>
    <t>57,284,006</t>
  </si>
  <si>
    <t>TRUONG VAN HUNG</t>
  </si>
  <si>
    <t>MBVCB.11392521534.558648.Truong Din  h Gia Khanh SV12x6x27 thang 10.CT t  u 0541000232037 TRUONG VAN HUNG toi   2588666868 CONG TY TNHH TRI THUC S AO VIET tai MB- Ma GD ACSP/ ud558648</t>
  </si>
  <si>
    <t>FT25293009570523</t>
  </si>
  <si>
    <t>20/10/2025 22:09:34</t>
  </si>
  <si>
    <t>56,484,006</t>
  </si>
  <si>
    <t>PHAM THI KIM CHI</t>
  </si>
  <si>
    <t xml:space="preserve">Dinh Thu Minh Thu SV12 5 17 Thang 1  0   Ma giao dich  Trace395548 Trace   395548 </t>
  </si>
  <si>
    <t>FT25293548308260</t>
  </si>
  <si>
    <t>20/10/2025 21:35:26</t>
  </si>
  <si>
    <t>54,284,006</t>
  </si>
  <si>
    <t>TRINH THI YEN</t>
  </si>
  <si>
    <t xml:space="preserve">Nguyen Tam Nhi SV12x1x24 thang 10     Ma giao dich  Trace663146 Trace 66  3146 </t>
  </si>
  <si>
    <t>FT25293808631704</t>
  </si>
  <si>
    <t>20/10/2025 21:34:16</t>
  </si>
  <si>
    <t>53,384,006</t>
  </si>
  <si>
    <t>NGUYEN MANH HUNG</t>
  </si>
  <si>
    <t>MBVCB.11392119466.278763.Nguyen Duy   Hung Sv12x5x33 thang 10.CT tu 1015  435889 NGUYEN MANH HUNG toi 2588666  868 CONG TY TNHH TRI THUC SAO VIET tai MB- Ma GD ACSP/ zi278763</t>
  </si>
  <si>
    <t>FT25293515368786</t>
  </si>
  <si>
    <t>20/10/2025 21:30:13</t>
  </si>
  <si>
    <t>52,584,006</t>
  </si>
  <si>
    <t>VND-TGTT-NGUYEN THI DOAN</t>
  </si>
  <si>
    <t xml:space="preserve">Tran Thi Linh Phuong SV12x6x20 than  g 10 FT25294673016604   Ma giao dic  h  Trace873613 Trace 873613 </t>
  </si>
  <si>
    <t>FT25293001078456</t>
  </si>
  <si>
    <t>20/10/2025 21:00:22</t>
  </si>
  <si>
    <t>51,184,006</t>
  </si>
  <si>
    <t>NGUYEN DUNG THANH</t>
  </si>
  <si>
    <t xml:space="preserve">MB 2588666868 Nguyen Thanh Phuc SV1  2x3x6 thang 10- Ma GD ACSP/ GJ02171  4 </t>
  </si>
  <si>
    <t>FT25293183268563</t>
  </si>
  <si>
    <t>20/10/2025 20:55:25</t>
  </si>
  <si>
    <t>48,884,006</t>
  </si>
  <si>
    <t>MAI THI KIM TUYEN</t>
  </si>
  <si>
    <t xml:space="preserve">Thi Bach Thanh SV12x6x30 thang 10     Ma giao dich  Trace586589 Trace 58  6589 </t>
  </si>
  <si>
    <t>FT25293359806195</t>
  </si>
  <si>
    <t>20/10/2025 20:36:26</t>
  </si>
  <si>
    <t>48,084,006</t>
  </si>
  <si>
    <t>TRAN VAN HOC</t>
  </si>
  <si>
    <t xml:space="preserve">Tran Minh Quang SV12x6x31 thang 10     Ma giao dich  Trace547312 Trace 5  47312 </t>
  </si>
  <si>
    <t>FT25293882388099</t>
  </si>
  <si>
    <t>20/10/2025 20:25:58</t>
  </si>
  <si>
    <t>47,284,006</t>
  </si>
  <si>
    <t>VND-TGTT-VU THI HUONG</t>
  </si>
  <si>
    <t xml:space="preserve">Trinh Ha Vy SV12x6x42 thang 10 FT25  293597019790   Ma giao dich  Trace4  39633 Trace 439633 </t>
  </si>
  <si>
    <t>FT25293002561400</t>
  </si>
  <si>
    <t>20/10/2025 19:03:08</t>
  </si>
  <si>
    <t>46,484,006</t>
  </si>
  <si>
    <t>VND-TGTT-NGUYEN THU THAO</t>
  </si>
  <si>
    <t xml:space="preserve">Nguyen Thanh Long SV12x1x12 thang 1  0 FT25293056609735   Ma giao dich    Trace829983 Trace 829983 </t>
  </si>
  <si>
    <t>FT25293631701756</t>
  </si>
  <si>
    <t>20/10/2025 16:28:08</t>
  </si>
  <si>
    <t>44,684,006</t>
  </si>
  <si>
    <t>MAU NGOC SON</t>
  </si>
  <si>
    <t xml:space="preserve">Mau Anh Vu SV12x3x38 thang 10   Ma   giao dich  Trace076333 Trace 076333 </t>
  </si>
  <si>
    <t>FT25293048526009</t>
  </si>
  <si>
    <t>TỔNG TIỀN</t>
  </si>
  <si>
    <t>42,606,585</t>
  </si>
  <si>
    <r>
      <rPr>
        <b/>
        <sz val="10"/>
        <color rgb="FF000000"/>
        <rFont val="Times"/>
      </rPr>
      <t>Số dư cuối kỳ</t>
    </r>
    <r>
      <rPr>
        <i/>
        <sz val="10"/>
        <color rgb="FF000000"/>
        <rFont val="Times"/>
      </rPr>
      <t>/ Closing Balance:</t>
    </r>
    <r>
      <rPr>
        <sz val="10"/>
        <color rgb="FF000000"/>
        <rFont val="Times"/>
      </rPr>
      <t xml:space="preserve"> </t>
    </r>
    <r>
      <rPr>
        <b/>
        <sz val="10"/>
        <color rgb="FF000000"/>
        <rFont val="Times"/>
      </rPr>
      <t>108,948,381</t>
    </r>
    <r>
      <rPr>
        <sz val="10"/>
        <color rgb="FF000000"/>
        <rFont val="Times"/>
      </rPr>
      <t xml:space="preserve"> VND (</t>
    </r>
    <r>
      <rPr>
        <b/>
        <sz val="10"/>
        <color rgb="FF000000"/>
        <rFont val="Times"/>
      </rPr>
      <t>Bằng chữ</t>
    </r>
    <r>
      <rPr>
        <i/>
        <sz val="10"/>
        <color rgb="FF000000"/>
        <rFont val="Times"/>
      </rPr>
      <t>/ In Words:</t>
    </r>
    <r>
      <rPr>
        <sz val="10"/>
        <color rgb="FF000000"/>
        <rFont val="Times"/>
      </rPr>
      <t>Một trăm lẻ tám triệu chín trăm bốn mươi tám nghìn ba trăm tám mươi mốt VND )</t>
    </r>
  </si>
  <si>
    <r>
      <rPr>
        <b/>
        <sz val="11"/>
        <color rgb="FF000000"/>
        <rFont val="Times"/>
      </rPr>
      <t>Chứng từ này được xuất tự động từ hệ thống của Ngân hàng TMCP Quân đội.</t>
    </r>
    <r>
      <rPr>
        <i/>
        <sz val="11"/>
        <color rgb="FF000000"/>
        <rFont val="Times"/>
      </rPr>
      <t>/ This document is automatically exported from MBBank's System</t>
    </r>
  </si>
  <si>
    <t>Số học sinh chưa đóng</t>
  </si>
  <si>
    <t>Tương ứng số tiền</t>
  </si>
  <si>
    <t>Tổng số học sinh</t>
  </si>
  <si>
    <t>Số tiền phải thu</t>
  </si>
  <si>
    <t>Số tiền thu được</t>
  </si>
  <si>
    <t>Số tiền chưa thu được</t>
  </si>
  <si>
    <t>tỷ lệ thu(%)</t>
  </si>
  <si>
    <t>thu tk công ty</t>
  </si>
  <si>
    <t>thu tk thu hộ</t>
  </si>
  <si>
    <t>thu tiền mặt</t>
  </si>
  <si>
    <t>Chi trả thu tiền mặt</t>
  </si>
  <si>
    <t>Số thu được</t>
  </si>
  <si>
    <t>Ct</t>
  </si>
  <si>
    <t>TH</t>
  </si>
  <si>
    <t>TM</t>
  </si>
  <si>
    <r>
      <rPr>
        <sz val="5"/>
        <rFont val="Arial"/>
        <family val="2"/>
      </rPr>
      <t xml:space="preserve">Signature Not Verified
</t>
    </r>
    <r>
      <rPr>
        <sz val="8.5"/>
        <rFont val="Arial"/>
        <family val="2"/>
      </rPr>
      <t xml:space="preserve">Da ky boi Ngan hang TMCP Quan doi. Ngay ky : Wed Oct 22 12:53:26 ICT 2025
</t>
    </r>
    <r>
      <rPr>
        <b/>
        <sz val="12"/>
        <rFont val="Times New Roman"/>
        <family val="1"/>
      </rPr>
      <t xml:space="preserve">SỔ PHỤ CHI TIẾT KIÊM BÁO NỢ/BÁO CÓ                                          NGÂN HÀNG TMCP QUÂN ĐỘI
</t>
    </r>
    <r>
      <rPr>
        <b/>
        <i/>
        <sz val="11"/>
        <rFont val="Times New Roman"/>
        <family val="1"/>
      </rPr>
      <t>Account Statement/Debit/Credit transaction                                                   Military Commercial Joint Stock Bank</t>
    </r>
  </si>
  <si>
    <r>
      <rPr>
        <b/>
        <sz val="9"/>
        <rFont val="Times New Roman"/>
        <family val="1"/>
      </rPr>
      <t>Số tài khoản</t>
    </r>
    <r>
      <rPr>
        <i/>
        <sz val="9"/>
        <rFont val="Times New Roman"/>
        <family val="1"/>
      </rPr>
      <t xml:space="preserve">/Account No: </t>
    </r>
    <r>
      <rPr>
        <b/>
        <sz val="9"/>
        <rFont val="Times New Roman"/>
        <family val="1"/>
      </rPr>
      <t xml:space="preserve">0670190997777
</t>
    </r>
    <r>
      <rPr>
        <b/>
        <sz val="10"/>
        <rFont val="Times New Roman"/>
        <family val="1"/>
      </rPr>
      <t>Tên tài khoản</t>
    </r>
    <r>
      <rPr>
        <i/>
        <sz val="10"/>
        <rFont val="Times New Roman"/>
        <family val="1"/>
      </rPr>
      <t xml:space="preserve">/Account name: </t>
    </r>
    <r>
      <rPr>
        <b/>
        <sz val="10"/>
        <rFont val="Times New Roman"/>
        <family val="1"/>
      </rPr>
      <t xml:space="preserve">NGUYEN THI HUYEN
</t>
    </r>
    <r>
      <rPr>
        <b/>
        <sz val="9"/>
        <rFont val="Times New Roman"/>
        <family val="1"/>
      </rPr>
      <t>Loại tiền</t>
    </r>
    <r>
      <rPr>
        <i/>
        <sz val="9"/>
        <rFont val="Times New Roman"/>
        <family val="1"/>
      </rPr>
      <t xml:space="preserve">/Currency: </t>
    </r>
    <r>
      <rPr>
        <b/>
        <sz val="9"/>
        <rFont val="Times New Roman"/>
        <family val="1"/>
      </rPr>
      <t xml:space="preserve">VND
</t>
    </r>
    <r>
      <rPr>
        <b/>
        <sz val="9"/>
        <rFont val="Times New Roman"/>
        <family val="1"/>
      </rPr>
      <t>Kỳ sao kê</t>
    </r>
    <r>
      <rPr>
        <i/>
        <sz val="9"/>
        <rFont val="Times New Roman"/>
        <family val="1"/>
      </rPr>
      <t xml:space="preserve">/Statement period: </t>
    </r>
    <r>
      <rPr>
        <b/>
        <sz val="9"/>
        <rFont val="Times New Roman"/>
        <family val="1"/>
      </rPr>
      <t>Từ ngày/From: 10/10/2025 Đến ngày/To: 22/10/2025</t>
    </r>
  </si>
  <si>
    <r>
      <rPr>
        <b/>
        <sz val="10"/>
        <rFont val="Times New Roman"/>
        <family val="1"/>
      </rPr>
      <t xml:space="preserve">Chúng tôi xin thông báo chi tiết phát sinh nợ/có trên tài khoản quý khách trong thời gian trên như sau:
</t>
    </r>
    <r>
      <rPr>
        <i/>
        <sz val="10"/>
        <rFont val="Times New Roman"/>
        <family val="1"/>
      </rPr>
      <t>We would like to inform you about your account debit/credit transactions as the following details:</t>
    </r>
  </si>
  <si>
    <r>
      <rPr>
        <b/>
        <sz val="9"/>
        <rFont val="Times New Roman"/>
        <family val="1"/>
      </rPr>
      <t xml:space="preserve">Ngày giao dịch
</t>
    </r>
    <r>
      <rPr>
        <sz val="9"/>
        <rFont val="Times New Roman"/>
        <family val="1"/>
      </rPr>
      <t>Transaction Date</t>
    </r>
  </si>
  <si>
    <r>
      <rPr>
        <b/>
        <sz val="9"/>
        <rFont val="Times New Roman"/>
        <family val="1"/>
      </rPr>
      <t xml:space="preserve">Số bút toán
</t>
    </r>
    <r>
      <rPr>
        <sz val="9"/>
        <rFont val="Times New Roman"/>
        <family val="1"/>
      </rPr>
      <t>Transaction No</t>
    </r>
  </si>
  <si>
    <r>
      <rPr>
        <b/>
        <sz val="9"/>
        <rFont val="Times New Roman"/>
        <family val="1"/>
      </rPr>
      <t xml:space="preserve">Phát sinh nợ
</t>
    </r>
    <r>
      <rPr>
        <sz val="9"/>
        <rFont val="Times New Roman"/>
        <family val="1"/>
      </rPr>
      <t>Debit</t>
    </r>
  </si>
  <si>
    <r>
      <rPr>
        <b/>
        <sz val="9"/>
        <rFont val="Times New Roman"/>
        <family val="1"/>
      </rPr>
      <t xml:space="preserve">Phát sinh có
</t>
    </r>
    <r>
      <rPr>
        <sz val="9"/>
        <rFont val="Times New Roman"/>
        <family val="1"/>
      </rPr>
      <t>Credit</t>
    </r>
  </si>
  <si>
    <r>
      <rPr>
        <b/>
        <sz val="9"/>
        <rFont val="Times New Roman"/>
        <family val="1"/>
      </rPr>
      <t xml:space="preserve">Nội dung
</t>
    </r>
    <r>
      <rPr>
        <sz val="9"/>
        <rFont val="Times New Roman"/>
        <family val="1"/>
      </rPr>
      <t>Details</t>
    </r>
  </si>
  <si>
    <r>
      <rPr>
        <b/>
        <sz val="9"/>
        <rFont val="Times New Roman"/>
        <family val="1"/>
      </rPr>
      <t xml:space="preserve">Đơn vị thụ hưởng/Đơn vị chuyển
</t>
    </r>
    <r>
      <rPr>
        <sz val="9"/>
        <rFont val="Times New Roman"/>
        <family val="1"/>
      </rPr>
      <t>Beneficiary/Applicant</t>
    </r>
  </si>
  <si>
    <r>
      <rPr>
        <b/>
        <sz val="9"/>
        <rFont val="Times New Roman"/>
        <family val="1"/>
      </rPr>
      <t xml:space="preserve">Tài khoản
</t>
    </r>
    <r>
      <rPr>
        <sz val="9"/>
        <rFont val="Times New Roman"/>
        <family val="1"/>
      </rPr>
      <t>Account</t>
    </r>
  </si>
  <si>
    <r>
      <rPr>
        <b/>
        <sz val="9"/>
        <rFont val="Times New Roman"/>
        <family val="1"/>
      </rPr>
      <t xml:space="preserve">Ngân hàng đối tác
</t>
    </r>
    <r>
      <rPr>
        <sz val="9"/>
        <rFont val="Times New Roman"/>
        <family val="1"/>
      </rPr>
      <t>Remitter Bank</t>
    </r>
  </si>
  <si>
    <r>
      <rPr>
        <sz val="8"/>
        <rFont val="Times New Roman"/>
        <family val="1"/>
      </rPr>
      <t>22/10/2025 12:18</t>
    </r>
  </si>
  <si>
    <r>
      <rPr>
        <sz val="8"/>
        <rFont val="Times New Roman"/>
        <family val="1"/>
      </rPr>
      <t>NGUYEN NGOC TIEN NGUYEN PHUONG LINH SV10X12X22 THANG  10- Ma GD ACSP/ pm365378</t>
    </r>
  </si>
  <si>
    <r>
      <rPr>
        <sz val="8"/>
        <rFont val="Times New Roman"/>
        <family val="1"/>
      </rPr>
      <t>NGUYEN THI HUYEN</t>
    </r>
  </si>
  <si>
    <r>
      <rPr>
        <sz val="8"/>
        <rFont val="Times New Roman"/>
        <family val="1"/>
      </rPr>
      <t>MB</t>
    </r>
  </si>
  <si>
    <r>
      <rPr>
        <sz val="8"/>
        <rFont val="Times New Roman"/>
        <family val="1"/>
      </rPr>
      <t>22/10/2025 09:15</t>
    </r>
  </si>
  <si>
    <r>
      <rPr>
        <sz val="8"/>
        <rFont val="Times New Roman"/>
        <family val="1"/>
      </rPr>
      <t>CUSTOMER Bui Thanh Xuan SV10x12x30 thang 10  221025 09 15 37 153737   Ma giao di ch  Trace153737 Trace 153737</t>
    </r>
  </si>
  <si>
    <r>
      <rPr>
        <sz val="8"/>
        <rFont val="Times New Roman"/>
        <family val="1"/>
      </rPr>
      <t>22/10/2025 07:57</t>
    </r>
  </si>
  <si>
    <r>
      <rPr>
        <sz val="8"/>
        <rFont val="Times New Roman"/>
        <family val="1"/>
      </rPr>
      <t>LE THI LIEU QR   Hoang Dieu Linh SV10x7x12 than g 10- Ma GD ACSP/ hG842307</t>
    </r>
  </si>
  <si>
    <r>
      <rPr>
        <sz val="8"/>
        <rFont val="Times New Roman"/>
        <family val="1"/>
      </rPr>
      <t>22/10/2025 07:42</t>
    </r>
  </si>
  <si>
    <r>
      <rPr>
        <sz val="8"/>
        <rFont val="Times New Roman"/>
        <family val="1"/>
      </rPr>
      <t>MUNG THI TUYET NGUYEN BAO NGAN SV10X1X20 THANG 10-  Ma GD ACSP/ tc616048</t>
    </r>
  </si>
  <si>
    <r>
      <rPr>
        <sz val="8"/>
        <rFont val="Times New Roman"/>
        <family val="1"/>
      </rPr>
      <t>NGUYEN THI HOA QR   Nguyen Thi Minh Hang SV11x2x5 thang 10- Ma GD ACSP/ tz795182</t>
    </r>
  </si>
  <si>
    <r>
      <rPr>
        <sz val="8"/>
        <rFont val="Times New Roman"/>
        <family val="1"/>
      </rPr>
      <t>22/10/2025 07:31</t>
    </r>
  </si>
  <si>
    <r>
      <rPr>
        <sz val="8"/>
        <rFont val="Times New Roman"/>
        <family val="1"/>
      </rPr>
      <t>LUU THI THUY VU NHAT ANH SV10X17X2 THANG 10- Ma  GD ACSP/ YI565184</t>
    </r>
  </si>
  <si>
    <r>
      <rPr>
        <sz val="8"/>
        <rFont val="Times New Roman"/>
        <family val="1"/>
      </rPr>
      <t>22/10/2025 07:04</t>
    </r>
  </si>
  <si>
    <r>
      <rPr>
        <sz val="8"/>
        <rFont val="Times New Roman"/>
        <family val="1"/>
      </rPr>
      <t xml:space="preserve">MAI THI YEN MBVCB.11407175613.205866.Dinh Tuan
</t>
    </r>
    <r>
      <rPr>
        <sz val="8"/>
        <rFont val="Times New Roman"/>
        <family val="1"/>
      </rPr>
      <t>Cuong SV10x1x4 thang 10.CT tu 10546 95140 MAI THI YEN toi 0670190997777  NGUYEN THI HUYEN tai MB- Ma GD ACS</t>
    </r>
  </si>
  <si>
    <r>
      <rPr>
        <sz val="8"/>
        <rFont val="Times New Roman"/>
        <family val="1"/>
      </rPr>
      <t>22/10/2025 07:03</t>
    </r>
  </si>
  <si>
    <r>
      <rPr>
        <sz val="8"/>
        <rFont val="Times New Roman"/>
        <family val="1"/>
      </rPr>
      <t>CUSTOMER Huynh Phuong Oanh SV10x5x3 thang 10. TU: HUYNH VAN HUNG</t>
    </r>
  </si>
  <si>
    <r>
      <rPr>
        <sz val="8"/>
        <rFont val="Times New Roman"/>
        <family val="1"/>
      </rPr>
      <t>22/10/2025 07:01</t>
    </r>
  </si>
  <si>
    <r>
      <rPr>
        <sz val="8"/>
        <rFont val="Times New Roman"/>
        <family val="1"/>
      </rPr>
      <t>NGUYEN THI CUC QR   Khuc Nguyen Ha My SV10x13x6 th ang 10- Ma GD ACSP/ IM670452</t>
    </r>
  </si>
  <si>
    <r>
      <rPr>
        <sz val="8"/>
        <rFont val="Times New Roman"/>
        <family val="1"/>
      </rPr>
      <t>22/10/2025 06:57</t>
    </r>
  </si>
  <si>
    <r>
      <rPr>
        <sz val="8"/>
        <rFont val="Times New Roman"/>
        <family val="1"/>
      </rPr>
      <t>CUSTOMER Nguyen Thanh Binh SV10x10x7 thang 1 0   Ma giao dich  Trace129855 Trace  129855</t>
    </r>
  </si>
  <si>
    <r>
      <rPr>
        <sz val="8"/>
        <rFont val="Times New Roman"/>
        <family val="1"/>
      </rPr>
      <t>22/10/2025 06:52</t>
    </r>
  </si>
  <si>
    <r>
      <rPr>
        <sz val="8"/>
        <rFont val="Times New Roman"/>
        <family val="1"/>
      </rPr>
      <t xml:space="preserve">NGUYEN PHUONG ANH MBVCB.11407062383.133049.
</t>
    </r>
    <r>
      <rPr>
        <sz val="8"/>
        <rFont val="Times New Roman"/>
        <family val="1"/>
      </rPr>
      <t>Tran Nam S on SV11x3x14 thang 10.CT tu 1021005 501 NGUYEN PHUONG ANH toi 067019099 7777 NGUYEN THI HUYEN tai MB- Ma GD</t>
    </r>
  </si>
  <si>
    <r>
      <rPr>
        <sz val="8"/>
        <rFont val="Times New Roman"/>
        <family val="1"/>
      </rPr>
      <t>22/10/2025 06:47</t>
    </r>
  </si>
  <si>
    <r>
      <rPr>
        <sz val="8"/>
        <rFont val="Times New Roman"/>
        <family val="1"/>
      </rPr>
      <t>VU HONG GIANG NGUYEN VU MINH ANH SV11X1X8 THANG 1 0- Ma GD ACSP/ 9y363085</t>
    </r>
  </si>
  <si>
    <r>
      <rPr>
        <sz val="8"/>
        <rFont val="Times New Roman"/>
        <family val="1"/>
      </rPr>
      <t>22/10/2025 06:34</t>
    </r>
  </si>
  <si>
    <r>
      <rPr>
        <sz val="8"/>
        <rFont val="Times New Roman"/>
        <family val="1"/>
      </rPr>
      <t>CUSTOMER Nguyen Bao Nhi SV12x16x5 thang 10 F T25295270793928   Ma giao dich  Tra ce536101 Trace 536101</t>
    </r>
  </si>
  <si>
    <r>
      <rPr>
        <sz val="8"/>
        <rFont val="Times New Roman"/>
        <family val="1"/>
      </rPr>
      <t>22/10/2025 06:19</t>
    </r>
  </si>
  <si>
    <r>
      <rPr>
        <sz val="8"/>
        <rFont val="Times New Roman"/>
        <family val="1"/>
      </rPr>
      <t xml:space="preserve">NGUYEN THI HOA LY QR   An Dinh Khuong SV11x6x32
</t>
    </r>
    <r>
      <rPr>
        <sz val="8"/>
        <rFont val="Times New Roman"/>
        <family val="1"/>
      </rPr>
      <t>thang  10- Ma GD ACSP/ 2o568376</t>
    </r>
  </si>
  <si>
    <r>
      <rPr>
        <sz val="8"/>
        <rFont val="Times New Roman"/>
        <family val="1"/>
      </rPr>
      <t>21/10/2025 22:35</t>
    </r>
  </si>
  <si>
    <r>
      <rPr>
        <sz val="8"/>
        <rFont val="Times New Roman"/>
        <family val="1"/>
      </rPr>
      <t>CUSTOMER Le Quang Huy SV10x5x12 thang 10. TU: BUI THI THAM</t>
    </r>
  </si>
  <si>
    <r>
      <rPr>
        <sz val="8"/>
        <rFont val="Times New Roman"/>
        <family val="1"/>
      </rPr>
      <t>21/10/2025 21:52</t>
    </r>
  </si>
  <si>
    <r>
      <rPr>
        <sz val="8"/>
        <rFont val="Times New Roman"/>
        <family val="1"/>
      </rPr>
      <t>CUSTOMER Le Yen Nhi SV11x6x11 thang 10 FT252 95606510335   Ma giao dich  Trace92 2572 Trace 922572</t>
    </r>
  </si>
  <si>
    <r>
      <rPr>
        <sz val="8"/>
        <rFont val="Times New Roman"/>
        <family val="1"/>
      </rPr>
      <t>21/10/2025 21:44</t>
    </r>
  </si>
  <si>
    <r>
      <rPr>
        <sz val="8"/>
        <rFont val="Times New Roman"/>
        <family val="1"/>
      </rPr>
      <t>CUSTOMER Tran Dinh Dung SV11x2x3 thang 10    Ma giao dich  Trace017740 Trace 017 740</t>
    </r>
  </si>
  <si>
    <r>
      <rPr>
        <sz val="8"/>
        <rFont val="Times New Roman"/>
        <family val="1"/>
      </rPr>
      <t>21/10/2025 21:42</t>
    </r>
  </si>
  <si>
    <r>
      <rPr>
        <sz val="8"/>
        <rFont val="Times New Roman"/>
        <family val="1"/>
      </rPr>
      <t>CUSTOMER Nghiem Thanh Dat SV11x1x9 thang 10. TU: TRAN THI HUYEN</t>
    </r>
  </si>
  <si>
    <r>
      <rPr>
        <sz val="8"/>
        <rFont val="Times New Roman"/>
        <family val="1"/>
      </rPr>
      <t>21/10/2025 21:34</t>
    </r>
  </si>
  <si>
    <r>
      <rPr>
        <sz val="8"/>
        <rFont val="Times New Roman"/>
        <family val="1"/>
      </rPr>
      <t xml:space="preserve">NGUYEN THI LOAN MBVCB.11405416607.012482.Mai Hai
</t>
    </r>
    <r>
      <rPr>
        <sz val="8"/>
        <rFont val="Times New Roman"/>
        <family val="1"/>
      </rPr>
      <t>Ph ong SV11x6x12 thang 10.CT tu 054100 0345038 NGUYEN THI LOAN toi 0670190 997777 NGUYEN THI HUYEN tai MB- Ma</t>
    </r>
  </si>
  <si>
    <r>
      <rPr>
        <sz val="8"/>
        <rFont val="Times New Roman"/>
        <family val="1"/>
      </rPr>
      <t>21/10/2025 21:31</t>
    </r>
  </si>
  <si>
    <r>
      <rPr>
        <sz val="8"/>
        <rFont val="Times New Roman"/>
        <family val="1"/>
      </rPr>
      <t>HOANG THI THU HUYEN NGUYEN QUOC DONG SV11X6X21 THANG 10 - Ma GD ACSP/ 2q739544</t>
    </r>
  </si>
  <si>
    <r>
      <rPr>
        <sz val="8"/>
        <rFont val="Times New Roman"/>
        <family val="1"/>
      </rPr>
      <t>21/10/2025 20:27</t>
    </r>
  </si>
  <si>
    <r>
      <rPr>
        <sz val="8"/>
        <rFont val="Times New Roman"/>
        <family val="1"/>
      </rPr>
      <t>CUSTOMER Nguyen Xuan Hieu SV10x5x10 thang 10 FT25294894497296   Ma giao dich  T race517059 Trace 517059</t>
    </r>
  </si>
  <si>
    <r>
      <rPr>
        <sz val="8"/>
        <rFont val="Times New Roman"/>
        <family val="1"/>
      </rPr>
      <t>21/10/2025 20:23</t>
    </r>
  </si>
  <si>
    <r>
      <rPr>
        <sz val="8"/>
        <rFont val="Times New Roman"/>
        <family val="1"/>
      </rPr>
      <t>CUSTOMER Nguyen Nam Khanh SV10x12x21 thang 1 0   Ma giao dich  Trace344116 Trace  344116</t>
    </r>
  </si>
  <si>
    <r>
      <rPr>
        <sz val="8"/>
        <rFont val="Times New Roman"/>
        <family val="1"/>
      </rPr>
      <t>21/10/2025 19:56</t>
    </r>
  </si>
  <si>
    <r>
      <rPr>
        <sz val="8"/>
        <rFont val="Times New Roman"/>
        <family val="1"/>
      </rPr>
      <t>CUSTOMER Le Minh Hieu  SV12x8x9 thang 10 chu yen tien. TU: LE HOANG ANH</t>
    </r>
  </si>
  <si>
    <r>
      <rPr>
        <sz val="8"/>
        <rFont val="Times New Roman"/>
        <family val="1"/>
      </rPr>
      <t>21/10/2025 19:44</t>
    </r>
  </si>
  <si>
    <r>
      <rPr>
        <sz val="8"/>
        <rFont val="Times New Roman"/>
        <family val="1"/>
      </rPr>
      <t>CUSTOMER Pham Tuan Duong SV10x3x18 thang 10 FT25294605400821   Ma giao dich  Tr ace277101 Trace 277101</t>
    </r>
  </si>
  <si>
    <r>
      <rPr>
        <sz val="8"/>
        <rFont val="Times New Roman"/>
        <family val="1"/>
      </rPr>
      <t>21/10/2025 19:43</t>
    </r>
  </si>
  <si>
    <r>
      <rPr>
        <sz val="8"/>
        <rFont val="Times New Roman"/>
        <family val="1"/>
      </rPr>
      <t>NGUYEN THI PHUONG NGUYEN TUNG DUONG SV11X1X4 THANG 10 - Ma GD ACSP/ OA256076</t>
    </r>
  </si>
  <si>
    <r>
      <rPr>
        <sz val="8"/>
        <rFont val="Times New Roman"/>
        <family val="1"/>
      </rPr>
      <t>21/10/2025 19:30</t>
    </r>
  </si>
  <si>
    <r>
      <rPr>
        <sz val="8"/>
        <rFont val="Times New Roman"/>
        <family val="1"/>
      </rPr>
      <t>CUSTOMER Nguyen Thi Khanh Linh SV10x12x24 th ang 10. TU: NGUYEN DUC TUAN</t>
    </r>
  </si>
  <si>
    <r>
      <rPr>
        <sz val="8"/>
        <rFont val="Times New Roman"/>
        <family val="1"/>
      </rPr>
      <t>21/10/2025 19:28</t>
    </r>
  </si>
  <si>
    <r>
      <rPr>
        <sz val="8"/>
        <rFont val="Times New Roman"/>
        <family val="1"/>
      </rPr>
      <t>CUSTOMER Nguyen Hai Nam SV10x7x15 thang 10 F T25294724263036   Ma giao dich  Tra ce184235 Trace 184235</t>
    </r>
  </si>
  <si>
    <r>
      <rPr>
        <sz val="8"/>
        <rFont val="Times New Roman"/>
        <family val="1"/>
      </rPr>
      <t>21/10/2025 19:27</t>
    </r>
  </si>
  <si>
    <r>
      <rPr>
        <sz val="8"/>
        <rFont val="Times New Roman"/>
        <family val="1"/>
      </rPr>
      <t>CUSTOMER Nguyen Khanh Phuong SV11x1x14 thang  10. TU: NGUYEN THI TUYET HANH</t>
    </r>
  </si>
  <si>
    <r>
      <rPr>
        <sz val="8"/>
        <rFont val="Times New Roman"/>
        <family val="1"/>
      </rPr>
      <t>21/10/2025 18:56</t>
    </r>
  </si>
  <si>
    <r>
      <rPr>
        <sz val="8"/>
        <rFont val="Times New Roman"/>
        <family val="1"/>
      </rPr>
      <t>CUSTOMER Nguyen Do Thao Huong SV11x6x25 than g 10 FT25294682452872   Ma giao dic h  Trace993158 Trace 993158</t>
    </r>
  </si>
  <si>
    <r>
      <rPr>
        <sz val="8"/>
        <rFont val="Times New Roman"/>
        <family val="1"/>
      </rPr>
      <t>21/10/2025 18:46</t>
    </r>
  </si>
  <si>
    <r>
      <rPr>
        <sz val="8"/>
        <rFont val="Times New Roman"/>
        <family val="1"/>
      </rPr>
      <t>CUSTOMER Truong Binh Le Dat SV11x3x5 thang 1 0 FT25294063831360   Ma giao dich   Trace928376 Trace 928376</t>
    </r>
  </si>
  <si>
    <r>
      <rPr>
        <sz val="8"/>
        <rFont val="Times New Roman"/>
        <family val="1"/>
      </rPr>
      <t>21/10/2025 18:39</t>
    </r>
  </si>
  <si>
    <r>
      <rPr>
        <sz val="8"/>
        <rFont val="Times New Roman"/>
        <family val="1"/>
      </rPr>
      <t xml:space="preserve">NGUYEN THI SEN MBVCB.11403060332.502367.Vu Yen
</t>
    </r>
    <r>
      <rPr>
        <sz val="8"/>
        <rFont val="Times New Roman"/>
        <family val="1"/>
      </rPr>
      <t xml:space="preserve">Tra ng SV12x16x16 thang 10.CT tu 002100 0728021 NGUYEN THI SEN toi 06701909 97777 NGUYEN THI HUYEN tai MB-
</t>
    </r>
    <r>
      <rPr>
        <sz val="8"/>
        <rFont val="Times New Roman"/>
        <family val="1"/>
      </rPr>
      <t>Ma G</t>
    </r>
  </si>
  <si>
    <r>
      <rPr>
        <sz val="8"/>
        <rFont val="Times New Roman"/>
        <family val="1"/>
      </rPr>
      <t>21/10/2025 18:24</t>
    </r>
  </si>
  <si>
    <r>
      <rPr>
        <sz val="8"/>
        <rFont val="Times New Roman"/>
        <family val="1"/>
      </rPr>
      <t>CUSTOMER Do Tuan Arkadiusz Ludwik SV12x4x4 t hang 10 Ma giao dich  Trace583851  Trace 583851</t>
    </r>
  </si>
  <si>
    <r>
      <rPr>
        <sz val="8"/>
        <rFont val="Times New Roman"/>
        <family val="1"/>
      </rPr>
      <t>21/10/2025 18:23</t>
    </r>
  </si>
  <si>
    <r>
      <rPr>
        <sz val="8"/>
        <rFont val="Times New Roman"/>
        <family val="1"/>
      </rPr>
      <t xml:space="preserve">NGUYEN THI KIM TUYEN MBVCB.11402823835.346474.
</t>
    </r>
    <r>
      <rPr>
        <sz val="8"/>
        <rFont val="Times New Roman"/>
        <family val="1"/>
      </rPr>
      <t>Tran Phuon g Thao SV10x10x6 thang 10.CT tu 001 1004436755 NGUYEN THI KIM TUYEN toi  0670190997777 NGUYEN THI HUYEN tai</t>
    </r>
  </si>
  <si>
    <r>
      <rPr>
        <sz val="8"/>
        <rFont val="Times New Roman"/>
        <family val="1"/>
      </rPr>
      <t>21/10/2025 18:12</t>
    </r>
  </si>
  <si>
    <r>
      <rPr>
        <sz val="8"/>
        <rFont val="Times New Roman"/>
        <family val="1"/>
      </rPr>
      <t xml:space="preserve">PHAM THI NHU MBVCB.11402651323.238782.Tran Thi Y
</t>
    </r>
    <r>
      <rPr>
        <sz val="8"/>
        <rFont val="Times New Roman"/>
        <family val="1"/>
      </rPr>
      <t xml:space="preserve">en Nhi SV10x17x11 thang 10.CT tu 03 41001934152 PHAM THI NHU toi 067019 0997777 NGUYEN THI HUYEN tai MB-
</t>
    </r>
    <r>
      <rPr>
        <sz val="8"/>
        <rFont val="Times New Roman"/>
        <family val="1"/>
      </rPr>
      <t>Ma</t>
    </r>
  </si>
  <si>
    <r>
      <rPr>
        <sz val="8"/>
        <rFont val="Times New Roman"/>
        <family val="1"/>
      </rPr>
      <t>21/10/2025 18:11</t>
    </r>
  </si>
  <si>
    <r>
      <rPr>
        <sz val="8"/>
        <rFont val="Times New Roman"/>
        <family val="1"/>
      </rPr>
      <t>CUSTOMER Nguyen Vu Duc SV11x6x1 thang 10 FT2 5294524883123   Ma giao dich  Trace 702914 Trace 702914</t>
    </r>
  </si>
  <si>
    <r>
      <rPr>
        <sz val="8"/>
        <rFont val="Times New Roman"/>
        <family val="1"/>
      </rPr>
      <t>21/10/2025 17:52</t>
    </r>
  </si>
  <si>
    <r>
      <rPr>
        <sz val="8"/>
        <rFont val="Times New Roman"/>
        <family val="1"/>
      </rPr>
      <t>CUSTOMER Khuc Pham Ha Phuong SV10x7x17 thang  10 Ma giao dich  Trace421979 Tra ce 421979</t>
    </r>
  </si>
  <si>
    <r>
      <rPr>
        <sz val="8"/>
        <rFont val="Times New Roman"/>
        <family val="1"/>
      </rPr>
      <t>21/10/2025 16:46</t>
    </r>
  </si>
  <si>
    <r>
      <rPr>
        <sz val="8"/>
        <rFont val="Times New Roman"/>
        <family val="1"/>
      </rPr>
      <t>CUSTOMER BUI HAI HA chuyen tien hoc them T9  25 Sao Viet cua Bui Vinh Dai   ID S V12 1 2 FT25294990081352   Ma giao  dich  Trace103147 Trace 103147</t>
    </r>
  </si>
  <si>
    <r>
      <rPr>
        <sz val="8"/>
        <rFont val="Times New Roman"/>
        <family val="1"/>
      </rPr>
      <t>21/10/2025 12:38</t>
    </r>
  </si>
  <si>
    <r>
      <rPr>
        <sz val="8"/>
        <rFont val="Times New Roman"/>
        <family val="1"/>
      </rPr>
      <t>CUSTOMER Nguyen Phuong Thuy SV11x1x17 thang  10   Ma giao dich  Trace524395 Trac e 524395</t>
    </r>
  </si>
  <si>
    <r>
      <rPr>
        <sz val="8"/>
        <rFont val="Times New Roman"/>
        <family val="1"/>
      </rPr>
      <t>21/10/2025 11:11</t>
    </r>
  </si>
  <si>
    <r>
      <rPr>
        <sz val="8"/>
        <rFont val="Times New Roman"/>
        <family val="1"/>
      </rPr>
      <t>TRAN THU TRUNG QR   Nguyen Thu Nga SV10x5x13 thang 10- Ma GD ACSP/ ge231275</t>
    </r>
  </si>
  <si>
    <r>
      <rPr>
        <sz val="8"/>
        <rFont val="Times New Roman"/>
        <family val="1"/>
      </rPr>
      <t>21/10/2025 11:05</t>
    </r>
  </si>
  <si>
    <r>
      <rPr>
        <sz val="8"/>
        <rFont val="Times New Roman"/>
        <family val="1"/>
      </rPr>
      <t>CUSTOMER Nguyen Duc Nhan SV10x1x9 thang 10. TU: NGUYEN THI HUNG</t>
    </r>
  </si>
  <si>
    <r>
      <rPr>
        <sz val="8"/>
        <rFont val="Times New Roman"/>
        <family val="1"/>
      </rPr>
      <t>21/10/2025 10:10</t>
    </r>
  </si>
  <si>
    <r>
      <rPr>
        <sz val="8"/>
        <rFont val="Times New Roman"/>
        <family val="1"/>
      </rPr>
      <t>CUSTOMER La Bao Khanh SV10x12x20 thang 10 FT 25294310307115   Ma giao dich  Trac e879642 Trace 879642</t>
    </r>
  </si>
  <si>
    <r>
      <rPr>
        <sz val="8"/>
        <rFont val="Times New Roman"/>
        <family val="1"/>
      </rPr>
      <t>21/10/2025 09:51</t>
    </r>
  </si>
  <si>
    <r>
      <rPr>
        <sz val="8"/>
        <rFont val="Times New Roman"/>
        <family val="1"/>
      </rPr>
      <t>TRAN THE QUAN TRAN THE BAO SV12X11X5 THANG 10- Ma  GD ACSP/ Cu475196</t>
    </r>
  </si>
  <si>
    <r>
      <rPr>
        <sz val="8"/>
        <rFont val="Times New Roman"/>
        <family val="1"/>
      </rPr>
      <t>21/10/2025 08:38</t>
    </r>
  </si>
  <si>
    <r>
      <rPr>
        <sz val="8"/>
        <rFont val="Times New Roman"/>
        <family val="1"/>
      </rPr>
      <t>CUSTOMER Nguyen Vu Bao Minh SV10x12x8 thang  10   Ma giao dich  Trace132913 Trac e 132913</t>
    </r>
  </si>
  <si>
    <r>
      <rPr>
        <sz val="8"/>
        <rFont val="Times New Roman"/>
        <family val="1"/>
      </rPr>
      <t>21/10/2025 07:21</t>
    </r>
  </si>
  <si>
    <r>
      <rPr>
        <sz val="8"/>
        <rFont val="Times New Roman"/>
        <family val="1"/>
      </rPr>
      <t>CUSTOMER Pham Minh Quan SV10x1x21 thang 10 F T25294470747976   Ma giao dich  Tra ce951373 Trace 951373</t>
    </r>
  </si>
  <si>
    <r>
      <rPr>
        <sz val="8"/>
        <rFont val="Times New Roman"/>
        <family val="1"/>
      </rPr>
      <t>20/10/2025 23:57</t>
    </r>
  </si>
  <si>
    <r>
      <rPr>
        <sz val="8"/>
        <rFont val="Times New Roman"/>
        <family val="1"/>
      </rPr>
      <t>DAO THI DUYEN BUI THI MAI ANH SV10X14X1 THANG 10-  Ma GD ACSP/ kH307082</t>
    </r>
  </si>
  <si>
    <r>
      <rPr>
        <sz val="8"/>
        <rFont val="Times New Roman"/>
        <family val="1"/>
      </rPr>
      <t>20/10/2025 22:44</t>
    </r>
  </si>
  <si>
    <r>
      <rPr>
        <sz val="8"/>
        <rFont val="Times New Roman"/>
        <family val="1"/>
      </rPr>
      <t>NGUYEN THI HUONG TRA NGUYEN NGOC MAI SV10X7X13 THANG 10-  Ma GD ACSP/ OH170002</t>
    </r>
  </si>
  <si>
    <r>
      <rPr>
        <sz val="8"/>
        <rFont val="Times New Roman"/>
        <family val="1"/>
      </rPr>
      <t>20/10/2025 22:34</t>
    </r>
  </si>
  <si>
    <r>
      <rPr>
        <sz val="8"/>
        <rFont val="Times New Roman"/>
        <family val="1"/>
      </rPr>
      <t>NGUYEN VAN NGA NGUYEN BAO CUONG SV10X7X3 THANG 10-  Ma GD ACSP/ Aq142873</t>
    </r>
  </si>
  <si>
    <r>
      <rPr>
        <sz val="8"/>
        <rFont val="Times New Roman"/>
        <family val="1"/>
      </rPr>
      <t>20/10/2025 22:22</t>
    </r>
  </si>
  <si>
    <r>
      <rPr>
        <sz val="8"/>
        <rFont val="Times New Roman"/>
        <family val="1"/>
      </rPr>
      <t xml:space="preserve">NGUYEN ANH TUAN MBVCB.11392655950.642870.nguyen
</t>
    </r>
    <r>
      <rPr>
        <sz val="8"/>
        <rFont val="Times New Roman"/>
        <family val="1"/>
      </rPr>
      <t>tun g giang sv10x17x8 thang 10.CT tu 00 11004158434 NGUYEN ANH TUAN toi 067 0190997777 NGUYEN THI HUYEN tai MB-</t>
    </r>
  </si>
  <si>
    <r>
      <rPr>
        <sz val="8"/>
        <rFont val="Times New Roman"/>
        <family val="1"/>
      </rPr>
      <t>20/10/2025 22:10</t>
    </r>
  </si>
  <si>
    <r>
      <rPr>
        <sz val="8"/>
        <rFont val="Times New Roman"/>
        <family val="1"/>
      </rPr>
      <t xml:space="preserve">BUI THI THAM MBVCB.11392534047.561522.Tran Trong
</t>
    </r>
    <r>
      <rPr>
        <sz val="8"/>
        <rFont val="Times New Roman"/>
        <family val="1"/>
      </rPr>
      <t>Dung SV11x2x17 thang 10.CT tu 1059 549462 BUI THI THAM toi 06701909977 77 NGUYEN THI HUYEN tai MB- Ma GD A</t>
    </r>
  </si>
  <si>
    <r>
      <rPr>
        <sz val="8"/>
        <rFont val="Times New Roman"/>
        <family val="1"/>
      </rPr>
      <t>20/10/2025 21:49</t>
    </r>
  </si>
  <si>
    <r>
      <rPr>
        <sz val="8"/>
        <rFont val="Times New Roman"/>
        <family val="1"/>
      </rPr>
      <t>CUSTOMER Nguyen Ngoc Anh Thu SV10x12x32 than g 10 Ma giao dich  Trace612929 Tr ace 612929</t>
    </r>
  </si>
  <si>
    <r>
      <rPr>
        <sz val="8"/>
        <rFont val="Times New Roman"/>
        <family val="1"/>
      </rPr>
      <t>20/10/2025 21:34</t>
    </r>
  </si>
  <si>
    <r>
      <rPr>
        <sz val="8"/>
        <rFont val="Times New Roman"/>
        <family val="1"/>
      </rPr>
      <t>CUSTOMER Pham Chi Thien SV11x1x3 thang 10 FT 25294092796770   Ma giao dich  Trac e902650 Trace 902650</t>
    </r>
  </si>
  <si>
    <r>
      <rPr>
        <sz val="8"/>
        <rFont val="Times New Roman"/>
        <family val="1"/>
      </rPr>
      <t>20/10/2025 21:27</t>
    </r>
  </si>
  <si>
    <r>
      <rPr>
        <sz val="8"/>
        <rFont val="Times New Roman"/>
        <family val="1"/>
      </rPr>
      <t xml:space="preserve">LUU KHAC NAM MBVCB.11392025784.214719.Luu Yen Nh
</t>
    </r>
    <r>
      <rPr>
        <sz val="8"/>
        <rFont val="Times New Roman"/>
        <family val="1"/>
      </rPr>
      <t>i SV10x14x8 thang 10.CT tu 00210008 03237 LUU KHAC NAM toi 067019099777 7 NGUYEN THI HUYEN tai MB- Ma GD AC</t>
    </r>
  </si>
  <si>
    <r>
      <rPr>
        <sz val="8"/>
        <rFont val="Times New Roman"/>
        <family val="1"/>
      </rPr>
      <t>20/10/2025 21:22</t>
    </r>
  </si>
  <si>
    <r>
      <rPr>
        <sz val="8"/>
        <rFont val="Times New Roman"/>
        <family val="1"/>
      </rPr>
      <t>CUSTOMER NGUYEN THI ANH THU chuyen tien Nguy en Tung Lam A SV10A12 hp mon van th ang 10. TU: NGUYEN THI ANH THU</t>
    </r>
  </si>
  <si>
    <r>
      <rPr>
        <sz val="8"/>
        <rFont val="Times New Roman"/>
        <family val="1"/>
      </rPr>
      <t>20/10/2025 20:50</t>
    </r>
  </si>
  <si>
    <r>
      <rPr>
        <sz val="8"/>
        <rFont val="Times New Roman"/>
        <family val="1"/>
      </rPr>
      <t>CUSTOMER Tran Nguyen Bao Chau SV12x8x19 than g 10 Ma giao dich  Trace576252 Tr ace 576252</t>
    </r>
  </si>
  <si>
    <r>
      <rPr>
        <sz val="8"/>
        <rFont val="Times New Roman"/>
        <family val="1"/>
      </rPr>
      <t>20/10/2025 20:39</t>
    </r>
  </si>
  <si>
    <r>
      <rPr>
        <sz val="8"/>
        <rFont val="Times New Roman"/>
        <family val="1"/>
      </rPr>
      <t>CUSTOMER Nguyen Hai Nam SV10x6x2 thang 10 FT 25293146104547   Ma giao dich  Trac e536216 Trace 536216</t>
    </r>
  </si>
  <si>
    <r>
      <rPr>
        <sz val="8"/>
        <rFont val="Times New Roman"/>
        <family val="1"/>
      </rPr>
      <t>20/10/2025 20:32</t>
    </r>
  </si>
  <si>
    <r>
      <rPr>
        <sz val="8"/>
        <rFont val="Times New Roman"/>
        <family val="1"/>
      </rPr>
      <t xml:space="preserve">NGUYEN PHUONG THUY QR   Nguyen Hai Nam SV11x2x7
</t>
    </r>
    <r>
      <rPr>
        <sz val="8"/>
        <rFont val="Times New Roman"/>
        <family val="1"/>
      </rPr>
      <t>thang  10- Ma GD ACSP/ xk569920</t>
    </r>
  </si>
  <si>
    <r>
      <rPr>
        <sz val="8"/>
        <rFont val="Times New Roman"/>
        <family val="1"/>
      </rPr>
      <t>20/10/2025 20:26</t>
    </r>
  </si>
  <si>
    <r>
      <rPr>
        <sz val="8"/>
        <rFont val="Times New Roman"/>
        <family val="1"/>
      </rPr>
      <t xml:space="preserve">NGUYEN THI CUC MBVCB.11391113752.587129.Do Thao
</t>
    </r>
    <r>
      <rPr>
        <sz val="8"/>
        <rFont val="Times New Roman"/>
        <family val="1"/>
      </rPr>
      <t>Ly  SV12x11x19 thang 10.CT tu 05910002 26545 NGUYEN THI CUC toi 0670190997 777 NGUYEN THI HUYEN tai MB- Ma GD</t>
    </r>
  </si>
  <si>
    <r>
      <rPr>
        <sz val="8"/>
        <rFont val="Times New Roman"/>
        <family val="1"/>
      </rPr>
      <t>20/10/2025 20:13</t>
    </r>
  </si>
  <si>
    <r>
      <rPr>
        <sz val="8"/>
        <rFont val="Times New Roman"/>
        <family val="1"/>
      </rPr>
      <t>CUSTOMER Nguyen Dang Huy SV11x4x6 thang 10 F T25293203702038   Ma giao dich  Tra ce350005 Trace 350005</t>
    </r>
  </si>
  <si>
    <r>
      <rPr>
        <sz val="8"/>
        <rFont val="Times New Roman"/>
        <family val="1"/>
      </rPr>
      <t>20/10/2025 20:03</t>
    </r>
  </si>
  <si>
    <r>
      <rPr>
        <sz val="8"/>
        <rFont val="Times New Roman"/>
        <family val="1"/>
      </rPr>
      <t>NGUYEN DUC THANG QR   Nguyen Duc Khai SV10x5x7 thang  10- Ma GD ACSP/ HE447080</t>
    </r>
  </si>
  <si>
    <r>
      <rPr>
        <sz val="8"/>
        <rFont val="Times New Roman"/>
        <family val="1"/>
      </rPr>
      <t>20/10/2025 19:58</t>
    </r>
  </si>
  <si>
    <r>
      <rPr>
        <sz val="8"/>
        <rFont val="Times New Roman"/>
        <family val="1"/>
      </rPr>
      <t xml:space="preserve">NGUYEN THI LOAN MBVCB.11390620637.256877.Nguyen
</t>
    </r>
    <r>
      <rPr>
        <sz val="8"/>
        <rFont val="Times New Roman"/>
        <family val="1"/>
      </rPr>
      <t>Min h Hieu SV12x8x10 thang 10.CT tu 101 2918718 NGUYEN THI LOAN toi 0670190 997777 NGUYEN THI HUYEN tai MB- Ma</t>
    </r>
  </si>
  <si>
    <r>
      <rPr>
        <sz val="8"/>
        <rFont val="Times New Roman"/>
        <family val="1"/>
      </rPr>
      <t>20/10/2025 19:57</t>
    </r>
  </si>
  <si>
    <r>
      <rPr>
        <sz val="8"/>
        <rFont val="Times New Roman"/>
        <family val="1"/>
      </rPr>
      <t>CUSTOMER Nguyen Trong Tu SV10x5x8 thang 10 F T25293767718858   Ma giao dich  Tra ce237326 Trace 237326</t>
    </r>
  </si>
  <si>
    <r>
      <rPr>
        <sz val="8"/>
        <rFont val="Times New Roman"/>
        <family val="1"/>
      </rPr>
      <t>20/10/2025 19:51</t>
    </r>
  </si>
  <si>
    <r>
      <rPr>
        <sz val="8"/>
        <rFont val="Times New Roman"/>
        <family val="1"/>
      </rPr>
      <t xml:space="preserve">NGUYEN THI QUYNH THOA MBVCB.
</t>
    </r>
    <r>
      <rPr>
        <sz val="8"/>
        <rFont val="Times New Roman"/>
        <family val="1"/>
      </rPr>
      <t>11390508269.182952.Nguyen Min h Tri Dung SV10x3x17 thang 10.CT tu  0691000380645 NGUYEN THI QUYNH THO A toi 0670190997777 NGUYEN THI HUYE</t>
    </r>
  </si>
  <si>
    <r>
      <rPr>
        <sz val="8"/>
        <rFont val="Times New Roman"/>
        <family val="1"/>
      </rPr>
      <t>20/10/2025 19:45</t>
    </r>
  </si>
  <si>
    <r>
      <rPr>
        <sz val="8"/>
        <rFont val="Times New Roman"/>
        <family val="1"/>
      </rPr>
      <t>CUSTOMER Nguyen Dang Cam Tu SV11x3x16 thang  10 FT25293110458014   Ma giao dich   Trace144514 Trace 144514</t>
    </r>
  </si>
  <si>
    <r>
      <rPr>
        <sz val="8"/>
        <rFont val="Times New Roman"/>
        <family val="1"/>
      </rPr>
      <t>20/10/2025 19:34</t>
    </r>
  </si>
  <si>
    <r>
      <rPr>
        <sz val="8"/>
        <rFont val="Times New Roman"/>
        <family val="1"/>
      </rPr>
      <t>CUSTOMER Vu Yen Nhi SV12x12x15 thang 10. TU: DAM THI NHUONG</t>
    </r>
  </si>
  <si>
    <r>
      <rPr>
        <sz val="8"/>
        <rFont val="Times New Roman"/>
        <family val="1"/>
      </rPr>
      <t>20/10/2025 19:33</t>
    </r>
  </si>
  <si>
    <r>
      <rPr>
        <sz val="8"/>
        <rFont val="Times New Roman"/>
        <family val="1"/>
      </rPr>
      <t>CUSTOMER Nguyen Phuc Nguyen SV12x8x11 thang  10 FT25293807953186   Ma giao dich   Trace056332 Trace 056332</t>
    </r>
  </si>
  <si>
    <r>
      <rPr>
        <sz val="8"/>
        <rFont val="Times New Roman"/>
        <family val="1"/>
      </rPr>
      <t>20/10/2025 19:24</t>
    </r>
  </si>
  <si>
    <r>
      <rPr>
        <sz val="8"/>
        <rFont val="Times New Roman"/>
        <family val="1"/>
      </rPr>
      <t>CUSTOMER Dang Cao Hai Lam SV10x7x10 thang 10. TU: CAO THI THU HUONG#CAO THI THU HUONG</t>
    </r>
  </si>
  <si>
    <r>
      <rPr>
        <sz val="8"/>
        <rFont val="Times New Roman"/>
        <family val="1"/>
      </rPr>
      <t>20/10/2025 19:15</t>
    </r>
  </si>
  <si>
    <r>
      <rPr>
        <sz val="8"/>
        <rFont val="Times New Roman"/>
        <family val="1"/>
      </rPr>
      <t>CUSTOMER Cao Minh Chau SV10x12x3 thang 10. TU: NGUYEN THI THU HUONG</t>
    </r>
  </si>
  <si>
    <r>
      <rPr>
        <sz val="8"/>
        <rFont val="Times New Roman"/>
        <family val="1"/>
      </rPr>
      <t>20/10/2025 18:27</t>
    </r>
  </si>
  <si>
    <r>
      <rPr>
        <sz val="8"/>
        <rFont val="Times New Roman"/>
        <family val="1"/>
      </rPr>
      <t xml:space="preserve">NGUYEN XUAN THAI MBVCB.11388874562.071831.
</t>
    </r>
    <r>
      <rPr>
        <sz val="8"/>
        <rFont val="Times New Roman"/>
        <family val="1"/>
      </rPr>
      <t>Nguyen Tha i Son SV10x1x12 thang 10.CT tu 0611 001516490 NGUYEN XUAN THAI toi 0670 190997777 NGUYEN THI HUYEN tai MB-</t>
    </r>
  </si>
  <si>
    <r>
      <rPr>
        <sz val="8"/>
        <rFont val="Times New Roman"/>
        <family val="1"/>
      </rPr>
      <t xml:space="preserve">NGUYEN XUAN THAI MBVCB.11388872619.080440.
</t>
    </r>
    <r>
      <rPr>
        <sz val="8"/>
        <rFont val="Times New Roman"/>
        <family val="1"/>
      </rPr>
      <t>Nguyen Tha i Son SV10x1x12 thang 10.CT tu 0611 001516490 NGUYEN XUAN THAI toi 0670 190997777 NGUYEN THI HUYEN tai MB-</t>
    </r>
  </si>
  <si>
    <r>
      <rPr>
        <sz val="8"/>
        <rFont val="Times New Roman"/>
        <family val="1"/>
      </rPr>
      <t>20/10/2025 17:26</t>
    </r>
  </si>
  <si>
    <r>
      <rPr>
        <sz val="8"/>
        <rFont val="Times New Roman"/>
        <family val="1"/>
      </rPr>
      <t>LAM HA HANG LE BICH TAM SV10X13X8 THANG 10- Ma  GD ACSP/ tE145582</t>
    </r>
  </si>
  <si>
    <r>
      <rPr>
        <sz val="8"/>
        <rFont val="Times New Roman"/>
        <family val="1"/>
      </rPr>
      <t>20/10/2025 17:04</t>
    </r>
  </si>
  <si>
    <r>
      <rPr>
        <sz val="8"/>
        <rFont val="Times New Roman"/>
        <family val="1"/>
      </rPr>
      <t>CUSTOMER Ha Minh Duc SV10x12x4 thang 10   Ma  giao dich  Trace040163 Trace 04016</t>
    </r>
  </si>
  <si>
    <r>
      <rPr>
        <sz val="8"/>
        <rFont val="Times New Roman"/>
        <family val="1"/>
      </rPr>
      <t>20/10/2025 16:09</t>
    </r>
  </si>
  <si>
    <r>
      <rPr>
        <sz val="8"/>
        <rFont val="Times New Roman"/>
        <family val="1"/>
      </rPr>
      <t>TA THANH HAI QR   Le Thi Quynh Anh SV12x12x3 tha ng 10- Ma GD ACSP/ Ke237121</t>
    </r>
  </si>
  <si>
    <r>
      <rPr>
        <sz val="8"/>
        <rFont val="Times New Roman"/>
        <family val="1"/>
      </rPr>
      <t>20/10/2025 16:00</t>
    </r>
  </si>
  <si>
    <r>
      <rPr>
        <sz val="8"/>
        <rFont val="Times New Roman"/>
        <family val="1"/>
      </rPr>
      <t>CUSTOMER Bui Thao Uyen SV12x11x20 thang 10 m on Van. TU: CHU THI HAI NINH</t>
    </r>
  </si>
  <si>
    <r>
      <rPr>
        <sz val="8"/>
        <rFont val="Times New Roman"/>
        <family val="1"/>
      </rPr>
      <t>20/10/2025 12:12</t>
    </r>
  </si>
  <si>
    <r>
      <rPr>
        <sz val="8"/>
        <rFont val="Times New Roman"/>
        <family val="1"/>
      </rPr>
      <t>CUSTOMER Do Hoang Ngoc Huyen SV10x12x18 than g 10 Ma giao dich  Trace450925 Tr ace 450925</t>
    </r>
  </si>
  <si>
    <r>
      <rPr>
        <b/>
        <sz val="9"/>
        <rFont val="Times New Roman"/>
        <family val="1"/>
      </rPr>
      <t>Tổng phát sinh trong kỳ/Total</t>
    </r>
  </si>
  <si>
    <t>FT25293930329127</t>
  </si>
  <si>
    <t>FT25293797001630</t>
  </si>
  <si>
    <t>FT25293876741846</t>
  </si>
  <si>
    <t>FT25293249491606</t>
  </si>
  <si>
    <t>FT25293925814319</t>
  </si>
  <si>
    <t>FT25293775428277</t>
  </si>
  <si>
    <t>FT25293960520935</t>
  </si>
  <si>
    <t>dư 1 mã</t>
  </si>
  <si>
    <t>FT25293028870930</t>
  </si>
  <si>
    <t>FT25293916451350</t>
  </si>
  <si>
    <t>FT25293381138068</t>
  </si>
  <si>
    <t>FT25293977605638</t>
  </si>
  <si>
    <t>FT25293024542886</t>
  </si>
  <si>
    <t>FT25293246820000</t>
  </si>
  <si>
    <t>FT25293717894895</t>
  </si>
  <si>
    <t>FT25293730787104</t>
  </si>
  <si>
    <t>FT25293317044200</t>
  </si>
  <si>
    <t>FT25293001110729</t>
  </si>
  <si>
    <t>FT25293869529880</t>
  </si>
  <si>
    <t>FT25293820402904</t>
  </si>
  <si>
    <t>FT25293911631927</t>
  </si>
  <si>
    <t>FT25293580235631</t>
  </si>
  <si>
    <t>FT25293400131266</t>
  </si>
  <si>
    <t>FT25293603067031</t>
  </si>
  <si>
    <t>FT25293212304040</t>
  </si>
  <si>
    <t>FT25293355636174</t>
  </si>
  <si>
    <t>FT25293623363477</t>
  </si>
  <si>
    <t>FT25293646085084</t>
  </si>
  <si>
    <t>FT25293006023883</t>
  </si>
  <si>
    <t>FT25293848104757</t>
  </si>
  <si>
    <t>FT25294762255782</t>
  </si>
  <si>
    <t>FT25294173672506</t>
  </si>
  <si>
    <t>FT25294145090776</t>
  </si>
  <si>
    <t>FT25294940720062</t>
  </si>
  <si>
    <t>FT25294032533499</t>
  </si>
  <si>
    <t>FT25294221440919</t>
  </si>
  <si>
    <t>FT25294166930107</t>
  </si>
  <si>
    <t>FT25294808718738</t>
  </si>
  <si>
    <t>FT25294180008014</t>
  </si>
  <si>
    <t>thiếu 400k</t>
  </si>
  <si>
    <t>FT25294569528983</t>
  </si>
  <si>
    <t>FT25294068836290</t>
  </si>
  <si>
    <t>FT25294272079089</t>
  </si>
  <si>
    <t>FT25294535827980</t>
  </si>
  <si>
    <t>FT25294402202570</t>
  </si>
  <si>
    <t>FT25294654498278</t>
  </si>
  <si>
    <t>FT25294609590409</t>
  </si>
  <si>
    <t>FT25294456948101</t>
  </si>
  <si>
    <t>FT25294049277580</t>
  </si>
  <si>
    <t>FT25294730488047</t>
  </si>
  <si>
    <t>FT25294658304162</t>
  </si>
  <si>
    <t>FT25294701400822</t>
  </si>
  <si>
    <t>FT25294178706015</t>
  </si>
  <si>
    <t>FT25294872181043</t>
  </si>
  <si>
    <t>FT25294027788217</t>
  </si>
  <si>
    <t>FT25294500266861</t>
  </si>
  <si>
    <t>FT25294755693155</t>
  </si>
  <si>
    <t>FT25294120286752</t>
  </si>
  <si>
    <t>FT25294403441969</t>
  </si>
  <si>
    <t>FT25294474024614</t>
  </si>
  <si>
    <t>FT25294605773077</t>
  </si>
  <si>
    <t>FT25295852235794</t>
  </si>
  <si>
    <t>FT25295178021012</t>
  </si>
  <si>
    <t>FT25295447124090</t>
  </si>
  <si>
    <t>FT25295335707066</t>
  </si>
  <si>
    <t>FT25295965180001</t>
  </si>
  <si>
    <t>FT25295710705788</t>
  </si>
  <si>
    <t>FT25295935727846</t>
  </si>
  <si>
    <t>FT25295921275988</t>
  </si>
  <si>
    <t>FT25295944435107</t>
  </si>
  <si>
    <t>FT25295502287620</t>
  </si>
  <si>
    <t>FT25295391003366</t>
  </si>
  <si>
    <t>FT25295044915612</t>
  </si>
  <si>
    <t>FT25295418128054</t>
  </si>
  <si>
    <t>FT25295652585686</t>
  </si>
  <si>
    <t>FT25295671611439</t>
  </si>
  <si>
    <t>24/10/2025 20:29:37</t>
  </si>
  <si>
    <t>24/10/2025</t>
  </si>
  <si>
    <t>130,548,381</t>
  </si>
  <si>
    <t>VND-TGTT-NGUYEN PHU TUAN</t>
  </si>
  <si>
    <t xml:space="preserve">Nguyen Phu Tuan Anh SV12x6x34 thang  10 FT25297840007188   Ma giao dich   Trace806406 Trace 806406 </t>
  </si>
  <si>
    <t>FT25297012270204</t>
  </si>
  <si>
    <t>24/10/2025 19:30:41</t>
  </si>
  <si>
    <t>129,748,381</t>
  </si>
  <si>
    <t>NGUYEN THI PHUONG</t>
  </si>
  <si>
    <t xml:space="preserve">VU QUANG SON SV12X2X13 THANG 10- Ma  GD ACSP/ Fr988489 </t>
  </si>
  <si>
    <t>FT25297091155647</t>
  </si>
  <si>
    <t>24/10/2025 15:56:22</t>
  </si>
  <si>
    <t>127,948,381</t>
  </si>
  <si>
    <t>SHBMB</t>
  </si>
  <si>
    <t xml:space="preserve">Au Quoc Bao SV12x5x21 thang 10   Ma  giao dich  Trace132021 Trace 13202 </t>
  </si>
  <si>
    <t>FT25297972879462</t>
  </si>
  <si>
    <t>24/10/2025 14:55:49</t>
  </si>
  <si>
    <t>127,048,381</t>
  </si>
  <si>
    <t>PHUONG THI HOA BAC</t>
  </si>
  <si>
    <t xml:space="preserve">QR   Tran Dang Khoi SV12x1x20 thang  10- Ma GD ACSP/ Xo955151 </t>
  </si>
  <si>
    <t>FT25297887576161</t>
  </si>
  <si>
    <t>24/10/2025 11:06:25</t>
  </si>
  <si>
    <t>126,148,381</t>
  </si>
  <si>
    <t>LE THI THU HA</t>
  </si>
  <si>
    <t xml:space="preserve">Nguyen Thanh Doan SV12x3x14 thang 1 0   Ma giao dich  Trace999105 Trace  999105 </t>
  </si>
  <si>
    <t>FT25297923865584</t>
  </si>
  <si>
    <t>24/10/2025 10:11:18</t>
  </si>
  <si>
    <t>123,648,381</t>
  </si>
  <si>
    <t>NGUYEN VAN LUYEN</t>
  </si>
  <si>
    <t xml:space="preserve">Nguyen Thanh Binh SV12x1x6 thang 10    Ma giao dich  Trace788778 Trace  788778 </t>
  </si>
  <si>
    <t>FT25297336689910</t>
  </si>
  <si>
    <t>23/10/2025 22:51:51</t>
  </si>
  <si>
    <t>120,948,381</t>
  </si>
  <si>
    <t>NGUYEN THI THAM</t>
  </si>
  <si>
    <t>MBVCB.11431153857.175291.Nguyen Phu  ong Ha SV12x6x6 thang 10.CT tu 0021  000464963 NGUYEN THI THAM toi 25886  66868 CONG TY TNHH TRI THUC SAO VIE T tai MB- Ma GD ACSP/ ki175291</t>
  </si>
  <si>
    <t>FT25297131907489</t>
  </si>
  <si>
    <t>23/10/2025 22:43:32</t>
  </si>
  <si>
    <t>119,548,381</t>
  </si>
  <si>
    <t>NGUYEN THI THU HA</t>
  </si>
  <si>
    <t xml:space="preserve">Ngo Dinh Nhat Minh SV12x5x24 thang   10 FT25297542785175   Ma giao dich    Trace603322 Trace 603322 </t>
  </si>
  <si>
    <t>FT25297375793402</t>
  </si>
  <si>
    <t>23/10/2025 22:06:26</t>
  </si>
  <si>
    <t>118,648,381</t>
  </si>
  <si>
    <t>NGUYEN THI NGOC</t>
  </si>
  <si>
    <t xml:space="preserve">Mao Khanh An SV12x2x21 thang 10 </t>
  </si>
  <si>
    <t>FT25296916409780</t>
  </si>
  <si>
    <t>23/10/2025 21:17:26</t>
  </si>
  <si>
    <t>116,848,381</t>
  </si>
  <si>
    <t>PHAM THI HONG THUY</t>
  </si>
  <si>
    <t xml:space="preserve">QR   Nguyen Huong Giang SV12x6x1 th  ang 10- Ma GD ACSP/ Od155328 </t>
  </si>
  <si>
    <t>FT25296968105892</t>
  </si>
  <si>
    <t>23/10/2025 21:02:35</t>
  </si>
  <si>
    <t>115,348,381</t>
  </si>
  <si>
    <t xml:space="preserve">Nguyen Ba Gia Huy SV12x6x7 thang 10 </t>
  </si>
  <si>
    <t>FT25296665173697</t>
  </si>
  <si>
    <t>23/10/2025 20:43:35</t>
  </si>
  <si>
    <t>113,948,381</t>
  </si>
  <si>
    <t>BUI HAI HA</t>
  </si>
  <si>
    <t xml:space="preserve">Bui Vinh Dai SV12x1x17 thang 10 FT2  5296676057408   Ma giao dich  Trace  107488 Trace 107488 </t>
  </si>
  <si>
    <t>FT25296047728883</t>
  </si>
  <si>
    <t>23/10/2025 20:12:55</t>
  </si>
  <si>
    <t>112,148,381</t>
  </si>
  <si>
    <t>TRAN THI XUAN</t>
  </si>
  <si>
    <t xml:space="preserve">NGO AN PHU SV12X6X15 THANG 10- Ma G  D ACSP/ YG716564 </t>
  </si>
  <si>
    <t>FT25296135217310</t>
  </si>
  <si>
    <t>23/10/2025 19:52:32</t>
  </si>
  <si>
    <t>110,748,381</t>
  </si>
  <si>
    <t>SACOMBANK</t>
  </si>
  <si>
    <t xml:space="preserve">IBFT Le Tien Dung SV12x3x28 thang 1  0   Ma giao dich  Trace774965 Trace   774965 </t>
  </si>
  <si>
    <t>FT25296551139221</t>
  </si>
  <si>
    <t>Ngô Gia Lộc</t>
  </si>
  <si>
    <t>Đỗ Khánh Ly</t>
  </si>
  <si>
    <t>Đoàn Nam Phong</t>
  </si>
  <si>
    <t>Nguyễn Vũ Anh Quân</t>
  </si>
  <si>
    <t>Nguyễn Xuân Sáng</t>
  </si>
  <si>
    <t>SV10x16x19</t>
  </si>
  <si>
    <t>SV10x16x20</t>
  </si>
  <si>
    <t>SV10x16x21</t>
  </si>
  <si>
    <t>SV10x16x22</t>
  </si>
  <si>
    <t>SV10x16x23</t>
  </si>
  <si>
    <t>SV10x16x24</t>
  </si>
  <si>
    <t>SV10x16x25</t>
  </si>
  <si>
    <t>SV10x16x26</t>
  </si>
  <si>
    <t>SV10x16x27</t>
  </si>
  <si>
    <t>SV10x16x28</t>
  </si>
  <si>
    <t>Nguyễn Thu Hiền</t>
  </si>
  <si>
    <t>Nguyễn Gia Hiển</t>
  </si>
  <si>
    <t>Nguyễn Trung Hiếu</t>
  </si>
  <si>
    <t>27/10/2025 20:42:07</t>
  </si>
  <si>
    <t>27/10/2025</t>
  </si>
  <si>
    <t>174,948,381</t>
  </si>
  <si>
    <t>NGUYEN THI KIM CUC</t>
  </si>
  <si>
    <t xml:space="preserve">Nguyen Thanh Duong SV12x2x27 thang  10 </t>
  </si>
  <si>
    <t>FT25300103676310</t>
  </si>
  <si>
    <t>27/10/2025 19:11:29</t>
  </si>
  <si>
    <t>174,048,381</t>
  </si>
  <si>
    <t>NGUYEN VU MAI ANH</t>
  </si>
  <si>
    <t xml:space="preserve">Nguyen Vu Mai Anh SV12x1x4 thang 10 </t>
  </si>
  <si>
    <t>FT25300192169605</t>
  </si>
  <si>
    <t>27/10/2025 17:11:57</t>
  </si>
  <si>
    <t>173,148,381</t>
  </si>
  <si>
    <t>NGUYEN THI DANG</t>
  </si>
  <si>
    <t xml:space="preserve">Le Huy Hai SV12x3x23 thang 10   Ma  giao dich  Trace309747 Trace 309747 </t>
  </si>
  <si>
    <t>FT25300029517316</t>
  </si>
  <si>
    <t>27/10/2025 14:42:32</t>
  </si>
  <si>
    <t>170,648,381</t>
  </si>
  <si>
    <t>VND-TGTT-NGO THI HA</t>
  </si>
  <si>
    <t xml:space="preserve">Nguyen Thanh Nam SV12x1x20 thang 10  FT25300475152043   Ma giao dich  T race552766 Trace 552766 </t>
  </si>
  <si>
    <t>FT25300055813200</t>
  </si>
  <si>
    <t>27/10/2025 12:56:38</t>
  </si>
  <si>
    <t>168,848,381</t>
  </si>
  <si>
    <t>DINH THI DOAI</t>
  </si>
  <si>
    <t xml:space="preserve">QR   Nguyen Ngoc Son SV12x2x26 than g 10- Ma GD ACSP/ bd907516 </t>
  </si>
  <si>
    <t>FT25300623077289</t>
  </si>
  <si>
    <t>27/10/2025 11:10:38</t>
  </si>
  <si>
    <t>167,948,381</t>
  </si>
  <si>
    <t>PHAM THI HUONG</t>
  </si>
  <si>
    <t>MBVCB.11473245999.486235.Truong Thu  Ky SV12x3x4 thang 10.CT tu 0011001 817093 PHAM THI HUONG toi 258866686 8 CONG TY TNHH TRI THUC SAO VIET ta i MB- Ma GD ACSP/ ma486235</t>
  </si>
  <si>
    <t>FT25300994420698</t>
  </si>
  <si>
    <t>27/10/2025 09:45:26</t>
  </si>
  <si>
    <t>165,648,381</t>
  </si>
  <si>
    <t>TRAN THI THUY</t>
  </si>
  <si>
    <t xml:space="preserve">Nguyen Thuy Quynh SV12x1x15 thang 1 0 lop 12a1 </t>
  </si>
  <si>
    <t>FT25300496856478</t>
  </si>
  <si>
    <t>26/10/2025 22:46:09</t>
  </si>
  <si>
    <t>162,948,381</t>
  </si>
  <si>
    <t>LE THI THU HANG</t>
  </si>
  <si>
    <t xml:space="preserve">NGUYEN PHUONG NHI SV12X6X40 THANG 1  0- Ma GD ACSP/ cb089140 </t>
  </si>
  <si>
    <t>FT25300432998904</t>
  </si>
  <si>
    <t>26/10/2025 22:29:46</t>
  </si>
  <si>
    <t>162,148,381</t>
  </si>
  <si>
    <t>VND-TGTT-VO DUC MANH</t>
  </si>
  <si>
    <t xml:space="preserve">Vo Bao Anh SV12x1x5 thang 10 FT2530  0460108529   Ma giao dich  Trace538  025 Trace 538025 </t>
  </si>
  <si>
    <t>FT25300208051910</t>
  </si>
  <si>
    <t>26/10/2025 21:49:03</t>
  </si>
  <si>
    <t>160,348,381</t>
  </si>
  <si>
    <t>DO THI YEN</t>
  </si>
  <si>
    <t>MBVCB.11468857317.527026.Nguyen Man  h Thang SV12x6x16 thang 10.CT tu 10  12961956 DO THI YEN toi 2588666868  CONG TY TNHH TRI THUC SAO VIET tai MB- Ma GD ACSP/ pa527026</t>
  </si>
  <si>
    <t>FT25300429846028</t>
  </si>
  <si>
    <t>26/10/2025 21:01:54</t>
  </si>
  <si>
    <t>158,948,381</t>
  </si>
  <si>
    <t>LE THI TAM</t>
  </si>
  <si>
    <t xml:space="preserve">VU GIA AN SV12X2X1 THANG 10- Ma GD  ACSP/ WK632025 </t>
  </si>
  <si>
    <t>FT25300726988822</t>
  </si>
  <si>
    <t>26/10/2025 20:45:28</t>
  </si>
  <si>
    <t>157,148,381</t>
  </si>
  <si>
    <t>TRUONG THI DUNG</t>
  </si>
  <si>
    <t xml:space="preserve">Cung Chi Cuong SV12x5x22 thang 10 F  T25300443778085   Ma giao dich  Tra  ce084979 Trace 084979 </t>
  </si>
  <si>
    <t>FT25300003347012</t>
  </si>
  <si>
    <t>26/10/2025 20:45:19</t>
  </si>
  <si>
    <t>156,248,381</t>
  </si>
  <si>
    <t>PHAN NGOC DIEP</t>
  </si>
  <si>
    <t xml:space="preserve">Nguyen Ngoc Phuc Khanh SV12x2x8 tha  ng 10 </t>
  </si>
  <si>
    <t>FT25300719168475</t>
  </si>
  <si>
    <t>26/10/2025 20:05:37</t>
  </si>
  <si>
    <t>154,448,381</t>
  </si>
  <si>
    <t>NGUYEN THI THANH MINH</t>
  </si>
  <si>
    <t xml:space="preserve">Tran Duc Thanh SV12x6x22 thang 10 F  T25300629484840   Ma giao dich  Tra  ce863586 Trace 863586 </t>
  </si>
  <si>
    <t>FT25300948100238</t>
  </si>
  <si>
    <t>26/10/2025 19:35:39</t>
  </si>
  <si>
    <t>152,948,381</t>
  </si>
  <si>
    <t>HOANG THI HUYEN</t>
  </si>
  <si>
    <t xml:space="preserve">NGUYEN HOANG PHUONG SV12X5X19 THANG   10- Ma GD ACSP/ JP064759 </t>
  </si>
  <si>
    <t>FT25300909925930</t>
  </si>
  <si>
    <t>26/10/2025 19:33:00</t>
  </si>
  <si>
    <t>151,548,381</t>
  </si>
  <si>
    <t>BUI BAO NGOC</t>
  </si>
  <si>
    <t xml:space="preserve">Bui Bao Ngoc SV12x1x23 thang 10 </t>
  </si>
  <si>
    <t>FT25300295250272</t>
  </si>
  <si>
    <t>26/10/2025 16:27:09</t>
  </si>
  <si>
    <t>150,648,381</t>
  </si>
  <si>
    <t>VU XUAN HOA</t>
  </si>
  <si>
    <t xml:space="preserve">VU XUAN HOA chuyen tien </t>
  </si>
  <si>
    <t>FT25300710274403</t>
  </si>
  <si>
    <t>25/10/2025 20:39:27</t>
  </si>
  <si>
    <t>25/10/2025</t>
  </si>
  <si>
    <t>149,748,381</t>
  </si>
  <si>
    <t>VND-TGTT-PHUNG THI HUONG</t>
  </si>
  <si>
    <t xml:space="preserve">Nguyen hanh nguyen sv 12a5 thang 10   FT25300124910020   Ma giao dich  T  race531578 Trace 531578 </t>
  </si>
  <si>
    <t>FT25298999393228</t>
  </si>
  <si>
    <t>25/10/2025 19:53:45</t>
  </si>
  <si>
    <t>148,048,381</t>
  </si>
  <si>
    <t>VND-TGTT-NGO THI THUY MAY</t>
  </si>
  <si>
    <t xml:space="preserve">Tran Nguyen Vu SV 12a3 T10 FT252987  67397052   Ma giao dich  Trace26745  7 Trace 267457 </t>
  </si>
  <si>
    <t>FT25298973048400</t>
  </si>
  <si>
    <t>25/10/2025 19:45:41</t>
  </si>
  <si>
    <t>147,148,381</t>
  </si>
  <si>
    <t>NGUYEN PHUONG THANH</t>
  </si>
  <si>
    <t xml:space="preserve">QR   Hoang Hai Yen SV12x1x29 thang   10- Ma GD ACSP/ Qb559553 </t>
  </si>
  <si>
    <t>FT25298974969644</t>
  </si>
  <si>
    <t>25/10/2025 16:24:10</t>
  </si>
  <si>
    <t>146,248,381</t>
  </si>
  <si>
    <t>HOANG THI ANH</t>
  </si>
  <si>
    <t xml:space="preserve">MB 2588666868 Nguyen Trung Kien SV1  2x5x7 thang 10- Ma GD ACSP/ R501913  1 </t>
  </si>
  <si>
    <t>FT25298691127983</t>
  </si>
  <si>
    <t>25/10/2025 13:22:56</t>
  </si>
  <si>
    <t>144,848,381</t>
  </si>
  <si>
    <t>MBVCB.11449478390.438793.Nguyen Duc   Anh SV12x6x32 thang 10.CT tu 03410  00065204 NGUYEN THI PHUONG toi 2588  666868 CONG TY TNHH TRI THUC SAO VI ET tai MB- Ma GD ACSP/ hw438793</t>
  </si>
  <si>
    <t>FT25298600263306</t>
  </si>
  <si>
    <t>25/10/2025 13:05:40</t>
  </si>
  <si>
    <t>144,048,381</t>
  </si>
  <si>
    <t>VU THI MAY</t>
  </si>
  <si>
    <t xml:space="preserve">Bui Duc Minh SV12x5x18 thang 10   M  a giao dich  Trace173946 Trace 1739  46 </t>
  </si>
  <si>
    <t>FT25298492240326</t>
  </si>
  <si>
    <t>25/10/2025 12:34:24</t>
  </si>
  <si>
    <t>141,848,381</t>
  </si>
  <si>
    <t>VND-TGTT-LE KIEN CUONG</t>
  </si>
  <si>
    <t xml:space="preserve">Le Anh Tuan SV12x3x20 thang 10 FT25  298244788657   Ma giao dich  Trace5  98002 Trace 598002 </t>
  </si>
  <si>
    <t>FT25298002140083</t>
  </si>
  <si>
    <t>25/10/2025 12:11:10</t>
  </si>
  <si>
    <t>139,348,381</t>
  </si>
  <si>
    <t>HOANG XUAN TRUONG</t>
  </si>
  <si>
    <t>MBVCB.11448643310.893178.Hoang Long   Nhat SV12x1x13 thang 10.CT tu 0011  001160281 HOANG XUAN TRUONG toi 258  8666868 CONG TY TNHH TRI THUC SAO V IET tai MB- Ma GD ACSP/ ej893178</t>
  </si>
  <si>
    <t>FT25298067262552</t>
  </si>
  <si>
    <t>25/10/2025 06:09:25</t>
  </si>
  <si>
    <t>137,548,381</t>
  </si>
  <si>
    <t>VND-TGTT-TAO NHU LAN</t>
  </si>
  <si>
    <t xml:space="preserve">Vu Hoang Viet SV12x3x36 thang 10 FT  25298050176611   Ma giao dich  Trac  e662715 Trace 662715 </t>
  </si>
  <si>
    <t>FT25298228401535</t>
  </si>
  <si>
    <t>24/10/2025 23:30:46</t>
  </si>
  <si>
    <t>134,948,381</t>
  </si>
  <si>
    <t>NGUYEN THI NGAN</t>
  </si>
  <si>
    <t>MBVCB.11444091117.783744.Vu Ngan Th  uong SV12x3x11 thang 10.CT tu 10237  40729 NGUYEN THI NGAN toi 258866686  8 VSK CO. LTD tai MB- Ma GD ACSP/ r t783744</t>
  </si>
  <si>
    <t>FT25298886299276</t>
  </si>
  <si>
    <t>24/10/2025 23:08:59</t>
  </si>
  <si>
    <t>134,148,381</t>
  </si>
  <si>
    <t xml:space="preserve">Nguyen Quang Thang SV12x2x14 thang   10 </t>
  </si>
  <si>
    <t>FT25298042108983</t>
  </si>
  <si>
    <t>24/10/2025 21:28:11</t>
  </si>
  <si>
    <t>132,348,381</t>
  </si>
  <si>
    <t>TRAN THI DUYEN</t>
  </si>
  <si>
    <t xml:space="preserve">Vu Mai Phuong SV12x2x16 thang 10     Ma giao dich  Trace630503 Trace 630  503 </t>
  </si>
  <si>
    <t>FT25297368437495</t>
  </si>
  <si>
    <t>THIẾU 200K</t>
  </si>
  <si>
    <r>
      <rPr>
        <sz val="8"/>
        <rFont val="Times New Roman"/>
        <family val="1"/>
      </rPr>
      <t>24/10/2025 21:49</t>
    </r>
  </si>
  <si>
    <r>
      <rPr>
        <sz val="8"/>
        <rFont val="Times New Roman"/>
        <family val="1"/>
      </rPr>
      <t>NGUYEN THI THUY LINH NGUYEN THANH HUNG SV10X7X8 THANG 10 - Ma GD ACSP/ zY803133</t>
    </r>
  </si>
  <si>
    <r>
      <rPr>
        <sz val="8"/>
        <rFont val="Times New Roman"/>
        <family val="1"/>
      </rPr>
      <t>24/10/2025 21:16</t>
    </r>
  </si>
  <si>
    <r>
      <rPr>
        <sz val="8"/>
        <rFont val="Times New Roman"/>
        <family val="1"/>
      </rPr>
      <t>CUSTOMER Do Gia Minh SV12x4x15 thang 10   Ma  giao dich  Trace029321 Trace 02932</t>
    </r>
  </si>
  <si>
    <r>
      <rPr>
        <sz val="8"/>
        <rFont val="Times New Roman"/>
        <family val="1"/>
      </rPr>
      <t>24/10/2025 21:07</t>
    </r>
  </si>
  <si>
    <r>
      <rPr>
        <sz val="8"/>
        <rFont val="Times New Roman"/>
        <family val="1"/>
      </rPr>
      <t>HOANG THI LAN QR   Nguyen Thuy Duong SV11x8x5 tha ng 10- Ma GD ACSP/ 7e456438</t>
    </r>
  </si>
  <si>
    <r>
      <rPr>
        <sz val="8"/>
        <rFont val="Times New Roman"/>
        <family val="1"/>
      </rPr>
      <t>24/10/2025 20:51</t>
    </r>
  </si>
  <si>
    <r>
      <rPr>
        <sz val="8"/>
        <rFont val="Times New Roman"/>
        <family val="1"/>
      </rPr>
      <t>TRAN MANH HONG TRAN MAI HUONG SV12X11X23 THANG 10-  Ma GD ACSP/ 3s526388</t>
    </r>
  </si>
  <si>
    <r>
      <rPr>
        <sz val="8"/>
        <rFont val="Times New Roman"/>
        <family val="1"/>
      </rPr>
      <t>24/10/2025 20:31</t>
    </r>
  </si>
  <si>
    <r>
      <rPr>
        <sz val="8"/>
        <rFont val="Times New Roman"/>
        <family val="1"/>
      </rPr>
      <t>NGUYEN HOANG YEN QR   Pham Hoang Minh Truc SV11x8x10  thang 10- Ma GD ACSP/ sj352569</t>
    </r>
  </si>
  <si>
    <r>
      <rPr>
        <sz val="8"/>
        <rFont val="Times New Roman"/>
        <family val="1"/>
      </rPr>
      <t>24/10/2025 20:30</t>
    </r>
  </si>
  <si>
    <r>
      <rPr>
        <sz val="8"/>
        <rFont val="Times New Roman"/>
        <family val="1"/>
      </rPr>
      <t>CUSTOMER Do Thi Van Ha SV10x13x1 thang 10    Ma giao dich  Trace306778 Trace 306 778</t>
    </r>
  </si>
  <si>
    <r>
      <rPr>
        <sz val="8"/>
        <rFont val="Times New Roman"/>
        <family val="1"/>
      </rPr>
      <t>24/10/2025 20:16</t>
    </r>
  </si>
  <si>
    <r>
      <rPr>
        <sz val="8"/>
        <rFont val="Times New Roman"/>
        <family val="1"/>
      </rPr>
      <t xml:space="preserve">VU THI PHUONG THANH MBVCB.11442395410.635137.
</t>
    </r>
    <r>
      <rPr>
        <sz val="8"/>
        <rFont val="Times New Roman"/>
        <family val="1"/>
      </rPr>
      <t>Quach Than h Tung SV10x2x8 thang 10.CT tu 0541 000313865 VU THI PHUONG THANH toi 0 670190997777 NGUYEN THI HUYEN tai M</t>
    </r>
  </si>
  <si>
    <r>
      <rPr>
        <sz val="8"/>
        <rFont val="Times New Roman"/>
        <family val="1"/>
      </rPr>
      <t>24/10/2025 19:52</t>
    </r>
  </si>
  <si>
    <r>
      <rPr>
        <sz val="8"/>
        <rFont val="Times New Roman"/>
        <family val="1"/>
      </rPr>
      <t>CUSTOMER Ta Ngoc Hung SV11x6x5 thang 10 FT25 297973117928   Ma giao dich  Trace5 98553 Trace 598553</t>
    </r>
  </si>
  <si>
    <r>
      <rPr>
        <sz val="8"/>
        <rFont val="Times New Roman"/>
        <family val="1"/>
      </rPr>
      <t>24/10/2025 19:51</t>
    </r>
  </si>
  <si>
    <r>
      <rPr>
        <sz val="8"/>
        <rFont val="Times New Roman"/>
        <family val="1"/>
      </rPr>
      <t>CUSTOMER Do Nhat Ha Phuong SV12x11x21 thang  10. TU: DO THI HUONG SIM</t>
    </r>
  </si>
  <si>
    <r>
      <rPr>
        <sz val="8"/>
        <rFont val="Times New Roman"/>
        <family val="1"/>
      </rPr>
      <t>24/10/2025 19:50</t>
    </r>
  </si>
  <si>
    <r>
      <rPr>
        <sz val="8"/>
        <rFont val="Times New Roman"/>
        <family val="1"/>
      </rPr>
      <t xml:space="preserve">CUSTOMER Hoang Khanh Phuong SV11x6x29 thang  10 241025 19 50 21 877260   Ma giao  dich  Trace877260 Trace
</t>
    </r>
    <r>
      <rPr>
        <sz val="8"/>
        <rFont val="Times New Roman"/>
        <family val="1"/>
      </rPr>
      <t>877260</t>
    </r>
  </si>
  <si>
    <r>
      <rPr>
        <sz val="8"/>
        <rFont val="Times New Roman"/>
        <family val="1"/>
      </rPr>
      <t>24/10/2025 19:41</t>
    </r>
  </si>
  <si>
    <r>
      <rPr>
        <sz val="8"/>
        <rFont val="Times New Roman"/>
        <family val="1"/>
      </rPr>
      <t>DANG QUYNH ANH DANG QUYNH ANH SV12X11X17 THANG 10-  Ma GD ACSP/ WR062204</t>
    </r>
  </si>
  <si>
    <r>
      <rPr>
        <sz val="8"/>
        <rFont val="Times New Roman"/>
        <family val="1"/>
      </rPr>
      <t>24/10/2025 19:28</t>
    </r>
  </si>
  <si>
    <r>
      <rPr>
        <sz val="8"/>
        <rFont val="Times New Roman"/>
        <family val="1"/>
      </rPr>
      <t xml:space="preserve">CUSTOMER Qadhex8475  APPMB1 1  NGO THI BOT c
</t>
    </r>
    <r>
      <rPr>
        <sz val="8"/>
        <rFont val="Times New Roman"/>
        <family val="1"/>
      </rPr>
      <t>huyen tien FT25297102420959 Trace 4 54550</t>
    </r>
  </si>
  <si>
    <r>
      <rPr>
        <sz val="8"/>
        <rFont val="Times New Roman"/>
        <family val="1"/>
      </rPr>
      <t>24/10/2025 19:01</t>
    </r>
  </si>
  <si>
    <r>
      <rPr>
        <sz val="8"/>
        <rFont val="Times New Roman"/>
        <family val="1"/>
      </rPr>
      <t>NGUYEN THI NGOC BICH NGUYEN VUONG DUC SV12X12X6 THANG 10 - Ma GD ACSP/ z8773512</t>
    </r>
  </si>
  <si>
    <r>
      <rPr>
        <sz val="8"/>
        <rFont val="Times New Roman"/>
        <family val="1"/>
      </rPr>
      <t>24/10/2025 19:00</t>
    </r>
  </si>
  <si>
    <r>
      <rPr>
        <sz val="8"/>
        <rFont val="Times New Roman"/>
        <family val="1"/>
      </rPr>
      <t>NGUYEN THUY DUNG TRAN BAO MINH SV10X12X9 THANG 10- M a GD ACSP/ ZW767029</t>
    </r>
  </si>
  <si>
    <r>
      <rPr>
        <sz val="8"/>
        <rFont val="Times New Roman"/>
        <family val="1"/>
      </rPr>
      <t>24/10/2025 18:28</t>
    </r>
  </si>
  <si>
    <r>
      <rPr>
        <sz val="8"/>
        <rFont val="Times New Roman"/>
        <family val="1"/>
      </rPr>
      <t>CUSTOMER Le Ngoc Han SV12x11x28 thang 10. TU: VU THI HANH</t>
    </r>
  </si>
  <si>
    <r>
      <rPr>
        <sz val="8"/>
        <rFont val="Times New Roman"/>
        <family val="1"/>
      </rPr>
      <t>24/10/2025 17:58</t>
    </r>
  </si>
  <si>
    <r>
      <rPr>
        <sz val="8"/>
        <rFont val="Times New Roman"/>
        <family val="1"/>
      </rPr>
      <t>TRAN THI HUYEN QR   Nguyen Phuong Vy SV10x13x14 th ang 10- Ma GD ACSP/ Th733852</t>
    </r>
  </si>
  <si>
    <r>
      <rPr>
        <sz val="8"/>
        <rFont val="Times New Roman"/>
        <family val="1"/>
      </rPr>
      <t>24/10/2025 17:21</t>
    </r>
  </si>
  <si>
    <r>
      <rPr>
        <sz val="8"/>
        <rFont val="Times New Roman"/>
        <family val="1"/>
      </rPr>
      <t>CUSTOMER Nguyen Phan Y Nhi SV11x6x10 thang 1 0   Ma giao dich  Trace183759 Trace  183759</t>
    </r>
  </si>
  <si>
    <r>
      <rPr>
        <sz val="8"/>
        <rFont val="Times New Roman"/>
        <family val="1"/>
      </rPr>
      <t>24/10/2025 17:10</t>
    </r>
  </si>
  <si>
    <r>
      <rPr>
        <sz val="8"/>
        <rFont val="Times New Roman"/>
        <family val="1"/>
      </rPr>
      <t>NGO KIM ANH DAM KHUONG DUY SV10X3X6 THANG 10- M a GD ACSP/ Pv846291</t>
    </r>
  </si>
  <si>
    <r>
      <rPr>
        <sz val="8"/>
        <rFont val="Times New Roman"/>
        <family val="1"/>
      </rPr>
      <t>24/10/2025 17:09</t>
    </r>
  </si>
  <si>
    <r>
      <rPr>
        <sz val="8"/>
        <rFont val="Times New Roman"/>
        <family val="1"/>
      </rPr>
      <t>CUSTOMER Nguyen Tuan Anh SV10x2x10 thang 10 FT25297497902057   Ma giao dich  Tr ace512092 Trace 512092</t>
    </r>
  </si>
  <si>
    <r>
      <rPr>
        <sz val="8"/>
        <rFont val="Times New Roman"/>
        <family val="1"/>
      </rPr>
      <t>24/10/2025 16:31</t>
    </r>
  </si>
  <si>
    <r>
      <rPr>
        <sz val="8"/>
        <rFont val="Times New Roman"/>
        <family val="1"/>
      </rPr>
      <t>CUSTOMER Nguyen Thanh Vinh SV12x4x18 thang 1 0. TU: TRAN THI PHUONG THUY</t>
    </r>
  </si>
  <si>
    <r>
      <rPr>
        <sz val="8"/>
        <rFont val="Times New Roman"/>
        <family val="1"/>
      </rPr>
      <t>24/10/2025 16:25</t>
    </r>
  </si>
  <si>
    <r>
      <rPr>
        <sz val="8"/>
        <rFont val="Times New Roman"/>
        <family val="1"/>
      </rPr>
      <t>NGUYEN THI THUY TRUONG LAM SV12AX2 THANG 10- Ma GD  ACSP/ MV460800</t>
    </r>
  </si>
  <si>
    <r>
      <rPr>
        <sz val="8"/>
        <rFont val="Times New Roman"/>
        <family val="1"/>
      </rPr>
      <t>24/10/2025 13:57</t>
    </r>
  </si>
  <si>
    <r>
      <rPr>
        <sz val="8"/>
        <rFont val="Times New Roman"/>
        <family val="1"/>
      </rPr>
      <t>DO THI HOA QR   Khong Quoc An SV11x2x9 thang 1 0- Ma GD ACSP/ NI799813</t>
    </r>
  </si>
  <si>
    <r>
      <rPr>
        <sz val="8"/>
        <rFont val="Times New Roman"/>
        <family val="1"/>
      </rPr>
      <t>24/10/2025 13:47</t>
    </r>
  </si>
  <si>
    <r>
      <rPr>
        <sz val="8"/>
        <rFont val="Times New Roman"/>
        <family val="1"/>
      </rPr>
      <t>CUSTOMER Vu Ngoc Tung SV10x1x11 thang 10 FT2 5297820708496   Ma giao dich  Trace 298535 Trace 298535</t>
    </r>
  </si>
  <si>
    <r>
      <rPr>
        <sz val="8"/>
        <rFont val="Times New Roman"/>
        <family val="1"/>
      </rPr>
      <t>24/10/2025 13:25</t>
    </r>
  </si>
  <si>
    <r>
      <rPr>
        <sz val="8"/>
        <rFont val="Times New Roman"/>
        <family val="1"/>
      </rPr>
      <t>CUSTOMER Hoang Cong Khanh SV10x2x11 thang 10. TU: NGUYEN THI THANH HAI</t>
    </r>
  </si>
  <si>
    <r>
      <rPr>
        <sz val="8"/>
        <rFont val="Times New Roman"/>
        <family val="1"/>
      </rPr>
      <t>24/10/2025 13:19</t>
    </r>
  </si>
  <si>
    <r>
      <rPr>
        <sz val="8"/>
        <rFont val="Times New Roman"/>
        <family val="1"/>
      </rPr>
      <t>CUSTOMER Do Thanh Vinh SV10x13x13 thang 10 F T25297839505615   Ma giao dich  Tra ce165101 Trace 165101</t>
    </r>
  </si>
  <si>
    <r>
      <rPr>
        <sz val="8"/>
        <rFont val="Times New Roman"/>
        <family val="1"/>
      </rPr>
      <t>24/10/2025 12:44</t>
    </r>
  </si>
  <si>
    <r>
      <rPr>
        <sz val="8"/>
        <rFont val="Times New Roman"/>
        <family val="1"/>
      </rPr>
      <t>CUSTOMER Nguyen Phuong Nhi SV10x14x15 thang  10   Ma giao dich  Trace686356 Trac e 686356</t>
    </r>
  </si>
  <si>
    <r>
      <rPr>
        <sz val="8"/>
        <rFont val="Times New Roman"/>
        <family val="1"/>
      </rPr>
      <t>24/10/2025 12:19</t>
    </r>
  </si>
  <si>
    <r>
      <rPr>
        <sz val="8"/>
        <rFont val="Times New Roman"/>
        <family val="1"/>
      </rPr>
      <t>CUSTOMER Nguyen Gia Huy SV10x1x18 thang 10. TU: NGUYEN THI THU HANG</t>
    </r>
  </si>
  <si>
    <r>
      <rPr>
        <sz val="8"/>
        <rFont val="Times New Roman"/>
        <family val="1"/>
      </rPr>
      <t>24/10/2025 11:43</t>
    </r>
  </si>
  <si>
    <r>
      <rPr>
        <sz val="8"/>
        <rFont val="Times New Roman"/>
        <family val="1"/>
      </rPr>
      <t>CUSTOMER Ho Thi Quynh Duong SV12x4x11 thang  10 FT25297354730659   Ma giao dich   Trace615825 Trace 615825</t>
    </r>
  </si>
  <si>
    <r>
      <rPr>
        <sz val="8"/>
        <rFont val="Times New Roman"/>
        <family val="1"/>
      </rPr>
      <t>24/10/2025 11:05</t>
    </r>
  </si>
  <si>
    <r>
      <rPr>
        <sz val="8"/>
        <rFont val="Times New Roman"/>
        <family val="1"/>
      </rPr>
      <t>CUSTOMER Vu Ha Linh SV12x12x12 thang 10 FT25 297805885298   Ma giao dich  Trace3 73964 Trace 373964</t>
    </r>
  </si>
  <si>
    <r>
      <rPr>
        <sz val="8"/>
        <rFont val="Times New Roman"/>
        <family val="1"/>
      </rPr>
      <t>24/10/2025 10:50</t>
    </r>
  </si>
  <si>
    <r>
      <rPr>
        <sz val="8"/>
        <rFont val="Times New Roman"/>
        <family val="1"/>
      </rPr>
      <t>NGUYEN THI KIM CHI PHAM CHI LINH SV10X8X13 THANG 10- M a GD ACSP/ EZ400308</t>
    </r>
  </si>
  <si>
    <r>
      <rPr>
        <sz val="8"/>
        <rFont val="Times New Roman"/>
        <family val="1"/>
      </rPr>
      <t>24/10/2025 10:15</t>
    </r>
  </si>
  <si>
    <r>
      <rPr>
        <sz val="8"/>
        <rFont val="Times New Roman"/>
        <family val="1"/>
      </rPr>
      <t>CUSTOMER Nguyen Bao Nam SV11x6x27 thang 10 F T25297600699108   Ma giao dich  Tra ce069224 Trace 069224</t>
    </r>
  </si>
  <si>
    <r>
      <rPr>
        <sz val="8"/>
        <rFont val="Times New Roman"/>
        <family val="1"/>
      </rPr>
      <t>24/10/2025 10:03</t>
    </r>
  </si>
  <si>
    <r>
      <rPr>
        <sz val="8"/>
        <rFont val="Times New Roman"/>
        <family val="1"/>
      </rPr>
      <t xml:space="preserve">NGUYEN THI THANH HUYEN MBVCB.
</t>
    </r>
    <r>
      <rPr>
        <sz val="8"/>
        <rFont val="Times New Roman"/>
        <family val="1"/>
      </rPr>
      <t xml:space="preserve">11434202352.266501.Dang Thi M inh Anh SV11x6x16 thang 10.CT tu 03 51000365372 NGUYEN THI THANH HUYEN  toi
</t>
    </r>
    <r>
      <rPr>
        <sz val="8"/>
        <rFont val="Times New Roman"/>
        <family val="1"/>
      </rPr>
      <t>0670190997777 NGUYEN THI HUYEN</t>
    </r>
  </si>
  <si>
    <r>
      <rPr>
        <sz val="8"/>
        <rFont val="Times New Roman"/>
        <family val="1"/>
      </rPr>
      <t>24/10/2025 09:33</t>
    </r>
  </si>
  <si>
    <r>
      <rPr>
        <sz val="8"/>
        <rFont val="Times New Roman"/>
        <family val="1"/>
      </rPr>
      <t>CUSTOMER Nguyen Tien Bao SV10x17x5 thang 10. TU: NGUYEN THI THUY DUONG</t>
    </r>
  </si>
  <si>
    <r>
      <rPr>
        <sz val="8"/>
        <rFont val="Times New Roman"/>
        <family val="1"/>
      </rPr>
      <t>24/10/2025 08:35</t>
    </r>
  </si>
  <si>
    <r>
      <rPr>
        <sz val="8"/>
        <rFont val="Times New Roman"/>
        <family val="1"/>
      </rPr>
      <t>CUSTOMER Nguyen Tung Quan SV11x8x14 thang 10    Ma giao dich  Trace663559 Trace  663559</t>
    </r>
  </si>
  <si>
    <r>
      <rPr>
        <sz val="8"/>
        <rFont val="Times New Roman"/>
        <family val="1"/>
      </rPr>
      <t>24/10/2025 07:35</t>
    </r>
  </si>
  <si>
    <r>
      <rPr>
        <sz val="8"/>
        <rFont val="Times New Roman"/>
        <family val="1"/>
      </rPr>
      <t>VU HA KIM PHUONG QR   Nguyen Van Anh SV11x6x3 thang 10- Ma GD ACSP/ 1e633968</t>
    </r>
  </si>
  <si>
    <r>
      <rPr>
        <sz val="8"/>
        <rFont val="Times New Roman"/>
        <family val="1"/>
      </rPr>
      <t>24/10/2025 07:15</t>
    </r>
  </si>
  <si>
    <r>
      <rPr>
        <sz val="8"/>
        <rFont val="Times New Roman"/>
        <family val="1"/>
      </rPr>
      <t xml:space="preserve">BUI THI THANH HUYEN MBVCB.11432355351.012205.Luu
</t>
    </r>
    <r>
      <rPr>
        <sz val="8"/>
        <rFont val="Times New Roman"/>
        <family val="1"/>
      </rPr>
      <t>Tuong An SV10x16x1 thang 10.CT tu 0301000 325401 BUI THI THANH HUYEN toi 0670 190997777 NGUYEN THI HUYEN tai MB-</t>
    </r>
  </si>
  <si>
    <r>
      <rPr>
        <sz val="8"/>
        <rFont val="Times New Roman"/>
        <family val="1"/>
      </rPr>
      <t>23/10/2025 23:54</t>
    </r>
  </si>
  <si>
    <r>
      <rPr>
        <sz val="8"/>
        <rFont val="Times New Roman"/>
        <family val="1"/>
      </rPr>
      <t>LAM THI XUAN NGUYEN THUC ANH SV10X7X2 THANG 10-  Ma GD ACSP/ T2601052</t>
    </r>
  </si>
  <si>
    <r>
      <rPr>
        <sz val="8"/>
        <rFont val="Times New Roman"/>
        <family val="1"/>
      </rPr>
      <t>23/10/2025 22:42</t>
    </r>
  </si>
  <si>
    <r>
      <rPr>
        <sz val="8"/>
        <rFont val="Times New Roman"/>
        <family val="1"/>
      </rPr>
      <t>CUSTOMER Pham Thu Giang SV11x2x4 thang 10.. TU: PHAM VAN HAU</t>
    </r>
  </si>
  <si>
    <r>
      <rPr>
        <sz val="8"/>
        <rFont val="Times New Roman"/>
        <family val="1"/>
      </rPr>
      <t>23/10/2025 22:27</t>
    </r>
  </si>
  <si>
    <r>
      <rPr>
        <sz val="8"/>
        <rFont val="Times New Roman"/>
        <family val="1"/>
      </rPr>
      <t xml:space="preserve">BUI THI NHUNG MBVCB.11431009700.080437.Vu Hong Qu
</t>
    </r>
    <r>
      <rPr>
        <sz val="8"/>
        <rFont val="Times New Roman"/>
        <family val="1"/>
      </rPr>
      <t>an SV12x12x21 thang 10.CT tu 001100 4103508 BUI THI NHUNG toi 067019099 7777 NGUYEN THI HUYEN tai MB- Ma GD</t>
    </r>
  </si>
  <si>
    <r>
      <rPr>
        <sz val="8"/>
        <rFont val="Times New Roman"/>
        <family val="1"/>
      </rPr>
      <t>23/10/2025 22:17</t>
    </r>
  </si>
  <si>
    <r>
      <rPr>
        <sz val="8"/>
        <rFont val="Times New Roman"/>
        <family val="1"/>
      </rPr>
      <t>CUSTOMER Pham Chan Phong SV12x8x17 thang 10    Ma giao dich  Trace937541 Trace 9 37541</t>
    </r>
  </si>
  <si>
    <r>
      <rPr>
        <sz val="8"/>
        <rFont val="Times New Roman"/>
        <family val="1"/>
      </rPr>
      <t>23/10/2025 22:11</t>
    </r>
  </si>
  <si>
    <r>
      <rPr>
        <sz val="8"/>
        <rFont val="Times New Roman"/>
        <family val="1"/>
      </rPr>
      <t>NGUYEN MANH YEN NGUYEN DANG KHOA SV10X1X6 THANG 10-  Ma GD ACSP/ Gf350195</t>
    </r>
  </si>
  <si>
    <r>
      <rPr>
        <sz val="8"/>
        <rFont val="Times New Roman"/>
        <family val="1"/>
      </rPr>
      <t>23/10/2025 22:08</t>
    </r>
  </si>
  <si>
    <r>
      <rPr>
        <sz val="8"/>
        <rFont val="Times New Roman"/>
        <family val="1"/>
      </rPr>
      <t>CUSTOMER Nguyen Thanh Binh SV10x1x15 thang 1 0 FT25297658674553   Ma giao dich   Trace493981 Trace 493981</t>
    </r>
  </si>
  <si>
    <r>
      <rPr>
        <sz val="8"/>
        <rFont val="Times New Roman"/>
        <family val="1"/>
      </rPr>
      <t>23/10/2025 21:56</t>
    </r>
  </si>
  <si>
    <r>
      <rPr>
        <sz val="8"/>
        <rFont val="Times New Roman"/>
        <family val="1"/>
      </rPr>
      <t>LAI THI THANH XUAN HOANG BAO LONG SV12X4X14 THANG 1- M a GD ACSP/ FX289540</t>
    </r>
  </si>
  <si>
    <r>
      <rPr>
        <sz val="8"/>
        <rFont val="Times New Roman"/>
        <family val="1"/>
      </rPr>
      <t>23/10/2025 21:48</t>
    </r>
  </si>
  <si>
    <r>
      <rPr>
        <sz val="8"/>
        <rFont val="Times New Roman"/>
        <family val="1"/>
      </rPr>
      <t>NGUYEN THI THANH LOAN QR   Nguyen Khanh An SV11x2x1 thang  10- Ma GD ACSP/ Jn222577</t>
    </r>
  </si>
  <si>
    <r>
      <rPr>
        <sz val="8"/>
        <rFont val="Times New Roman"/>
        <family val="1"/>
      </rPr>
      <t>23/10/2025 21:46</t>
    </r>
  </si>
  <si>
    <r>
      <rPr>
        <sz val="8"/>
        <rFont val="Times New Roman"/>
        <family val="1"/>
      </rPr>
      <t xml:space="preserve">TRAN THI AI VAN MB 0670190997777 Nguyen Tran Quang
</t>
    </r>
    <r>
      <rPr>
        <sz val="8"/>
        <rFont val="Times New Roman"/>
        <family val="1"/>
      </rPr>
      <t>Vinh SV11x3x17 thang 10- Ma GD ACSP / CT069681</t>
    </r>
  </si>
  <si>
    <r>
      <rPr>
        <sz val="8"/>
        <rFont val="Times New Roman"/>
        <family val="1"/>
      </rPr>
      <t>23/10/2025 21:45</t>
    </r>
  </si>
  <si>
    <r>
      <rPr>
        <sz val="8"/>
        <rFont val="Times New Roman"/>
        <family val="1"/>
      </rPr>
      <t>NGUYEN THI HONG QR   Nguyen Thu Truc SV12x12x18 tha ng 10- Ma GD ACSP/ 5r217403</t>
    </r>
  </si>
  <si>
    <r>
      <rPr>
        <sz val="8"/>
        <rFont val="Times New Roman"/>
        <family val="1"/>
      </rPr>
      <t>23/10/2025 21:38</t>
    </r>
  </si>
  <si>
    <r>
      <rPr>
        <sz val="8"/>
        <rFont val="Times New Roman"/>
        <family val="1"/>
      </rPr>
      <t xml:space="preserve">VU THI HUYEN TRANG MBVCB.11430637064.823335.phan
</t>
    </r>
    <r>
      <rPr>
        <sz val="8"/>
        <rFont val="Times New Roman"/>
        <family val="1"/>
      </rPr>
      <t xml:space="preserve">thi h a linh sv10 3 22 thang 10 .CT tu 10 15055880 VU THI HUYEN TRANG toi 067 0190997777 NGUYEN THI HUYEN
</t>
    </r>
    <r>
      <rPr>
        <sz val="8"/>
        <rFont val="Times New Roman"/>
        <family val="1"/>
      </rPr>
      <t>tai MB-</t>
    </r>
  </si>
  <si>
    <r>
      <rPr>
        <sz val="8"/>
        <rFont val="Times New Roman"/>
        <family val="1"/>
      </rPr>
      <t>23/10/2025 21:26</t>
    </r>
  </si>
  <si>
    <r>
      <rPr>
        <sz val="8"/>
        <rFont val="Times New Roman"/>
        <family val="1"/>
      </rPr>
      <t>CUSTOMER Nguyen Khanh Linh SV12x16x11 thang  10 FT25297867200081   Ma giao dich   Trace322366 Trace 322366</t>
    </r>
  </si>
  <si>
    <r>
      <rPr>
        <sz val="8"/>
        <rFont val="Times New Roman"/>
        <family val="1"/>
      </rPr>
      <t>23/10/2025 21:04</t>
    </r>
  </si>
  <si>
    <r>
      <rPr>
        <sz val="8"/>
        <rFont val="Times New Roman"/>
        <family val="1"/>
      </rPr>
      <t>DUONG THI THUY QR   Bui Viet Hai SV11x2x13 thang 1 0- Ma GD ACSP/ Wr123067</t>
    </r>
  </si>
  <si>
    <r>
      <rPr>
        <sz val="8"/>
        <rFont val="Times New Roman"/>
        <family val="1"/>
      </rPr>
      <t>23/10/2025 21:00</t>
    </r>
  </si>
  <si>
    <r>
      <rPr>
        <sz val="8"/>
        <rFont val="Times New Roman"/>
        <family val="1"/>
      </rPr>
      <t>CUSTOMER Ngo Duy Minh SV10x12x7 thang 10   M a giao dich  Trace846212 Trace 8462 12</t>
    </r>
  </si>
  <si>
    <r>
      <rPr>
        <sz val="8"/>
        <rFont val="Times New Roman"/>
        <family val="1"/>
      </rPr>
      <t>23/10/2025 20:59</t>
    </r>
  </si>
  <si>
    <r>
      <rPr>
        <sz val="8"/>
        <rFont val="Times New Roman"/>
        <family val="1"/>
      </rPr>
      <t>NGUYEN THI HANH QR   Nguyen Huyen My SV12x11x16 tha ng 10- Ma GD ACSP/ 4q106865</t>
    </r>
  </si>
  <si>
    <r>
      <rPr>
        <sz val="8"/>
        <rFont val="Times New Roman"/>
        <family val="1"/>
      </rPr>
      <t>23/10/2025 20:51</t>
    </r>
  </si>
  <si>
    <r>
      <rPr>
        <sz val="8"/>
        <rFont val="Times New Roman"/>
        <family val="1"/>
      </rPr>
      <t xml:space="preserve">CTCP DICH VU DI DONG TRUC TUYEN 104946225401-Le
</t>
    </r>
    <r>
      <rPr>
        <sz val="8"/>
        <rFont val="Times New Roman"/>
        <family val="1"/>
      </rPr>
      <t>Gia Linh Sv10x13x3  thang 10-CHUYEN TIEN- OQCH00038A9I-M OMO104946225401MOMO. TU: M SERVICE JSC</t>
    </r>
  </si>
  <si>
    <r>
      <rPr>
        <sz val="8"/>
        <rFont val="Times New Roman"/>
        <family val="1"/>
      </rPr>
      <t>23/10/2025 20:41</t>
    </r>
  </si>
  <si>
    <r>
      <rPr>
        <sz val="8"/>
        <rFont val="Times New Roman"/>
        <family val="1"/>
      </rPr>
      <t>DO THI TRANG DAM TUAN HUNG SV10X8X9 THANG 10- Ma  GD ACSP/ UG904067</t>
    </r>
  </si>
  <si>
    <r>
      <rPr>
        <sz val="8"/>
        <rFont val="Times New Roman"/>
        <family val="1"/>
      </rPr>
      <t>23/10/2025 20:35</t>
    </r>
  </si>
  <si>
    <r>
      <rPr>
        <sz val="8"/>
        <rFont val="Times New Roman"/>
        <family val="1"/>
      </rPr>
      <t>NGO THI LIEN MBVCB.11429937819.355357.Nguyen Min h Tam SV12x11x8 thang 10.CT tu 1017 238679 NGO THI LIEN toi 06701909977 77 NGUYEN THI HUYEN tai MB- Ma GD A</t>
    </r>
  </si>
  <si>
    <r>
      <rPr>
        <sz val="8"/>
        <rFont val="Times New Roman"/>
        <family val="1"/>
      </rPr>
      <t>23/10/2025 20:29</t>
    </r>
  </si>
  <si>
    <r>
      <rPr>
        <sz val="8"/>
        <rFont val="Times New Roman"/>
        <family val="1"/>
      </rPr>
      <t>DANG THI PHUONG QR   Nguyen Khac Thu SV11x8x13 than g 10- Ma GD ACSP/ 41922146</t>
    </r>
  </si>
  <si>
    <r>
      <rPr>
        <sz val="8"/>
        <rFont val="Times New Roman"/>
        <family val="1"/>
      </rPr>
      <t>23/10/2025 20:27</t>
    </r>
  </si>
  <si>
    <r>
      <rPr>
        <sz val="8"/>
        <rFont val="Times New Roman"/>
        <family val="1"/>
      </rPr>
      <t>CUSTOMER Tran Van Anh SV10x17x4 thang 10 FT2 5296594967023   Ma giao dich  Trace 018619 Trace 018619</t>
    </r>
  </si>
  <si>
    <r>
      <rPr>
        <sz val="8"/>
        <rFont val="Times New Roman"/>
        <family val="1"/>
      </rPr>
      <t>23/10/2025 20:15</t>
    </r>
  </si>
  <si>
    <r>
      <rPr>
        <sz val="8"/>
        <rFont val="Times New Roman"/>
        <family val="1"/>
      </rPr>
      <t>CUSTOMER Dao Tue Anh SV10x10x13 thang 10. TU: NGUYEN THI MAI PHUONG</t>
    </r>
  </si>
  <si>
    <r>
      <rPr>
        <sz val="8"/>
        <rFont val="Times New Roman"/>
        <family val="1"/>
      </rPr>
      <t>CUSTOMER Doan Tue Anh SV10x10x3 thang 10. TU: NGUYEN THI MAI PHUONG</t>
    </r>
  </si>
  <si>
    <r>
      <rPr>
        <sz val="8"/>
        <rFont val="Times New Roman"/>
        <family val="1"/>
      </rPr>
      <t>23/10/2025 20:11</t>
    </r>
  </si>
  <si>
    <r>
      <rPr>
        <sz val="8"/>
        <rFont val="Times New Roman"/>
        <family val="1"/>
      </rPr>
      <t>CUSTOMER Hoang Tuan Hai 12x4x12 thang 10 FT2 5296070593586   Ma giao dich  Trace 931832 Trace 931832</t>
    </r>
  </si>
  <si>
    <r>
      <rPr>
        <sz val="8"/>
        <rFont val="Times New Roman"/>
        <family val="1"/>
      </rPr>
      <t>23/10/2025 20:07</t>
    </r>
  </si>
  <si>
    <r>
      <rPr>
        <sz val="8"/>
        <rFont val="Times New Roman"/>
        <family val="1"/>
      </rPr>
      <t xml:space="preserve">NGUYEN XUAN HOE MBVCB.11429567640.112402.Nguyen
</t>
    </r>
    <r>
      <rPr>
        <sz val="8"/>
        <rFont val="Times New Roman"/>
        <family val="1"/>
      </rPr>
      <t>Qua ng Anh SV11x8x2 thang 10.CT tu 0541 000250419 NGUYEN XUAN HOE toi 06701 90997777 NGUYEN THI HUYEN tai MB- M</t>
    </r>
  </si>
  <si>
    <r>
      <rPr>
        <sz val="8"/>
        <rFont val="Times New Roman"/>
        <family val="1"/>
      </rPr>
      <t>23/10/2025 20:03</t>
    </r>
  </si>
  <si>
    <r>
      <rPr>
        <sz val="8"/>
        <rFont val="Times New Roman"/>
        <family val="1"/>
      </rPr>
      <t xml:space="preserve">HOANG THI OANH MBVCB.11429515740.077164.Nguyen
</t>
    </r>
    <r>
      <rPr>
        <sz val="8"/>
        <rFont val="Times New Roman"/>
        <family val="1"/>
      </rPr>
      <t>Hoa ng Linh SV11x6x7 thang 10.CT tu 050 1000097738 HOANG THI OANH toi 06701 90997777 NGUYEN THI HUYEN tai MB- M</t>
    </r>
  </si>
  <si>
    <r>
      <rPr>
        <sz val="8"/>
        <rFont val="Times New Roman"/>
        <family val="1"/>
      </rPr>
      <t>23/10/2025 19:48</t>
    </r>
  </si>
  <si>
    <r>
      <rPr>
        <sz val="8"/>
        <rFont val="Times New Roman"/>
        <family val="1"/>
      </rPr>
      <t>CUSTOMER Nguyen Viet Anh SV12x11x3 thang 10. TU: NGUYEN THI THUY</t>
    </r>
  </si>
  <si>
    <r>
      <rPr>
        <sz val="8"/>
        <rFont val="Times New Roman"/>
        <family val="1"/>
      </rPr>
      <t>NGUYEN THI TRINH QR   Vu Minh Duc SV11x6x22 thang 10 - Ma GD ACSP/ F6789547</t>
    </r>
  </si>
  <si>
    <r>
      <rPr>
        <sz val="8"/>
        <rFont val="Times New Roman"/>
        <family val="1"/>
      </rPr>
      <t>23/10/2025 19:42</t>
    </r>
  </si>
  <si>
    <r>
      <rPr>
        <sz val="8"/>
        <rFont val="Times New Roman"/>
        <family val="1"/>
      </rPr>
      <t xml:space="preserve">NGUYEN THI NHAI MBVCB.11429216842.885566.Nguyen
</t>
    </r>
    <r>
      <rPr>
        <sz val="8"/>
        <rFont val="Times New Roman"/>
        <family val="1"/>
      </rPr>
      <t>Hai  Yen SV12x11x12 thang 10.CT tu 0541 001649883 NGUYEN THI NHAI toi 06701 90997777 NGUYEN THI HUYEN tai MB- M</t>
    </r>
  </si>
  <si>
    <r>
      <rPr>
        <sz val="8"/>
        <rFont val="Times New Roman"/>
        <family val="1"/>
      </rPr>
      <t>23/10/2025 19:39</t>
    </r>
  </si>
  <si>
    <r>
      <rPr>
        <sz val="8"/>
        <rFont val="Times New Roman"/>
        <family val="1"/>
      </rPr>
      <t>DINH THI NGOC ANH QR   Nguyen Trung Hoang Dung SV12x1 3x4 thang 10- Ma GD ACSP/ cy762190</t>
    </r>
  </si>
  <si>
    <r>
      <rPr>
        <sz val="8"/>
        <rFont val="Times New Roman"/>
        <family val="1"/>
      </rPr>
      <t>23/10/2025 19:38</t>
    </r>
  </si>
  <si>
    <r>
      <rPr>
        <sz val="8"/>
        <rFont val="Times New Roman"/>
        <family val="1"/>
      </rPr>
      <t xml:space="preserve">DANG QUYNH TRANG MBVCB.11429176562.854484.
</t>
    </r>
    <r>
      <rPr>
        <sz val="8"/>
        <rFont val="Times New Roman"/>
        <family val="1"/>
      </rPr>
      <t>Hoang Minh  Quan SV11x1x15 thang 10.CT tu 0011 001759012 DANG QUYNH TRANG toi 0670 190997777 NGUYEN THI HUYEN tai MB-</t>
    </r>
  </si>
  <si>
    <r>
      <rPr>
        <sz val="8"/>
        <rFont val="Times New Roman"/>
        <family val="1"/>
      </rPr>
      <t>23/10/2025 19:33</t>
    </r>
  </si>
  <si>
    <r>
      <rPr>
        <sz val="8"/>
        <rFont val="Times New Roman"/>
        <family val="1"/>
      </rPr>
      <t>PHAN NGOC DIEP QR   Phan Ngoc Diep SV12x14x2 thang 10- Ma GD ACSP/ Um743965</t>
    </r>
  </si>
  <si>
    <r>
      <rPr>
        <sz val="8"/>
        <rFont val="Times New Roman"/>
        <family val="1"/>
      </rPr>
      <t>23/10/2025 19:20</t>
    </r>
  </si>
  <si>
    <r>
      <rPr>
        <sz val="8"/>
        <rFont val="Times New Roman"/>
        <family val="1"/>
      </rPr>
      <t>CUSTOMER Le Minh Quang SV11x3x11 thang 10. TU: LE QUANG XUAT</t>
    </r>
  </si>
  <si>
    <r>
      <rPr>
        <sz val="8"/>
        <rFont val="Times New Roman"/>
        <family val="1"/>
      </rPr>
      <t>23/10/2025 19:18</t>
    </r>
  </si>
  <si>
    <r>
      <rPr>
        <sz val="8"/>
        <rFont val="Times New Roman"/>
        <family val="1"/>
      </rPr>
      <t xml:space="preserve">KIEU THI THUY TAM MBVCB.11428863211.656817.Mai
</t>
    </r>
    <r>
      <rPr>
        <sz val="8"/>
        <rFont val="Times New Roman"/>
        <family val="1"/>
      </rPr>
      <t xml:space="preserve">Thi Th uy Tien SV12x11x25 thang 10.CT tu 0 541001575886 KIEU THI THUY TAM toi 0670190997777 NGUYEN THI
</t>
    </r>
    <r>
      <rPr>
        <sz val="8"/>
        <rFont val="Times New Roman"/>
        <family val="1"/>
      </rPr>
      <t>HUYEN tai</t>
    </r>
  </si>
  <si>
    <r>
      <rPr>
        <sz val="8"/>
        <rFont val="Times New Roman"/>
        <family val="1"/>
      </rPr>
      <t>23/10/2025 18:23</t>
    </r>
  </si>
  <si>
    <r>
      <rPr>
        <sz val="8"/>
        <rFont val="Times New Roman"/>
        <family val="1"/>
      </rPr>
      <t>CUSTOMER Nguyen Minh Phuong SV10x8x19 thang  10. TU: VU THI MAI HUONG</t>
    </r>
  </si>
  <si>
    <r>
      <rPr>
        <sz val="8"/>
        <rFont val="Times New Roman"/>
        <family val="1"/>
      </rPr>
      <t>23/10/2025 18:17</t>
    </r>
  </si>
  <si>
    <r>
      <rPr>
        <sz val="8"/>
        <rFont val="Times New Roman"/>
        <family val="1"/>
      </rPr>
      <t xml:space="preserve">NGUYEN THI HUONG QR   Khuc Ngoc Anh SV11x3x20
</t>
    </r>
    <r>
      <rPr>
        <sz val="8"/>
        <rFont val="Times New Roman"/>
        <family val="1"/>
      </rPr>
      <t>thang  10- Ma GD ACSP/ z5480119</t>
    </r>
  </si>
  <si>
    <r>
      <rPr>
        <sz val="8"/>
        <rFont val="Times New Roman"/>
        <family val="1"/>
      </rPr>
      <t>23/10/2025 17:42</t>
    </r>
  </si>
  <si>
    <r>
      <rPr>
        <sz val="8"/>
        <rFont val="Times New Roman"/>
        <family val="1"/>
      </rPr>
      <t xml:space="preserve">NGUYEN THU TRANG MBVCB.11427408932.679682.Vu
</t>
    </r>
    <r>
      <rPr>
        <sz val="8"/>
        <rFont val="Times New Roman"/>
        <family val="1"/>
      </rPr>
      <t>Gia Huy  SV10x1x5 thang 10.CT tu 1013023614  NGUYEN THU TRANG toi 0670190997777  NGUYEN THI HUYEN tai MB- Ma GD ACS</t>
    </r>
  </si>
  <si>
    <r>
      <rPr>
        <sz val="8"/>
        <rFont val="Times New Roman"/>
        <family val="1"/>
      </rPr>
      <t>23/10/2025 17:29</t>
    </r>
  </si>
  <si>
    <r>
      <rPr>
        <sz val="8"/>
        <rFont val="Times New Roman"/>
        <family val="1"/>
      </rPr>
      <t xml:space="preserve">DINH THI THANH TU MBVCB.11427181923.531108.
</t>
    </r>
    <r>
      <rPr>
        <sz val="8"/>
        <rFont val="Times New Roman"/>
        <family val="1"/>
      </rPr>
      <t>Nguyen Nha t Anh SV10x8x1 thang 10.CT tu 00110 00607061 DINH THI THANH TU toi 0670 190997777 NGUYEN THI HUYEN tai MB-</t>
    </r>
  </si>
  <si>
    <r>
      <rPr>
        <sz val="8"/>
        <rFont val="Times New Roman"/>
        <family val="1"/>
      </rPr>
      <t>23/10/2025 17:15</t>
    </r>
  </si>
  <si>
    <r>
      <rPr>
        <sz val="8"/>
        <rFont val="Times New Roman"/>
        <family val="1"/>
      </rPr>
      <t>CUSTOMER Nguyen Dang Khoi SV11x1x7 thang 10 FT25296970207500   Ma giao dich  Tr ace770384 Trace 770384</t>
    </r>
  </si>
  <si>
    <r>
      <rPr>
        <sz val="8"/>
        <rFont val="Times New Roman"/>
        <family val="1"/>
      </rPr>
      <t>23/10/2025 16:15</t>
    </r>
  </si>
  <si>
    <r>
      <rPr>
        <sz val="8"/>
        <rFont val="Times New Roman"/>
        <family val="1"/>
      </rPr>
      <t>TRAN THI THU PHUONG DINH THANH PHONG SV12X4X16 THANG 10 - Ma GD ACSP/ 6I841606</t>
    </r>
  </si>
  <si>
    <r>
      <rPr>
        <sz val="8"/>
        <rFont val="Times New Roman"/>
        <family val="1"/>
      </rPr>
      <t>23/10/2025 16:14</t>
    </r>
  </si>
  <si>
    <r>
      <rPr>
        <sz val="8"/>
        <rFont val="Times New Roman"/>
        <family val="1"/>
      </rPr>
      <t>CUSTOMER Doan Le Minh Quan SV12x4x17 thang 1 0. TU: DOAN MANH HUNG</t>
    </r>
  </si>
  <si>
    <r>
      <rPr>
        <sz val="8"/>
        <rFont val="Times New Roman"/>
        <family val="1"/>
      </rPr>
      <t>23/10/2025 15:35</t>
    </r>
  </si>
  <si>
    <r>
      <rPr>
        <sz val="8"/>
        <rFont val="Times New Roman"/>
        <family val="1"/>
      </rPr>
      <t>CUSTOMER IBFT Dao Tue Linh SV11x6x6 thang 10    Ma giao dich  Trace123183 Trace  123183</t>
    </r>
  </si>
  <si>
    <r>
      <rPr>
        <sz val="8"/>
        <rFont val="Times New Roman"/>
        <family val="1"/>
      </rPr>
      <t>23/10/2025 15:16</t>
    </r>
  </si>
  <si>
    <r>
      <rPr>
        <sz val="8"/>
        <rFont val="Times New Roman"/>
        <family val="1"/>
      </rPr>
      <t>VU ANH TUAN QR   Vu Anh Tuan SV12x12x17 thang 1 0- Ma GD ACSP/ lf708393</t>
    </r>
  </si>
  <si>
    <r>
      <rPr>
        <sz val="8"/>
        <rFont val="Times New Roman"/>
        <family val="1"/>
      </rPr>
      <t>23/10/2025 14:53</t>
    </r>
  </si>
  <si>
    <r>
      <rPr>
        <sz val="8"/>
        <rFont val="Times New Roman"/>
        <family val="1"/>
      </rPr>
      <t>TRUONG THI THU TRANG TRAN QUANG MINH SV12X4X2 THANG 10-  Ma GD ACSP/ Hh324069</t>
    </r>
  </si>
  <si>
    <r>
      <rPr>
        <sz val="8"/>
        <rFont val="Times New Roman"/>
        <family val="1"/>
      </rPr>
      <t>23/10/2025 14:51</t>
    </r>
  </si>
  <si>
    <r>
      <rPr>
        <sz val="8"/>
        <rFont val="Times New Roman"/>
        <family val="1"/>
      </rPr>
      <t xml:space="preserve">VU THI SEN MBVCB.11425033837.102736.Dam Tuan D
</t>
    </r>
    <r>
      <rPr>
        <sz val="8"/>
        <rFont val="Times New Roman"/>
        <family val="1"/>
      </rPr>
      <t>uong SV12x8x8 thang 10.CT tu 101826 9792 VU THI SEN toi 0670190997777 N GUYEN THI HUYEN tai MB- Ma GD ACSP/</t>
    </r>
  </si>
  <si>
    <r>
      <rPr>
        <sz val="8"/>
        <rFont val="Times New Roman"/>
        <family val="1"/>
      </rPr>
      <t>23/10/2025 14:44</t>
    </r>
  </si>
  <si>
    <r>
      <rPr>
        <sz val="8"/>
        <rFont val="Times New Roman"/>
        <family val="1"/>
      </rPr>
      <t>CUSTOMER Nguyen Duy Dung sv 11x2x16 thang 10 FT25296060874444   Ma giao dich  T race817595 Trace 817595</t>
    </r>
  </si>
  <si>
    <r>
      <rPr>
        <sz val="8"/>
        <rFont val="Times New Roman"/>
        <family val="1"/>
      </rPr>
      <t>23/10/2025 14:11</t>
    </r>
  </si>
  <si>
    <r>
      <rPr>
        <sz val="8"/>
        <rFont val="Times New Roman"/>
        <family val="1"/>
      </rPr>
      <t>PHAM HUONG GIANG QR   Tran Tung Lam A SV12x4x13 than g 10- Ma GD ACSP/ 2C533455</t>
    </r>
  </si>
  <si>
    <r>
      <rPr>
        <sz val="8"/>
        <rFont val="Times New Roman"/>
        <family val="1"/>
      </rPr>
      <t>23/10/2025 14:02</t>
    </r>
  </si>
  <si>
    <r>
      <rPr>
        <sz val="8"/>
        <rFont val="Times New Roman"/>
        <family val="1"/>
      </rPr>
      <t xml:space="preserve">DINH QUANG HUNG MBVCB.11424516835.773010.Dinh
</t>
    </r>
    <r>
      <rPr>
        <sz val="8"/>
        <rFont val="Times New Roman"/>
        <family val="1"/>
      </rPr>
      <t xml:space="preserve">Quang  Bao Nam SV12x4x5 thang 10.CT tu 99 44389558 DINH QUANG HUNG toi 067019 0997777 NGUYEN THI
</t>
    </r>
    <r>
      <rPr>
        <sz val="8"/>
        <rFont val="Times New Roman"/>
        <family val="1"/>
      </rPr>
      <t>HUYEN tai MB- Ma</t>
    </r>
  </si>
  <si>
    <r>
      <rPr>
        <sz val="8"/>
        <rFont val="Times New Roman"/>
        <family val="1"/>
      </rPr>
      <t>23/10/2025 14:00</t>
    </r>
  </si>
  <si>
    <r>
      <rPr>
        <sz val="8"/>
        <rFont val="Times New Roman"/>
        <family val="1"/>
      </rPr>
      <t>CUSTOMER Nguyen Vu Hai Dang SV12x4x19 thang  10. TU: VU THI THANH TUYEN</t>
    </r>
  </si>
  <si>
    <r>
      <rPr>
        <sz val="8"/>
        <rFont val="Times New Roman"/>
        <family val="1"/>
      </rPr>
      <t xml:space="preserve">NGUYEN THI MAI MBVCB.11424507141.764486.Nguyen
</t>
    </r>
    <r>
      <rPr>
        <sz val="8"/>
        <rFont val="Times New Roman"/>
        <family val="1"/>
      </rPr>
      <t xml:space="preserve">Duy  Thinh SV12x4x3 thang 10.CT tu 0011 004220766 NGUYEN THI MAI toi 067019 0997777 NGUYEN THI
</t>
    </r>
    <r>
      <rPr>
        <sz val="8"/>
        <rFont val="Times New Roman"/>
        <family val="1"/>
      </rPr>
      <t>HUYEN tai MB- Ma</t>
    </r>
  </si>
  <si>
    <r>
      <rPr>
        <sz val="8"/>
        <rFont val="Times New Roman"/>
        <family val="1"/>
      </rPr>
      <t>CUSTOMER Nguyen Hai Dang SV12x4x1 thang 10. TU: VU THI THANH TUYEN</t>
    </r>
  </si>
  <si>
    <r>
      <rPr>
        <sz val="8"/>
        <rFont val="Times New Roman"/>
        <family val="1"/>
      </rPr>
      <t>23/10/2025 13:59</t>
    </r>
  </si>
  <si>
    <r>
      <rPr>
        <sz val="8"/>
        <rFont val="Times New Roman"/>
        <family val="1"/>
      </rPr>
      <t xml:space="preserve">TRINH THI LAI MBVCB.11424489963.755580.Duong Quan g
</t>
    </r>
    <r>
      <rPr>
        <sz val="8"/>
        <rFont val="Times New Roman"/>
        <family val="1"/>
      </rPr>
      <t>Anh SV12x4x7 thang 10.CT tu 05410 00326175 TRINH THI LAI toi 06701909 97777 NGUYEN THI HUYEN tai MB- Ma G</t>
    </r>
  </si>
  <si>
    <r>
      <rPr>
        <sz val="8"/>
        <rFont val="Times New Roman"/>
        <family val="1"/>
      </rPr>
      <t>23/10/2025 13:57</t>
    </r>
  </si>
  <si>
    <r>
      <rPr>
        <sz val="8"/>
        <rFont val="Times New Roman"/>
        <family val="1"/>
      </rPr>
      <t>TRAN THI HANG HOANG VIET ANH SV11X3X1 THANG 10- M a GD ACSP/ 7y085119</t>
    </r>
  </si>
  <si>
    <r>
      <rPr>
        <sz val="8"/>
        <rFont val="Times New Roman"/>
        <family val="1"/>
      </rPr>
      <t>23/10/2025 13:55</t>
    </r>
  </si>
  <si>
    <r>
      <rPr>
        <sz val="8"/>
        <rFont val="Times New Roman"/>
        <family val="1"/>
      </rPr>
      <t>TRAN THI THANH NGA TRAN THI THANH NGA CHUYEN TIEN TRAN  DUC MINH ANH SV 12.4.18- Ma GD ACS P/ 1S077187</t>
    </r>
  </si>
  <si>
    <r>
      <rPr>
        <sz val="8"/>
        <rFont val="Times New Roman"/>
        <family val="1"/>
      </rPr>
      <t>23/10/2025 13:45</t>
    </r>
  </si>
  <si>
    <r>
      <rPr>
        <sz val="8"/>
        <rFont val="Times New Roman"/>
        <family val="1"/>
      </rPr>
      <t>CUSTOMER Tran Quang Minh SV10x3x12 thang 10. TU: DINH THI THU THUY</t>
    </r>
  </si>
  <si>
    <r>
      <rPr>
        <sz val="8"/>
        <rFont val="Times New Roman"/>
        <family val="1"/>
      </rPr>
      <t>23/10/2025 13:10</t>
    </r>
  </si>
  <si>
    <r>
      <rPr>
        <sz val="8"/>
        <rFont val="Times New Roman"/>
        <family val="1"/>
      </rPr>
      <t>CUSTOMER Nguyen Duc Nghia SV12x12x14 thang 1 0. TU: QUACH LAN PHUONG</t>
    </r>
  </si>
  <si>
    <r>
      <rPr>
        <sz val="8"/>
        <rFont val="Times New Roman"/>
        <family val="1"/>
      </rPr>
      <t>23/10/2025 13:05</t>
    </r>
  </si>
  <si>
    <r>
      <rPr>
        <sz val="8"/>
        <rFont val="Times New Roman"/>
        <family val="1"/>
      </rPr>
      <t xml:space="preserve">NGUYEN THI LOAN MBVCB.11423985643.429217.Tran
</t>
    </r>
    <r>
      <rPr>
        <sz val="8"/>
        <rFont val="Times New Roman"/>
        <family val="1"/>
      </rPr>
      <t>Ngoc Anh SV10x12x14 thang 10.CT tu 10158 96223 NGUYEN THI LOAN toi 067019099 7777 NGUYEN THI HUYEN tai MB- Ma GD</t>
    </r>
  </si>
  <si>
    <r>
      <rPr>
        <sz val="8"/>
        <rFont val="Times New Roman"/>
        <family val="1"/>
      </rPr>
      <t>23/10/2025 11:33</t>
    </r>
  </si>
  <si>
    <r>
      <rPr>
        <sz val="8"/>
        <rFont val="Times New Roman"/>
        <family val="1"/>
      </rPr>
      <t>LE THI NGOC MBVCB.11422839492.685828.Tran Yen N hi SV10x8x18 thang 10.CT tu 0011000 603663 LE THI NGOC toi 067019099777 7 NGUYEN THI HUYEN tai MB- Ma GD AC</t>
    </r>
  </si>
  <si>
    <r>
      <rPr>
        <sz val="8"/>
        <rFont val="Times New Roman"/>
        <family val="1"/>
      </rPr>
      <t>23/10/2025 10:38</t>
    </r>
  </si>
  <si>
    <r>
      <rPr>
        <sz val="8"/>
        <rFont val="Times New Roman"/>
        <family val="1"/>
      </rPr>
      <t>CUSTOMER Ngo Minh Quang SV11x5x4 thang 10. TU: PHAM THI THAM</t>
    </r>
  </si>
  <si>
    <r>
      <rPr>
        <sz val="8"/>
        <rFont val="Times New Roman"/>
        <family val="1"/>
      </rPr>
      <t>23/10/2025 10:13</t>
    </r>
  </si>
  <si>
    <r>
      <rPr>
        <sz val="8"/>
        <rFont val="Times New Roman"/>
        <family val="1"/>
      </rPr>
      <t>CUSTOMER Nguyen Ngo Quynh Chi SV10x17x14 tha ng 10 Ma giao dich  Trace950505 T race 950505</t>
    </r>
  </si>
  <si>
    <r>
      <rPr>
        <sz val="8"/>
        <rFont val="Times New Roman"/>
        <family val="1"/>
      </rPr>
      <t>23/10/2025 09:21</t>
    </r>
  </si>
  <si>
    <r>
      <rPr>
        <sz val="8"/>
        <rFont val="Times New Roman"/>
        <family val="1"/>
      </rPr>
      <t xml:space="preserve">LUU THANH HA MBVCB.11421239011.629272.Nguyen Min
</t>
    </r>
    <r>
      <rPr>
        <sz val="8"/>
        <rFont val="Times New Roman"/>
        <family val="1"/>
      </rPr>
      <t>h Giang SV10x3x20 thang 10.CT tu 00 11000563804 LUU THANH HA toi 067019 0997777 NGUYEN THI HUYEN tai MB- Ma</t>
    </r>
  </si>
  <si>
    <r>
      <rPr>
        <sz val="8"/>
        <rFont val="Times New Roman"/>
        <family val="1"/>
      </rPr>
      <t>23/10/2025 09:15</t>
    </r>
  </si>
  <si>
    <r>
      <rPr>
        <sz val="8"/>
        <rFont val="Times New Roman"/>
        <family val="1"/>
      </rPr>
      <t xml:space="preserve">CUSTOMER IBFT Nguyen Le Minh Trang SV12x8x12  thang
</t>
    </r>
    <r>
      <rPr>
        <sz val="8"/>
        <rFont val="Times New Roman"/>
        <family val="1"/>
      </rPr>
      <t>10   Ma giao dich  Trace3054 92 Trace 305492</t>
    </r>
  </si>
  <si>
    <r>
      <rPr>
        <sz val="8"/>
        <rFont val="Times New Roman"/>
        <family val="1"/>
      </rPr>
      <t>23/10/2025 08:31</t>
    </r>
  </si>
  <si>
    <r>
      <rPr>
        <sz val="8"/>
        <rFont val="Times New Roman"/>
        <family val="1"/>
      </rPr>
      <t>CUSTOMER Le Nguyen Khanh Ly SV10x12x23 thang  10 Ma giao dich  Trace530013 Tra ce 530013</t>
    </r>
  </si>
  <si>
    <r>
      <rPr>
        <sz val="8"/>
        <rFont val="Times New Roman"/>
        <family val="1"/>
      </rPr>
      <t>23/10/2025 08:29</t>
    </r>
  </si>
  <si>
    <r>
      <rPr>
        <sz val="8"/>
        <rFont val="Times New Roman"/>
        <family val="1"/>
      </rPr>
      <t>CUSTOMER Ngo Thanh Duc SV10x16x7 thang 10 FT 25296240078020   Ma giao dich  Trac e768136 Trace 768136</t>
    </r>
  </si>
  <si>
    <r>
      <rPr>
        <sz val="8"/>
        <rFont val="Times New Roman"/>
        <family val="1"/>
      </rPr>
      <t>23/10/2025 08:08</t>
    </r>
  </si>
  <si>
    <r>
      <rPr>
        <sz val="8"/>
        <rFont val="Times New Roman"/>
        <family val="1"/>
      </rPr>
      <t>CUSTOMER Doan Minh Anh SV10x10x12 thang 10 F T25296720787169   Ma giao dich  Tra ce667252 Trace 667252</t>
    </r>
  </si>
  <si>
    <r>
      <rPr>
        <sz val="8"/>
        <rFont val="Times New Roman"/>
        <family val="1"/>
      </rPr>
      <t>23/10/2025 06:59</t>
    </r>
  </si>
  <si>
    <r>
      <rPr>
        <sz val="8"/>
        <rFont val="Times New Roman"/>
        <family val="1"/>
      </rPr>
      <t>VU KIM NGAN QR   Luong Duc Huy SV11x2x10 thang  10- Ma GD ACSP/ PD293256</t>
    </r>
  </si>
  <si>
    <r>
      <rPr>
        <sz val="8"/>
        <rFont val="Times New Roman"/>
        <family val="1"/>
      </rPr>
      <t>23/10/2025 06:54</t>
    </r>
  </si>
  <si>
    <r>
      <rPr>
        <sz val="8"/>
        <rFont val="Times New Roman"/>
        <family val="1"/>
      </rPr>
      <t xml:space="preserve">TRAN THI HIEN MBVCB.11419775990.620434.Pham Huyen
</t>
    </r>
    <r>
      <rPr>
        <sz val="8"/>
        <rFont val="Times New Roman"/>
        <family val="1"/>
      </rPr>
      <t>Trang SV10x12x27 thang 10.CT tu 05 41001476269 TRAN THI HIEN toi 06701 90997777 NGUYEN THI HUYEN tai MB- M</t>
    </r>
  </si>
  <si>
    <r>
      <rPr>
        <sz val="8"/>
        <rFont val="Times New Roman"/>
        <family val="1"/>
      </rPr>
      <t>23/10/2025 06:41</t>
    </r>
  </si>
  <si>
    <r>
      <rPr>
        <sz val="8"/>
        <rFont val="Times New Roman"/>
        <family val="1"/>
      </rPr>
      <t>LO THI QUYNH LAN NGUYEN HUU NAM SV11X2X22 THANG 10-  Ma GD ACSP/ Vm698031</t>
    </r>
  </si>
  <si>
    <r>
      <rPr>
        <sz val="8"/>
        <rFont val="Times New Roman"/>
        <family val="1"/>
      </rPr>
      <t>23/10/2025 05:40</t>
    </r>
  </si>
  <si>
    <r>
      <rPr>
        <sz val="8"/>
        <rFont val="Times New Roman"/>
        <family val="1"/>
      </rPr>
      <t>CUSTOMER Do Quang Minh SV10x10x2 thang 10 FT 25296152016083   Ma giao dich  Trac e269783 Trace 269783</t>
    </r>
  </si>
  <si>
    <r>
      <rPr>
        <sz val="8"/>
        <rFont val="Times New Roman"/>
        <family val="1"/>
      </rPr>
      <t>22/10/2025 23:47</t>
    </r>
  </si>
  <si>
    <r>
      <rPr>
        <sz val="8"/>
        <rFont val="Times New Roman"/>
        <family val="1"/>
      </rPr>
      <t>CUSTOMER Nguyen Thi Minh Chau sv12x16x7 than g 10 FT25296803561431   Ma giao dic h  Trace042747 Trace 042747</t>
    </r>
  </si>
  <si>
    <r>
      <rPr>
        <sz val="8"/>
        <rFont val="Times New Roman"/>
        <family val="1"/>
      </rPr>
      <t>22/10/2025 23:18</t>
    </r>
  </si>
  <si>
    <r>
      <rPr>
        <sz val="8"/>
        <rFont val="Times New Roman"/>
        <family val="1"/>
      </rPr>
      <t>CUSTOMER To Hai Dang SV10x7x5 thang 10. TU: LE THI VAN</t>
    </r>
  </si>
  <si>
    <r>
      <rPr>
        <sz val="8"/>
        <rFont val="Times New Roman"/>
        <family val="1"/>
      </rPr>
      <t>22/10/2025 22:49</t>
    </r>
  </si>
  <si>
    <r>
      <rPr>
        <sz val="8"/>
        <rFont val="Times New Roman"/>
        <family val="1"/>
      </rPr>
      <t>CUSTOMER Pham Chau Uyen Nhi SV10x8x17 thang  10 FT25296845001730   Ma giao dich   Trace920951 Trace 920951</t>
    </r>
  </si>
  <si>
    <r>
      <rPr>
        <sz val="8"/>
        <rFont val="Times New Roman"/>
        <family val="1"/>
      </rPr>
      <t>22/10/2025 22:40</t>
    </r>
  </si>
  <si>
    <r>
      <rPr>
        <sz val="8"/>
        <rFont val="Times New Roman"/>
        <family val="1"/>
      </rPr>
      <t>LE THI THANH NGHIN LE MINH SON SV11X6X13 THANG 10- Ma  GD ACSP/ Qf199000</t>
    </r>
  </si>
  <si>
    <r>
      <rPr>
        <sz val="8"/>
        <rFont val="Times New Roman"/>
        <family val="1"/>
      </rPr>
      <t>22/10/2025 22:33</t>
    </r>
  </si>
  <si>
    <r>
      <rPr>
        <sz val="8"/>
        <rFont val="Times New Roman"/>
        <family val="1"/>
      </rPr>
      <t>NGUYEN THI VAN HA NGUYEN CANH HAO SV10A3 thang 10- Ma  GD ACSP/ SM920536</t>
    </r>
  </si>
  <si>
    <r>
      <rPr>
        <sz val="8"/>
        <rFont val="Times New Roman"/>
        <family val="1"/>
      </rPr>
      <t>22/10/2025 22:25</t>
    </r>
  </si>
  <si>
    <r>
      <rPr>
        <sz val="8"/>
        <rFont val="Times New Roman"/>
        <family val="1"/>
      </rPr>
      <t xml:space="preserve">NGUYEN THI HANG MBVCB.11418596035.803301.Nguyen
</t>
    </r>
    <r>
      <rPr>
        <sz val="8"/>
        <rFont val="Times New Roman"/>
        <family val="1"/>
      </rPr>
      <t>Van  Ngoc SV12x13x1 thang 10.CT tu 9976 098016 NGUYEN THI HANG toi 06701909 97777 NGUYEN THI HUYEN tai MB- Ma G</t>
    </r>
  </si>
  <si>
    <r>
      <rPr>
        <sz val="8"/>
        <rFont val="Times New Roman"/>
        <family val="1"/>
      </rPr>
      <t>22/10/2025 22:21</t>
    </r>
  </si>
  <si>
    <r>
      <rPr>
        <sz val="8"/>
        <rFont val="Times New Roman"/>
        <family val="1"/>
      </rPr>
      <t>CUSTOMER Le Kien Huy SV10x12x19 thang 10 FT2 5296491506043   Ma giao dich  Trace 837343 Trace 837343</t>
    </r>
  </si>
  <si>
    <r>
      <rPr>
        <sz val="8"/>
        <rFont val="Times New Roman"/>
        <family val="1"/>
      </rPr>
      <t>22/10/2025 22:12</t>
    </r>
  </si>
  <si>
    <r>
      <rPr>
        <sz val="8"/>
        <rFont val="Times New Roman"/>
        <family val="1"/>
      </rPr>
      <t xml:space="preserve">NGUYEN THI BICH HONG MB 0670190997777 Nguyen Ha
</t>
    </r>
    <r>
      <rPr>
        <sz val="8"/>
        <rFont val="Times New Roman"/>
        <family val="1"/>
      </rPr>
      <t>Chi SV12 x8x7 thang 10- Ma GD ACSP/ OM047446</t>
    </r>
  </si>
  <si>
    <r>
      <rPr>
        <sz val="8"/>
        <rFont val="Times New Roman"/>
        <family val="1"/>
      </rPr>
      <t>22/10/2025 22:02</t>
    </r>
  </si>
  <si>
    <r>
      <rPr>
        <sz val="8"/>
        <rFont val="Times New Roman"/>
        <family val="1"/>
      </rPr>
      <t>LE THI THU HA QR   Nguyen Anh Tuan SV12x12x16 tha ng 10- Ma GD ACSP/ oi869687</t>
    </r>
  </si>
  <si>
    <r>
      <rPr>
        <sz val="8"/>
        <rFont val="Times New Roman"/>
        <family val="1"/>
      </rPr>
      <t>22/10/2025 21:58</t>
    </r>
  </si>
  <si>
    <r>
      <rPr>
        <sz val="8"/>
        <rFont val="Times New Roman"/>
        <family val="1"/>
      </rPr>
      <t>DO THI HUONG LAN NGUYEN MINH DUC SV10 3 5 DONG HP TH ANG 10- Ma GD ACSP/ uW052260</t>
    </r>
  </si>
  <si>
    <r>
      <rPr>
        <sz val="8"/>
        <rFont val="Times New Roman"/>
        <family val="1"/>
      </rPr>
      <t>22/10/2025 21:37</t>
    </r>
  </si>
  <si>
    <r>
      <rPr>
        <sz val="8"/>
        <rFont val="Times New Roman"/>
        <family val="1"/>
      </rPr>
      <t>DUONG THI TUYET CHINH NGUYEN DUONG KHANH HUYEN SV10X7X6 T HANG 10- Ma GD ACSP/ Jz954301</t>
    </r>
  </si>
  <si>
    <r>
      <rPr>
        <sz val="8"/>
        <rFont val="Times New Roman"/>
        <family val="1"/>
      </rPr>
      <t>22/10/2025 21:35</t>
    </r>
  </si>
  <si>
    <r>
      <rPr>
        <sz val="8"/>
        <rFont val="Times New Roman"/>
        <family val="1"/>
      </rPr>
      <t>CUSTOMER Nguyen Trung Anh SV12x12x2 thang 10    Ma giao dich  Trace165157 Trace  165157</t>
    </r>
  </si>
  <si>
    <r>
      <rPr>
        <sz val="8"/>
        <rFont val="Times New Roman"/>
        <family val="1"/>
      </rPr>
      <t>22/10/2025 21:22</t>
    </r>
  </si>
  <si>
    <r>
      <rPr>
        <sz val="8"/>
        <rFont val="Times New Roman"/>
        <family val="1"/>
      </rPr>
      <t>PHAM THI PHUONG BUI QUYNH CHI SV10X1X3 THANG 10- Ma  GD ACSP/ he882862</t>
    </r>
  </si>
  <si>
    <r>
      <rPr>
        <sz val="8"/>
        <rFont val="Times New Roman"/>
        <family val="1"/>
      </rPr>
      <t>22/10/2025 21:21</t>
    </r>
  </si>
  <si>
    <r>
      <rPr>
        <sz val="8"/>
        <rFont val="Times New Roman"/>
        <family val="1"/>
      </rPr>
      <t>CUSTOMER Dam The Son SV11x6x31 thang 10. TU: TRUONG THI HUYEN TRANG#TRUONG THI HUYEN TRANG</t>
    </r>
  </si>
  <si>
    <r>
      <rPr>
        <sz val="8"/>
        <rFont val="Times New Roman"/>
        <family val="1"/>
      </rPr>
      <t>22/10/2025 21:17</t>
    </r>
  </si>
  <si>
    <r>
      <rPr>
        <sz val="8"/>
        <rFont val="Times New Roman"/>
        <family val="1"/>
      </rPr>
      <t xml:space="preserve">VU THI THAO MBVCB.11418009552.406250.Dinh Thi P
</t>
    </r>
    <r>
      <rPr>
        <sz val="8"/>
        <rFont val="Times New Roman"/>
        <family val="1"/>
      </rPr>
      <t>huong Anh SV12x12x1 thang 10.CT tu 0541001652939 VU THI THAO toi 06701 90997777 NGUYEN THI HUYEN tai MB- M</t>
    </r>
  </si>
  <si>
    <r>
      <rPr>
        <sz val="8"/>
        <rFont val="Times New Roman"/>
        <family val="1"/>
      </rPr>
      <t>22/10/2025 21:10</t>
    </r>
  </si>
  <si>
    <r>
      <rPr>
        <sz val="8"/>
        <rFont val="Times New Roman"/>
        <family val="1"/>
      </rPr>
      <t>CUSTOMER Nguyen Tuan Minh SV11x3x28 thang 10 FT25295029881190   Ma giao dich  T race543509 Trace 543509</t>
    </r>
  </si>
  <si>
    <r>
      <rPr>
        <sz val="8"/>
        <rFont val="Times New Roman"/>
        <family val="1"/>
      </rPr>
      <t>22/10/2025 21:09</t>
    </r>
  </si>
  <si>
    <r>
      <rPr>
        <sz val="8"/>
        <rFont val="Times New Roman"/>
        <family val="1"/>
      </rPr>
      <t>CUSTOMER Nguyen Doan Bao Chau SV10x1x16 than g 10 FT25295535790252   Ma giao dic h  Trace537807 Trace 537807</t>
    </r>
  </si>
  <si>
    <r>
      <rPr>
        <sz val="8"/>
        <rFont val="Times New Roman"/>
        <family val="1"/>
      </rPr>
      <t>22/10/2025 21:03</t>
    </r>
  </si>
  <si>
    <r>
      <rPr>
        <sz val="8"/>
        <rFont val="Times New Roman"/>
        <family val="1"/>
      </rPr>
      <t>CUSTOMER Duong Tuan Anh SV10x3x16 thang 10 F T25295864646392   Ma giao dich  Tra ce509342 Trace 509342</t>
    </r>
  </si>
  <si>
    <r>
      <rPr>
        <sz val="8"/>
        <rFont val="Times New Roman"/>
        <family val="1"/>
      </rPr>
      <t>22/10/2025 21:02</t>
    </r>
  </si>
  <si>
    <r>
      <rPr>
        <sz val="8"/>
        <rFont val="Times New Roman"/>
        <family val="1"/>
      </rPr>
      <t xml:space="preserve">LE THI THAM MBVCB.11417839721.294290.Phung Quye t
</t>
    </r>
    <r>
      <rPr>
        <sz val="8"/>
        <rFont val="Times New Roman"/>
        <family val="1"/>
      </rPr>
      <t xml:space="preserve">Tien SV10x1x23 thang 10.CT tu 054 1000184306 LE THI THAM toi 06701909 97777 NGUYEN THI HUYEN tai MB-
</t>
    </r>
    <r>
      <rPr>
        <sz val="8"/>
        <rFont val="Times New Roman"/>
        <family val="1"/>
      </rPr>
      <t>Ma G</t>
    </r>
  </si>
  <si>
    <r>
      <rPr>
        <sz val="8"/>
        <rFont val="Times New Roman"/>
        <family val="1"/>
      </rPr>
      <t>22/10/2025 21:00</t>
    </r>
  </si>
  <si>
    <r>
      <rPr>
        <sz val="8"/>
        <rFont val="Times New Roman"/>
        <family val="1"/>
      </rPr>
      <t>CUSTOMER Vu Hien Anh SV10x17x15 thang 10 FT2 5295216407424   Ma giao dich  Trace 493996 Trace 493996</t>
    </r>
  </si>
  <si>
    <r>
      <rPr>
        <sz val="8"/>
        <rFont val="Times New Roman"/>
        <family val="1"/>
      </rPr>
      <t>22/10/2025 20:54</t>
    </r>
  </si>
  <si>
    <r>
      <rPr>
        <sz val="8"/>
        <rFont val="Times New Roman"/>
        <family val="1"/>
      </rPr>
      <t>CUSTOMER Hoang Minh Dat SV10x3x19 thang 10. TU: HOANG VAN NGHIA</t>
    </r>
  </si>
  <si>
    <r>
      <rPr>
        <sz val="8"/>
        <rFont val="Times New Roman"/>
        <family val="1"/>
      </rPr>
      <t>22/10/2025 20:44</t>
    </r>
  </si>
  <si>
    <r>
      <rPr>
        <sz val="8"/>
        <rFont val="Times New Roman"/>
        <family val="1"/>
      </rPr>
      <t>CUSTOMER Nguyen Gia Ky SV11x1x6 thang 10. TU: CHU THI MY CHAU</t>
    </r>
  </si>
  <si>
    <r>
      <rPr>
        <sz val="8"/>
        <rFont val="Times New Roman"/>
        <family val="1"/>
      </rPr>
      <t>22/10/2025 20:38</t>
    </r>
  </si>
  <si>
    <r>
      <rPr>
        <sz val="8"/>
        <rFont val="Times New Roman"/>
        <family val="1"/>
      </rPr>
      <t>CUSTOMER Le Phuoc An SV10x3x2 thang 10. TU: TO THI KIM</t>
    </r>
  </si>
  <si>
    <r>
      <rPr>
        <sz val="8"/>
        <rFont val="Times New Roman"/>
        <family val="1"/>
      </rPr>
      <t>22/10/2025 20:25</t>
    </r>
  </si>
  <si>
    <r>
      <rPr>
        <sz val="8"/>
        <rFont val="Times New Roman"/>
        <family val="1"/>
      </rPr>
      <t>CUSTOMER Dao Phuong Vy SV12x9x15 thang 10    Ma giao dich  Trace914568 Trace 914 568</t>
    </r>
  </si>
  <si>
    <r>
      <rPr>
        <sz val="8"/>
        <rFont val="Times New Roman"/>
        <family val="1"/>
      </rPr>
      <t>22/10/2025 20:21</t>
    </r>
  </si>
  <si>
    <r>
      <rPr>
        <sz val="8"/>
        <rFont val="Times New Roman"/>
        <family val="1"/>
      </rPr>
      <t>CUSTOMER Ngo Minh Chinh SV10x17x7 thang 10. TU: PHI THI HONG</t>
    </r>
  </si>
  <si>
    <r>
      <rPr>
        <sz val="8"/>
        <rFont val="Times New Roman"/>
        <family val="1"/>
      </rPr>
      <t>CUSTOMER Nguyen Ngoc Han SV10x12x17 thang 10    Ma giao dich  Trace906581 Trace  906581</t>
    </r>
  </si>
  <si>
    <r>
      <rPr>
        <sz val="8"/>
        <rFont val="Times New Roman"/>
        <family val="1"/>
      </rPr>
      <t>22/10/2025 20:18</t>
    </r>
  </si>
  <si>
    <r>
      <rPr>
        <sz val="8"/>
        <rFont val="Times New Roman"/>
        <family val="1"/>
      </rPr>
      <t xml:space="preserve">VU THI QUYNH NGA MBVCB.11417297782.928431.Nguyen
</t>
    </r>
    <r>
      <rPr>
        <sz val="8"/>
        <rFont val="Times New Roman"/>
        <family val="1"/>
      </rPr>
      <t>Vu Bao Anh SV12x8x15 thang 10.CT tu 00 11004407962 VU THI QUYNH NGA toi 06 70190997777 NGUYEN THI HUYEN tai MB</t>
    </r>
  </si>
  <si>
    <r>
      <rPr>
        <sz val="8"/>
        <rFont val="Times New Roman"/>
        <family val="1"/>
      </rPr>
      <t>22/10/2025 20:15</t>
    </r>
  </si>
  <si>
    <r>
      <rPr>
        <sz val="8"/>
        <rFont val="Times New Roman"/>
        <family val="1"/>
      </rPr>
      <t>PHAM THI VAN VU XUAN TRUONG SV10X13X10 THANG 10-  Ma GD ACSP/ 28473599</t>
    </r>
  </si>
  <si>
    <r>
      <rPr>
        <sz val="8"/>
        <rFont val="Times New Roman"/>
        <family val="1"/>
      </rPr>
      <t>22/10/2025 20:09</t>
    </r>
  </si>
  <si>
    <r>
      <rPr>
        <sz val="8"/>
        <rFont val="Times New Roman"/>
        <family val="1"/>
      </rPr>
      <t>CUSTOMER Nguyen Hai Ngoc Han SV10x14x3 thang  10. TU: BUI THI HAI</t>
    </r>
  </si>
  <si>
    <r>
      <rPr>
        <sz val="8"/>
        <rFont val="Times New Roman"/>
        <family val="1"/>
      </rPr>
      <t>22/10/2025 20:08</t>
    </r>
  </si>
  <si>
    <r>
      <rPr>
        <sz val="8"/>
        <rFont val="Times New Roman"/>
        <family val="1"/>
      </rPr>
      <t>CUSTOMER Trieu Lam Uyen SV10x7x19 thang 10. TU: TRIEU VAN QUYNH</t>
    </r>
  </si>
  <si>
    <r>
      <rPr>
        <sz val="8"/>
        <rFont val="Times New Roman"/>
        <family val="1"/>
      </rPr>
      <t>22/10/2025 20:00</t>
    </r>
  </si>
  <si>
    <r>
      <rPr>
        <sz val="8"/>
        <rFont val="Times New Roman"/>
        <family val="1"/>
      </rPr>
      <t>TA THI CHI MBVCB.11417049452.764350.Nguyen Ngo c Anh SV12x9x7 thang 10.CT tu 05410 00190616 TA THI CHI toi 06701909977 77 NGUYEN THI HUYEN tai MB- Ma GD A</t>
    </r>
  </si>
  <si>
    <r>
      <rPr>
        <sz val="8"/>
        <rFont val="Times New Roman"/>
        <family val="1"/>
      </rPr>
      <t>22/10/2025 19:50</t>
    </r>
  </si>
  <si>
    <r>
      <rPr>
        <sz val="8"/>
        <rFont val="Times New Roman"/>
        <family val="1"/>
      </rPr>
      <t>CUSTOMER Nguyen Thanh Truong Giang SV11x6x23  thang 10 FT25295087084694   Ma gia o dich  Trace108757 Trace 108757</t>
    </r>
  </si>
  <si>
    <r>
      <rPr>
        <sz val="8"/>
        <rFont val="Times New Roman"/>
        <family val="1"/>
      </rPr>
      <t>22/10/2025 19:45</t>
    </r>
  </si>
  <si>
    <r>
      <rPr>
        <sz val="8"/>
        <rFont val="Times New Roman"/>
        <family val="1"/>
      </rPr>
      <t>BUI THI NGAN NGO DUY BAO SV11X7X17 THANG 10- Ma  GD ACSP/ u2265148</t>
    </r>
  </si>
  <si>
    <r>
      <rPr>
        <sz val="8"/>
        <rFont val="Times New Roman"/>
        <family val="1"/>
      </rPr>
      <t>22/10/2025 19:35</t>
    </r>
  </si>
  <si>
    <r>
      <rPr>
        <sz val="8"/>
        <rFont val="Times New Roman"/>
        <family val="1"/>
      </rPr>
      <t xml:space="preserve">NGUYEN MY LAN MBVCB.11416715938.540793.Tran Quoc
</t>
    </r>
    <r>
      <rPr>
        <sz val="8"/>
        <rFont val="Times New Roman"/>
        <family val="1"/>
      </rPr>
      <t xml:space="preserve">Khanh SV12x12x9 thang 10.CT tu 0541 000272740 NGUYEN MY LAN toi 0670190 997777 NGUYEN THI HUYEN tai MB-
</t>
    </r>
    <r>
      <rPr>
        <sz val="8"/>
        <rFont val="Times New Roman"/>
        <family val="1"/>
      </rPr>
      <t>Ma</t>
    </r>
  </si>
  <si>
    <r>
      <rPr>
        <sz val="8"/>
        <rFont val="Times New Roman"/>
        <family val="1"/>
      </rPr>
      <t>22/10/2025 19:34</t>
    </r>
  </si>
  <si>
    <r>
      <rPr>
        <sz val="8"/>
        <rFont val="Times New Roman"/>
        <family val="1"/>
      </rPr>
      <t>CUSTOMER Ha Thi Mai Phuong SV10x16x16 thang  10. TU: NGUYEN THI MAI</t>
    </r>
  </si>
  <si>
    <r>
      <rPr>
        <sz val="8"/>
        <rFont val="Times New Roman"/>
        <family val="1"/>
      </rPr>
      <t>22/10/2025 19:30</t>
    </r>
  </si>
  <si>
    <r>
      <rPr>
        <sz val="8"/>
        <rFont val="Times New Roman"/>
        <family val="1"/>
      </rPr>
      <t xml:space="preserve">NGUYEN THI HO LY MB 0670190997777 Ha Xuan Viet
</t>
    </r>
    <r>
      <rPr>
        <sz val="8"/>
        <rFont val="Times New Roman"/>
        <family val="1"/>
      </rPr>
      <t>Khanh  SV11x3x7 thang 10- Ma GD ACSP/ UN0 30946</t>
    </r>
  </si>
  <si>
    <r>
      <rPr>
        <sz val="8"/>
        <rFont val="Times New Roman"/>
        <family val="1"/>
      </rPr>
      <t>22/10/2025 19:03</t>
    </r>
  </si>
  <si>
    <r>
      <rPr>
        <sz val="8"/>
        <rFont val="Times New Roman"/>
        <family val="1"/>
      </rPr>
      <t>NGUYEN VAN CHIEN QR   Nguyen Thu Trang SV10x12x33 th ang 10- Ma GD ACSP/ ud341824</t>
    </r>
  </si>
  <si>
    <r>
      <rPr>
        <sz val="8"/>
        <rFont val="Times New Roman"/>
        <family val="1"/>
      </rPr>
      <t>22/10/2025 18:51</t>
    </r>
  </si>
  <si>
    <r>
      <rPr>
        <sz val="8"/>
        <rFont val="Times New Roman"/>
        <family val="1"/>
      </rPr>
      <t xml:space="preserve">LUONG THI XUAN NGHIEM MBVCB.11416067217.113132.
</t>
    </r>
    <r>
      <rPr>
        <sz val="8"/>
        <rFont val="Times New Roman"/>
        <family val="1"/>
      </rPr>
      <t>Ngo Quoc C uong SV10x17x6 thang 10.CT tu 10235 42529 LUONG THI XUAN NGHIEM toi 067 0190997777 NGUYEN THI HUYEN tai MB-</t>
    </r>
  </si>
  <si>
    <r>
      <rPr>
        <sz val="8"/>
        <rFont val="Times New Roman"/>
        <family val="1"/>
      </rPr>
      <t>VU THI HOA MB 0670190997777 Pham Vu Duc Anh SV 12x11x4 thang 10- Ma GD ACSP/ R7059 665</t>
    </r>
  </si>
  <si>
    <r>
      <rPr>
        <sz val="8"/>
        <rFont val="Times New Roman"/>
        <family val="1"/>
      </rPr>
      <t>22/10/2025 18:45</t>
    </r>
  </si>
  <si>
    <r>
      <rPr>
        <sz val="8"/>
        <rFont val="Times New Roman"/>
        <family val="1"/>
      </rPr>
      <t xml:space="preserve">CUSTOMER Nguyen Sy Nguyen SV10x16x15 thang 1 0 221025 18 45 01 220132   Ma giao  dich  Trace220132 Trace
</t>
    </r>
    <r>
      <rPr>
        <sz val="8"/>
        <rFont val="Times New Roman"/>
        <family val="1"/>
      </rPr>
      <t>220132</t>
    </r>
  </si>
  <si>
    <r>
      <rPr>
        <sz val="8"/>
        <rFont val="Times New Roman"/>
        <family val="1"/>
      </rPr>
      <t>22/10/2025 18:35</t>
    </r>
  </si>
  <si>
    <r>
      <rPr>
        <sz val="8"/>
        <rFont val="Times New Roman"/>
        <family val="1"/>
      </rPr>
      <t>LE THI THU HANG LE THI MAI ANH SV10X3X3 THANG 10- M a GD ACSP/ nE749173</t>
    </r>
  </si>
  <si>
    <r>
      <rPr>
        <sz val="8"/>
        <rFont val="Times New Roman"/>
        <family val="1"/>
      </rPr>
      <t>22/10/2025 18:24</t>
    </r>
  </si>
  <si>
    <r>
      <rPr>
        <sz val="8"/>
        <rFont val="Times New Roman"/>
        <family val="1"/>
      </rPr>
      <t>DAM THI NGOC ANH QR   Vu Van hai SV10x3x7 thang 10- Ma GD ACSP/ Cc198279</t>
    </r>
  </si>
  <si>
    <r>
      <rPr>
        <sz val="8"/>
        <rFont val="Times New Roman"/>
        <family val="1"/>
      </rPr>
      <t>22/10/2025 18:22</t>
    </r>
  </si>
  <si>
    <r>
      <rPr>
        <sz val="8"/>
        <rFont val="Times New Roman"/>
        <family val="1"/>
      </rPr>
      <t>DAM THI NGOC ANH QR   Vu Van Hai SV10x3x21 thang 10-  Ma GD ACSP/ Sg193495</t>
    </r>
  </si>
  <si>
    <r>
      <rPr>
        <sz val="8"/>
        <rFont val="Times New Roman"/>
        <family val="1"/>
      </rPr>
      <t>22/10/2025 18:20</t>
    </r>
  </si>
  <si>
    <r>
      <rPr>
        <sz val="8"/>
        <rFont val="Times New Roman"/>
        <family val="1"/>
      </rPr>
      <t>CUSTOMER Nguyen Thuy Duong SV10x8x8 thang 10 FT25295798936474   Ma giao dich  T race542767 Trace 542767</t>
    </r>
  </si>
  <si>
    <r>
      <rPr>
        <sz val="8"/>
        <rFont val="Times New Roman"/>
        <family val="1"/>
      </rPr>
      <t>22/10/2025 18:19</t>
    </r>
  </si>
  <si>
    <r>
      <rPr>
        <sz val="8"/>
        <rFont val="Times New Roman"/>
        <family val="1"/>
      </rPr>
      <t>CUSTOMER Nguyen Khanh Huyen SV10x7x7 thang 1 0 FT25295264585926   Ma giao dich   Trace536072 Trace 536072</t>
    </r>
  </si>
  <si>
    <r>
      <rPr>
        <sz val="8"/>
        <rFont val="Times New Roman"/>
        <family val="1"/>
      </rPr>
      <t>22/10/2025 18:18</t>
    </r>
  </si>
  <si>
    <r>
      <rPr>
        <sz val="8"/>
        <rFont val="Times New Roman"/>
        <family val="1"/>
      </rPr>
      <t xml:space="preserve">HOANG THI THU HA PHAM HOANG OANH SV 10x3x22
</t>
    </r>
    <r>
      <rPr>
        <sz val="8"/>
        <rFont val="Times New Roman"/>
        <family val="1"/>
      </rPr>
      <t>thang 10 - Ma GD ACSP/ kn175702</t>
    </r>
  </si>
  <si>
    <r>
      <rPr>
        <sz val="8"/>
        <rFont val="Times New Roman"/>
        <family val="1"/>
      </rPr>
      <t>22/10/2025 18:01</t>
    </r>
  </si>
  <si>
    <r>
      <rPr>
        <sz val="8"/>
        <rFont val="Times New Roman"/>
        <family val="1"/>
      </rPr>
      <t>CUSTOMER Vu Anh Minh SV12x12x20 thang 10. TU: VU THANH TRUNG</t>
    </r>
  </si>
  <si>
    <r>
      <rPr>
        <sz val="8"/>
        <rFont val="Times New Roman"/>
        <family val="1"/>
      </rPr>
      <t>22/10/2025 17:40</t>
    </r>
  </si>
  <si>
    <r>
      <rPr>
        <sz val="8"/>
        <rFont val="Times New Roman"/>
        <family val="1"/>
      </rPr>
      <t>DO THI TUYET MAI QR   Vuong Quoc Khanh SV10x3x9 than g 10- Ma GD ACSP/ rR923940</t>
    </r>
  </si>
  <si>
    <r>
      <rPr>
        <sz val="8"/>
        <rFont val="Times New Roman"/>
        <family val="1"/>
      </rPr>
      <t>22/10/2025 17:12</t>
    </r>
  </si>
  <si>
    <r>
      <rPr>
        <sz val="8"/>
        <rFont val="Times New Roman"/>
        <family val="1"/>
      </rPr>
      <t>CUSTOMER Nguyen Huy Hoang SV10x13x2 thang 10    Ma giao dich  Trace921535 Trace  921535</t>
    </r>
  </si>
  <si>
    <r>
      <rPr>
        <sz val="8"/>
        <rFont val="Times New Roman"/>
        <family val="1"/>
      </rPr>
      <t>22/10/2025 17:06</t>
    </r>
  </si>
  <si>
    <r>
      <rPr>
        <sz val="8"/>
        <rFont val="Times New Roman"/>
        <family val="1"/>
      </rPr>
      <t>CUSTOMER Dao Xuan Bach SV10x10x8 thang 10    Ma giao dich  Trace716624 Trace 716 624</t>
    </r>
  </si>
  <si>
    <r>
      <rPr>
        <sz val="8"/>
        <rFont val="Times New Roman"/>
        <family val="1"/>
      </rPr>
      <t>22/10/2025 16:24</t>
    </r>
  </si>
  <si>
    <r>
      <rPr>
        <sz val="8"/>
        <rFont val="Times New Roman"/>
        <family val="1"/>
      </rPr>
      <t>CUSTOMER Nguyen Quang Nguyen SV10x1x8 thang  10. TU: TRAN TUYET ANH</t>
    </r>
  </si>
  <si>
    <r>
      <rPr>
        <sz val="8"/>
        <rFont val="Times New Roman"/>
        <family val="1"/>
      </rPr>
      <t>22/10/2025 16:16</t>
    </r>
  </si>
  <si>
    <r>
      <rPr>
        <sz val="8"/>
        <rFont val="Times New Roman"/>
        <family val="1"/>
      </rPr>
      <t>CUSTOMER Dang Ngoc Nhan SV12x13x3 thang 10    Ma giao dich  Trace614414 Trace 61 4414</t>
    </r>
  </si>
  <si>
    <r>
      <rPr>
        <sz val="8"/>
        <rFont val="Times New Roman"/>
        <family val="1"/>
      </rPr>
      <t>22/10/2025 15:36</t>
    </r>
  </si>
  <si>
    <r>
      <rPr>
        <sz val="8"/>
        <rFont val="Times New Roman"/>
        <family val="1"/>
      </rPr>
      <t>CUSTOMER Nguyen Dinh Duc SV12x8x20 thang 10 FT25295956236929   Ma giao dich  Tr ace409568 Trace 409568</t>
    </r>
  </si>
  <si>
    <r>
      <rPr>
        <sz val="8"/>
        <rFont val="Times New Roman"/>
        <family val="1"/>
      </rPr>
      <t>22/10/2025 14:33</t>
    </r>
  </si>
  <si>
    <r>
      <rPr>
        <sz val="8"/>
        <rFont val="Times New Roman"/>
        <family val="1"/>
      </rPr>
      <t>CUSTOMER Do Hoang Nguyet Anh SV10x1x14 thang  10 FT25295955006906   Ma giao dich   Trace055318 Trace 055318</t>
    </r>
  </si>
  <si>
    <t>FT25295602867123</t>
  </si>
  <si>
    <t>FT25295282210067</t>
  </si>
  <si>
    <t>FT25295019857885</t>
  </si>
  <si>
    <t>FT25295152842600</t>
  </si>
  <si>
    <t>FT25295687224836</t>
  </si>
  <si>
    <t>FT25295094098407</t>
  </si>
  <si>
    <t>FT25295200033296</t>
  </si>
  <si>
    <t>FT25295447648159</t>
  </si>
  <si>
    <t>FT25295748989355</t>
  </si>
  <si>
    <t>FT25295753450008</t>
  </si>
  <si>
    <t>FT25295030117313</t>
  </si>
  <si>
    <t>FT25295595923980</t>
  </si>
  <si>
    <t>FT25295500601464</t>
  </si>
  <si>
    <t>FT25295595923980
FT25295500601464</t>
  </si>
  <si>
    <t>FT25295317012922</t>
  </si>
  <si>
    <t>FT25295328515789</t>
  </si>
  <si>
    <t>FT25295514860015</t>
  </si>
  <si>
    <t>FT25295143850030</t>
  </si>
  <si>
    <t>FT25295634000202</t>
  </si>
  <si>
    <t>FT25295972149098</t>
  </si>
  <si>
    <t>FT25295244404410</t>
  </si>
  <si>
    <t>FT25295283597300</t>
  </si>
  <si>
    <t>FT25295602869017</t>
  </si>
  <si>
    <t>FT25295195135199</t>
  </si>
  <si>
    <t>FT25295419303759</t>
  </si>
  <si>
    <t>FT25295961189150</t>
  </si>
  <si>
    <t>FT25295682275694</t>
  </si>
  <si>
    <t>FT25295100048588</t>
  </si>
  <si>
    <t>FT25295820003713</t>
  </si>
  <si>
    <t>FT25295881609578</t>
  </si>
  <si>
    <t>FT25295426948246</t>
  </si>
  <si>
    <t>FT25295913596113</t>
  </si>
  <si>
    <t>FT25295300995057</t>
  </si>
  <si>
    <t>FT25295700978763</t>
  </si>
  <si>
    <t>FT25295336944776</t>
  </si>
  <si>
    <t>FT25295003911912</t>
  </si>
  <si>
    <t>FT25295347482876</t>
  </si>
  <si>
    <t>FT25295513840601</t>
  </si>
  <si>
    <t>FT25295350583062</t>
  </si>
  <si>
    <t>FT25295035913581</t>
  </si>
  <si>
    <t>FT25295120900807</t>
  </si>
  <si>
    <t>FT25295697673581</t>
  </si>
  <si>
    <t>FT25295989218880</t>
  </si>
  <si>
    <t>FT25295261196278</t>
  </si>
  <si>
    <t>FT25295538009841</t>
  </si>
  <si>
    <t>FT25295002100125</t>
  </si>
  <si>
    <t>FT25295490398608</t>
  </si>
  <si>
    <t>FT25296278029494</t>
  </si>
  <si>
    <t>FT25296365210421</t>
  </si>
  <si>
    <t>FT25296391037207</t>
  </si>
  <si>
    <t>FT25296190830512</t>
  </si>
  <si>
    <t>thiếu 200k</t>
  </si>
  <si>
    <t>FT25296708840555</t>
  </si>
  <si>
    <t>FT25296684873451</t>
  </si>
  <si>
    <t>FT25296911193545</t>
  </si>
  <si>
    <t>FT25296604537950</t>
  </si>
  <si>
    <t>FT25296196925791</t>
  </si>
  <si>
    <t>FT25296586069373</t>
  </si>
  <si>
    <t>FT25296200532851</t>
  </si>
  <si>
    <t>FT25296064020305</t>
  </si>
  <si>
    <t>FT25296991204506</t>
  </si>
  <si>
    <t>FT25296410180800</t>
  </si>
  <si>
    <t>FT25296364002445</t>
  </si>
  <si>
    <t>FT25296302034093</t>
  </si>
  <si>
    <t>FT25296800438010</t>
  </si>
  <si>
    <t>FT25296265419103</t>
  </si>
  <si>
    <t>FT25296619350268</t>
  </si>
  <si>
    <t>FT25296000761755</t>
  </si>
  <si>
    <t>FT25296621805260</t>
  </si>
  <si>
    <t>FT25296623276402</t>
  </si>
  <si>
    <t>FT25296080807218</t>
  </si>
  <si>
    <t>FT25296798079306</t>
  </si>
  <si>
    <t>FT25296644651102</t>
  </si>
  <si>
    <t>FT25296600109038</t>
  </si>
  <si>
    <t>FT25296949431603</t>
  </si>
  <si>
    <t>thiếu 700k</t>
  </si>
  <si>
    <t>FT25296774174234</t>
  </si>
  <si>
    <t>FT25296949431603
FT25296774174234</t>
  </si>
  <si>
    <t>đóng lần 2</t>
  </si>
  <si>
    <t>FT25296580973685</t>
  </si>
  <si>
    <t>FT25296209074031</t>
  </si>
  <si>
    <t>FT25296367009294</t>
  </si>
  <si>
    <t>FT25296807040624</t>
  </si>
  <si>
    <t>FT25296187979162</t>
  </si>
  <si>
    <t>FT25296868669659</t>
  </si>
  <si>
    <t>FT25296497279512</t>
  </si>
  <si>
    <t>FT25296928369050</t>
  </si>
  <si>
    <t>FT25296567508981</t>
  </si>
  <si>
    <t>FT25296301061147</t>
  </si>
  <si>
    <t>FT25296733651011</t>
  </si>
  <si>
    <t>FT25296179030625</t>
  </si>
  <si>
    <t>FT25296419770984</t>
  </si>
  <si>
    <t>FT25296040007061</t>
  </si>
  <si>
    <t>FT25296912208734</t>
  </si>
  <si>
    <t>FT25296518244044</t>
  </si>
  <si>
    <t>FT25296954007503</t>
  </si>
  <si>
    <t>FT25296008942203</t>
  </si>
  <si>
    <t>FT25296906089763</t>
  </si>
  <si>
    <t>FT25296270338436</t>
  </si>
  <si>
    <t>FT25296544083600</t>
  </si>
  <si>
    <t>FT25296065990081</t>
  </si>
  <si>
    <t>FT25296401623213</t>
  </si>
  <si>
    <t>FT25296104983918</t>
  </si>
  <si>
    <t>FT25296070117209</t>
  </si>
  <si>
    <t>FT25296208991226</t>
  </si>
  <si>
    <t>FT25296986073542</t>
  </si>
  <si>
    <t>FT25296415045814</t>
  </si>
  <si>
    <t>FT25296986073542
FT25296415045814</t>
  </si>
  <si>
    <t>FT25296698000917</t>
  </si>
  <si>
    <t>FT25296474002780</t>
  </si>
  <si>
    <t>FT25296670400995</t>
  </si>
  <si>
    <t>FT25296551320400</t>
  </si>
  <si>
    <t>FT25296800106248</t>
  </si>
  <si>
    <t>FT25296978079547</t>
  </si>
  <si>
    <t>FT25296882675103</t>
  </si>
  <si>
    <t>FT25296169481659</t>
  </si>
  <si>
    <t>FT25296239776096</t>
  </si>
  <si>
    <t>FT25296578670144</t>
  </si>
  <si>
    <t>dư 400k</t>
  </si>
  <si>
    <t>FT25296409191588</t>
  </si>
  <si>
    <t>FT25296683163704</t>
  </si>
  <si>
    <t>FT25296840496917</t>
  </si>
  <si>
    <t>FT25296296045746</t>
  </si>
  <si>
    <t>FT25296018069006</t>
  </si>
  <si>
    <t>FT25297260309666</t>
  </si>
  <si>
    <t>FT25297614845109</t>
  </si>
  <si>
    <t>FT25297078752708</t>
  </si>
  <si>
    <t>FT25297200118727</t>
  </si>
  <si>
    <t>FT25297359195411</t>
  </si>
  <si>
    <t>FT25297321011980</t>
  </si>
  <si>
    <t>FT25297097280796</t>
  </si>
  <si>
    <t>FT25297014042099</t>
  </si>
  <si>
    <t>FT25297949506874</t>
  </si>
  <si>
    <t>FT25297091740431</t>
  </si>
  <si>
    <t>FT25297510779793</t>
  </si>
  <si>
    <t>FT25297135275393</t>
  </si>
  <si>
    <t>FT25297606888906</t>
  </si>
  <si>
    <t>FT25297102701363</t>
  </si>
  <si>
    <t>FT25297415844045</t>
  </si>
  <si>
    <t>FT25297957503751</t>
  </si>
  <si>
    <t>FT25297956011135</t>
  </si>
  <si>
    <t>FT25297500395501</t>
  </si>
  <si>
    <t>FT25297547018039</t>
  </si>
  <si>
    <t>FT25297851296921</t>
  </si>
  <si>
    <t>FT25297645010750</t>
  </si>
  <si>
    <t>FT25297063046501</t>
  </si>
  <si>
    <t>FT25297900580013</t>
  </si>
  <si>
    <t>FT25297391806990</t>
  </si>
  <si>
    <t>FT25297038173862</t>
  </si>
  <si>
    <t>FT25297048068470</t>
  </si>
  <si>
    <t>FT25297280915546</t>
  </si>
  <si>
    <t>FT25297824724266</t>
  </si>
  <si>
    <t>FT25297546951000</t>
  </si>
  <si>
    <t>FT25297514046902</t>
  </si>
  <si>
    <t>FT25297150168700</t>
  </si>
  <si>
    <t>FT25297917132441</t>
  </si>
  <si>
    <t>FT25297897404214</t>
  </si>
  <si>
    <t>FT25297884173307</t>
  </si>
  <si>
    <t>FT25297892912176</t>
  </si>
  <si>
    <t>FT25297077435088</t>
  </si>
  <si>
    <t>FT25297634109267</t>
  </si>
  <si>
    <t>FT25297630010944</t>
  </si>
  <si>
    <t>FT25297473365600</t>
  </si>
  <si>
    <t>FT25297010541256</t>
  </si>
  <si>
    <t>FT25297903097059</t>
  </si>
  <si>
    <t>28/10/2025 10:04:07</t>
  </si>
  <si>
    <t>28/10/2025</t>
  </si>
  <si>
    <t>182,548,381</t>
  </si>
  <si>
    <t>LE KIM TRINH</t>
  </si>
  <si>
    <t xml:space="preserve">Vu le bao chau sv12x6x5 thang 10 FT 25301805065643   Ma giao dich  Trac e818901 Trace 818901 </t>
  </si>
  <si>
    <t>FT25301407237925</t>
  </si>
  <si>
    <t>28/10/2025 09:14:25</t>
  </si>
  <si>
    <t>181,148,381</t>
  </si>
  <si>
    <t>LE HUY HAI</t>
  </si>
  <si>
    <t xml:space="preserve">LE DUC TRUNG SV12X6X21 THANG 10- Ma  GD ACSP/ w7125280 </t>
  </si>
  <si>
    <t>FT25301011060862</t>
  </si>
  <si>
    <t>28/10/2025 06:48:02</t>
  </si>
  <si>
    <t>179,748,381</t>
  </si>
  <si>
    <t>VND-TGTT-HOANG THI XUYEN</t>
  </si>
  <si>
    <t xml:space="preserve">Nguyen Hoang Ha An SV12x3x25 thang  10 FT25301216703890   Ma giao dich   Trace876152 Trace 876152 </t>
  </si>
  <si>
    <t>FT25301341850807</t>
  </si>
  <si>
    <t>27/10/2025 20:45:15</t>
  </si>
  <si>
    <t>177,248,381</t>
  </si>
  <si>
    <t>TRAN THI HONG THANH</t>
  </si>
  <si>
    <t xml:space="preserve">QR   Nguyen Duc Phuong SV12x3x5 tha  ng 10- Ma GD ACSP/ Ai633749 </t>
  </si>
  <si>
    <t>FT25300791430302</t>
  </si>
  <si>
    <r>
      <rPr>
        <sz val="8"/>
        <rFont val="Times New Roman"/>
        <family val="1"/>
      </rPr>
      <t>28/10/2025 16:39</t>
    </r>
  </si>
  <si>
    <r>
      <rPr>
        <sz val="8"/>
        <rFont val="Times New Roman"/>
        <family val="1"/>
      </rPr>
      <t>CUSTOMER Nguyen Hong Han SV10x9x6 thang 10 F T25301405631424   Ma giao dich  Tra ce059543 Trace 059543</t>
    </r>
  </si>
  <si>
    <r>
      <rPr>
        <sz val="8"/>
        <rFont val="Times New Roman"/>
        <family val="1"/>
      </rPr>
      <t>28/10/2025 15:56</t>
    </r>
  </si>
  <si>
    <r>
      <rPr>
        <sz val="8"/>
        <rFont val="Times New Roman"/>
        <family val="1"/>
      </rPr>
      <t xml:space="preserve">NGUYEN THI THU HA MBVCB.11489106617.015049.
</t>
    </r>
    <r>
      <rPr>
        <sz val="8"/>
        <rFont val="Times New Roman"/>
        <family val="1"/>
      </rPr>
      <t>Nguyen Tha nh Nam SV11x3x27 thang 10.CT tu 001 1004050840 NGUYEN THI THU HA toi 06 70190997777 NGUYEN THI HUYEN tai MB</t>
    </r>
  </si>
  <si>
    <r>
      <rPr>
        <sz val="8"/>
        <rFont val="Times New Roman"/>
        <family val="1"/>
      </rPr>
      <t>28/10/2025 15:26</t>
    </r>
  </si>
  <si>
    <r>
      <rPr>
        <sz val="8"/>
        <rFont val="Times New Roman"/>
        <family val="1"/>
      </rPr>
      <t>NGUYEN THI DUYEN DANG ANH THU SV10X10X16 THANG 10- M a GD ACSP/ yQ316235</t>
    </r>
  </si>
  <si>
    <r>
      <rPr>
        <sz val="8"/>
        <rFont val="Times New Roman"/>
        <family val="1"/>
      </rPr>
      <t>28/10/2025 13:07</t>
    </r>
  </si>
  <si>
    <r>
      <rPr>
        <sz val="8"/>
        <rFont val="Times New Roman"/>
        <family val="1"/>
      </rPr>
      <t>CUSTOMER Cap Minh Ngoc SV10x8x14 thang 10. TU: NGO THI HANH</t>
    </r>
  </si>
  <si>
    <r>
      <rPr>
        <sz val="8"/>
        <rFont val="Times New Roman"/>
        <family val="1"/>
      </rPr>
      <t>28/10/2025 12:25</t>
    </r>
  </si>
  <si>
    <r>
      <rPr>
        <sz val="8"/>
        <rFont val="Times New Roman"/>
        <family val="1"/>
      </rPr>
      <t xml:space="preserve">DANH BAO NGOC MBVCB.11486859066.560815.DANH
</t>
    </r>
    <r>
      <rPr>
        <sz val="8"/>
        <rFont val="Times New Roman"/>
        <family val="1"/>
      </rPr>
      <t>BAO N GOC sv12x9x16 thang 10.CT tu 104850 4105 DANH BAO NGOC toi 067019099777 7 NGUYEN THI HUYEN tai MB- Ma GD AC</t>
    </r>
  </si>
  <si>
    <r>
      <rPr>
        <sz val="8"/>
        <rFont val="Times New Roman"/>
        <family val="1"/>
      </rPr>
      <t>28/10/2025 11:00</t>
    </r>
  </si>
  <si>
    <r>
      <rPr>
        <sz val="8"/>
        <rFont val="Times New Roman"/>
        <family val="1"/>
      </rPr>
      <t xml:space="preserve">NGUYEN THI MY LIEN MBVCB.11485733687.820436.
</t>
    </r>
    <r>
      <rPr>
        <sz val="8"/>
        <rFont val="Times New Roman"/>
        <family val="1"/>
      </rPr>
      <t>Nguyen Anh  Vu SV10x8x21 thang 10.CT tu 001100 1729281 NGUYEN THI MY LIEN toi 0670 190997777 NGUYEN THI HUYEN tai MB-</t>
    </r>
  </si>
  <si>
    <r>
      <rPr>
        <sz val="8"/>
        <rFont val="Times New Roman"/>
        <family val="1"/>
      </rPr>
      <t>28/10/2025 09:13</t>
    </r>
  </si>
  <si>
    <r>
      <rPr>
        <sz val="8"/>
        <rFont val="Times New Roman"/>
        <family val="1"/>
      </rPr>
      <t>PHAN SY BON PHAN SY QUANG MINH SV11X7X16 THANG 10- Ma GD ACSP/ 0T119180</t>
    </r>
  </si>
  <si>
    <r>
      <rPr>
        <sz val="8"/>
        <rFont val="Times New Roman"/>
        <family val="1"/>
      </rPr>
      <t>28/10/2025 07:57</t>
    </r>
  </si>
  <si>
    <r>
      <rPr>
        <sz val="8"/>
        <rFont val="Times New Roman"/>
        <family val="1"/>
      </rPr>
      <t>CUSTOMER Nguyen Thien Phu SV10x2x2 thang 10 FT25301803022232   Ma giao dich  Tr ace145443 Trace 145443</t>
    </r>
  </si>
  <si>
    <r>
      <rPr>
        <sz val="8"/>
        <rFont val="Times New Roman"/>
        <family val="1"/>
      </rPr>
      <t>28/10/2025 07:37</t>
    </r>
  </si>
  <si>
    <r>
      <rPr>
        <sz val="8"/>
        <rFont val="Times New Roman"/>
        <family val="1"/>
      </rPr>
      <t>PHAN THI LANH QR   Phan Khanh Ngoc SV10x8x15 than g 10- Ma GD ACSP/ LC323571</t>
    </r>
  </si>
  <si>
    <r>
      <rPr>
        <sz val="8"/>
        <rFont val="Times New Roman"/>
        <family val="1"/>
      </rPr>
      <t>28/10/2025 07:13</t>
    </r>
  </si>
  <si>
    <r>
      <rPr>
        <sz val="8"/>
        <rFont val="Times New Roman"/>
        <family val="1"/>
      </rPr>
      <t>NGUYEN LE THUY QR   Nguyen Huy Khanh SV10x16x23 th ang 10- Ma GD ACSP/ PK272009</t>
    </r>
  </si>
  <si>
    <r>
      <rPr>
        <sz val="8"/>
        <rFont val="Times New Roman"/>
        <family val="1"/>
      </rPr>
      <t>27/10/2025 22:38</t>
    </r>
  </si>
  <si>
    <r>
      <rPr>
        <sz val="8"/>
        <rFont val="Times New Roman"/>
        <family val="1"/>
      </rPr>
      <t>CUSTOMER Tuong Ngoc Anh SV11x6x17 thang 10 F T25301429000034   Ma giao dich  Tra ce401213 Trace 401213</t>
    </r>
  </si>
  <si>
    <r>
      <rPr>
        <sz val="8"/>
        <rFont val="Times New Roman"/>
        <family val="1"/>
      </rPr>
      <t>27/10/2025 22:07</t>
    </r>
  </si>
  <si>
    <r>
      <rPr>
        <sz val="8"/>
        <rFont val="Times New Roman"/>
        <family val="1"/>
      </rPr>
      <t>CUSTOMER Le Phuong Uyen SV10x8x20 thang 10 F T25300307859010   Ma giao dich  Tra ce301021 Trace 301021</t>
    </r>
  </si>
  <si>
    <r>
      <rPr>
        <sz val="8"/>
        <rFont val="Times New Roman"/>
        <family val="1"/>
      </rPr>
      <t>27/10/2025 21:47</t>
    </r>
  </si>
  <si>
    <r>
      <rPr>
        <sz val="8"/>
        <rFont val="Times New Roman"/>
        <family val="1"/>
      </rPr>
      <t xml:space="preserve">HOANG THI VAN NGA MBVCB.11481599884.003266.
</t>
    </r>
    <r>
      <rPr>
        <sz val="8"/>
        <rFont val="Times New Roman"/>
        <family val="1"/>
      </rPr>
      <t>NGUYEN HOA NG BAO NGAN SV12.9.8  THANG 10.CT t u 0011000563611 HOANG THI VAN NGA t oi 0670190997777 NGUYEN THI HUYEN t</t>
    </r>
  </si>
  <si>
    <r>
      <rPr>
        <sz val="8"/>
        <rFont val="Times New Roman"/>
        <family val="1"/>
      </rPr>
      <t>27/10/2025 21:35</t>
    </r>
  </si>
  <si>
    <r>
      <rPr>
        <sz val="8"/>
        <rFont val="Times New Roman"/>
        <family val="1"/>
      </rPr>
      <t>NGUYEN THI HUE MAI NGUYEN THAO NGUYEN SV11X3X10 TH ANG 10- Ma GD ACSP/ 7B546734</t>
    </r>
  </si>
  <si>
    <r>
      <rPr>
        <sz val="8"/>
        <rFont val="Times New Roman"/>
        <family val="1"/>
      </rPr>
      <t>27/10/2025 21:20</t>
    </r>
  </si>
  <si>
    <r>
      <rPr>
        <sz val="8"/>
        <rFont val="Times New Roman"/>
        <family val="1"/>
      </rPr>
      <t>NGUYEN THI LAN ANH PHAM KHANH CHI SV10X12X15 THANG 10-  Ma GD ACSP/ 3q472888</t>
    </r>
  </si>
  <si>
    <r>
      <rPr>
        <sz val="8"/>
        <rFont val="Times New Roman"/>
        <family val="1"/>
      </rPr>
      <t>27/10/2025 21:01</t>
    </r>
  </si>
  <si>
    <r>
      <rPr>
        <sz val="8"/>
        <rFont val="Times New Roman"/>
        <family val="1"/>
      </rPr>
      <t>NGUYEN SY THINH NGUYEN NGOC THANH SV11X7X6 THANG 10 - Ma GD ACSP/ Sy360777</t>
    </r>
  </si>
  <si>
    <r>
      <rPr>
        <sz val="8"/>
        <rFont val="Times New Roman"/>
        <family val="1"/>
      </rPr>
      <t>27/10/2025 20:21</t>
    </r>
  </si>
  <si>
    <r>
      <rPr>
        <sz val="8"/>
        <rFont val="Times New Roman"/>
        <family val="1"/>
      </rPr>
      <t>CUSTOMER IBFT Dang Hoang Tuong SV10x9x12 tha ng 10 Ma giao dich  Trace547647 T race 547647</t>
    </r>
  </si>
  <si>
    <r>
      <rPr>
        <sz val="8"/>
        <rFont val="Times New Roman"/>
        <family val="1"/>
      </rPr>
      <t>27/10/2025 20:15</t>
    </r>
  </si>
  <si>
    <r>
      <rPr>
        <sz val="8"/>
        <rFont val="Times New Roman"/>
        <family val="1"/>
      </rPr>
      <t>CUSTOMER Vu Thanh Dat SV12x12x4 thang 10. TU: VU THANH DAT</t>
    </r>
  </si>
  <si>
    <r>
      <rPr>
        <sz val="8"/>
        <rFont val="Times New Roman"/>
        <family val="1"/>
      </rPr>
      <t>27/10/2025 19:22</t>
    </r>
  </si>
  <si>
    <r>
      <rPr>
        <sz val="8"/>
        <rFont val="Times New Roman"/>
        <family val="1"/>
      </rPr>
      <t>KIEU THI KIM THOA LUU MINH PHUONG SV10X14X11 THANG 10 - Ma GD ACSP/ yX708513</t>
    </r>
  </si>
  <si>
    <r>
      <rPr>
        <sz val="8"/>
        <rFont val="Times New Roman"/>
        <family val="1"/>
      </rPr>
      <t>27/10/2025 18:54</t>
    </r>
  </si>
  <si>
    <r>
      <rPr>
        <sz val="8"/>
        <rFont val="Times New Roman"/>
        <family val="1"/>
      </rPr>
      <t>CUSTOMER Pham Ngoc Men SV10x13x5 thang 10 FT 25300800404401   Ma giao dich  Trac e252485 Trace 252485</t>
    </r>
  </si>
  <si>
    <r>
      <rPr>
        <sz val="8"/>
        <rFont val="Times New Roman"/>
        <family val="1"/>
      </rPr>
      <t>27/10/2025 18:35</t>
    </r>
  </si>
  <si>
    <r>
      <rPr>
        <sz val="8"/>
        <rFont val="Times New Roman"/>
        <family val="1"/>
      </rPr>
      <t>CUSTOMER Nguyen Quoc Viet SV10x12x29 thang 1 0. TU: PHAM THI THUY</t>
    </r>
  </si>
  <si>
    <r>
      <rPr>
        <sz val="8"/>
        <rFont val="Times New Roman"/>
        <family val="1"/>
      </rPr>
      <t>27/10/2025 18:30</t>
    </r>
  </si>
  <si>
    <r>
      <rPr>
        <sz val="8"/>
        <rFont val="Times New Roman"/>
        <family val="1"/>
      </rPr>
      <t>CUSTOMER Nguyen Duc Nam Khanh SV11x7x10 than g 10. TU: NGUYEN THU HANG</t>
    </r>
  </si>
  <si>
    <r>
      <rPr>
        <sz val="8"/>
        <rFont val="Times New Roman"/>
        <family val="1"/>
      </rPr>
      <t>27/10/2025 18:25</t>
    </r>
  </si>
  <si>
    <r>
      <rPr>
        <sz val="8"/>
        <rFont val="Times New Roman"/>
        <family val="1"/>
      </rPr>
      <t>CUSTOMER Nguyen Khanh Chi SV10x16x5 thang 10 FT25300020061713   Ma giao dich  T race054115 Trace 054115</t>
    </r>
  </si>
  <si>
    <r>
      <rPr>
        <sz val="8"/>
        <rFont val="Times New Roman"/>
        <family val="1"/>
      </rPr>
      <t>27/10/2025 17:59</t>
    </r>
  </si>
  <si>
    <r>
      <rPr>
        <sz val="8"/>
        <rFont val="Times New Roman"/>
        <family val="1"/>
      </rPr>
      <t>CUSTOMER Doan Nhu Y SV10x8x22 thang 10. TU: HOANG LAN HUONG</t>
    </r>
  </si>
  <si>
    <r>
      <rPr>
        <sz val="8"/>
        <rFont val="Times New Roman"/>
        <family val="1"/>
      </rPr>
      <t>27/10/2025 17:30</t>
    </r>
  </si>
  <si>
    <r>
      <rPr>
        <sz val="8"/>
        <rFont val="Times New Roman"/>
        <family val="1"/>
      </rPr>
      <t>CUSTOMER Pham Yen Nhi SV12x8x16 thang 10 FT2 5300038800125   Ma giao dich  Trace 648206 Trace 648206</t>
    </r>
  </si>
  <si>
    <r>
      <rPr>
        <sz val="8"/>
        <rFont val="Times New Roman"/>
        <family val="1"/>
      </rPr>
      <t>27/10/2025 16:04</t>
    </r>
  </si>
  <si>
    <r>
      <rPr>
        <sz val="8"/>
        <rFont val="Times New Roman"/>
        <family val="1"/>
      </rPr>
      <t xml:space="preserve">LUONG THI THANH HONG QR   LUONG THI THANH
</t>
    </r>
    <r>
      <rPr>
        <sz val="8"/>
        <rFont val="Times New Roman"/>
        <family val="1"/>
      </rPr>
      <t>HONG chuyen ti en- Ma GD ACSP/ Le512606</t>
    </r>
  </si>
  <si>
    <r>
      <rPr>
        <sz val="8"/>
        <rFont val="Times New Roman"/>
        <family val="1"/>
      </rPr>
      <t>27/10/2025 15:47</t>
    </r>
  </si>
  <si>
    <r>
      <rPr>
        <sz val="8"/>
        <rFont val="Times New Roman"/>
        <family val="1"/>
      </rPr>
      <t>NGUYEN THU NGAN QR   Nguyen Thu Ngan SV11x1x12 than g 10- Ma GD ACSP/ No453541</t>
    </r>
  </si>
  <si>
    <r>
      <rPr>
        <sz val="8"/>
        <rFont val="Times New Roman"/>
        <family val="1"/>
      </rPr>
      <t>27/10/2025 15:35</t>
    </r>
  </si>
  <si>
    <r>
      <rPr>
        <sz val="8"/>
        <rFont val="Times New Roman"/>
        <family val="1"/>
      </rPr>
      <t>VU THI DIU QR   Nguyen Gia Duy SV11x3x30 thang  10- Ma GD ACSP/ aM416056</t>
    </r>
  </si>
  <si>
    <r>
      <rPr>
        <sz val="8"/>
        <rFont val="Times New Roman"/>
        <family val="1"/>
      </rPr>
      <t>27/10/2025 15:25</t>
    </r>
  </si>
  <si>
    <r>
      <rPr>
        <sz val="8"/>
        <rFont val="Times New Roman"/>
        <family val="1"/>
      </rPr>
      <t>CUSTOMER Pham Nhan Kiet SV10x1x7 thang 10 FT 25300314332007   Ma giao dich  Trac e798003 Trace 798003</t>
    </r>
  </si>
  <si>
    <r>
      <rPr>
        <sz val="8"/>
        <rFont val="Times New Roman"/>
        <family val="1"/>
      </rPr>
      <t>27/10/2025 14:37</t>
    </r>
  </si>
  <si>
    <r>
      <rPr>
        <sz val="8"/>
        <rFont val="Times New Roman"/>
        <family val="1"/>
      </rPr>
      <t>CUSTOMER Tran Bao Lam SV12x8x21 thang 10   M a giao dich  Trace415831 Trace 4158 31</t>
    </r>
  </si>
  <si>
    <r>
      <rPr>
        <sz val="8"/>
        <rFont val="Times New Roman"/>
        <family val="1"/>
      </rPr>
      <t>27/10/2025 12:52</t>
    </r>
  </si>
  <si>
    <r>
      <rPr>
        <sz val="8"/>
        <rFont val="Times New Roman"/>
        <family val="1"/>
      </rPr>
      <t xml:space="preserve">NGUYEN THI THU HOAI MBVCB.11474607647.382211.
</t>
    </r>
    <r>
      <rPr>
        <sz val="8"/>
        <rFont val="Times New Roman"/>
        <family val="1"/>
      </rPr>
      <t xml:space="preserve">nguyen ngu yen vu thai duong SV 10x5x9 thang 1 0.CT tu 0161000531669 NGUYEN THI TH U HOAI toi
</t>
    </r>
    <r>
      <rPr>
        <sz val="8"/>
        <rFont val="Times New Roman"/>
        <family val="1"/>
      </rPr>
      <t>0670190997777 NGUYEN THI</t>
    </r>
  </si>
  <si>
    <r>
      <rPr>
        <sz val="8"/>
        <rFont val="Times New Roman"/>
        <family val="1"/>
      </rPr>
      <t>27/10/2025 11:51</t>
    </r>
  </si>
  <si>
    <r>
      <rPr>
        <sz val="8"/>
        <rFont val="Times New Roman"/>
        <family val="1"/>
      </rPr>
      <t xml:space="preserve">NGUYEN THI CHUYEN MBVCB.11473818149.861377.Chu
</t>
    </r>
    <r>
      <rPr>
        <sz val="8"/>
        <rFont val="Times New Roman"/>
        <family val="1"/>
      </rPr>
      <t>Vinh H ung SV10x12x34 thang 10.CT tu 05410 00308909 NGUYEN THI CHUYEN toi 0670 190997777 NGUYEN THI HUYEN tai MB-</t>
    </r>
  </si>
  <si>
    <r>
      <rPr>
        <sz val="8"/>
        <rFont val="Times New Roman"/>
        <family val="1"/>
      </rPr>
      <t>27/10/2025 11:08</t>
    </r>
  </si>
  <si>
    <r>
      <rPr>
        <sz val="8"/>
        <rFont val="Times New Roman"/>
        <family val="1"/>
      </rPr>
      <t>HA THI THU THUY HA THI HAI YEN SV12X12X19 THANG 10-  Ma GD ACSP/ ND265846</t>
    </r>
  </si>
  <si>
    <r>
      <rPr>
        <sz val="8"/>
        <rFont val="Times New Roman"/>
        <family val="1"/>
      </rPr>
      <t>27/10/2025 11:05</t>
    </r>
  </si>
  <si>
    <r>
      <rPr>
        <sz val="8"/>
        <rFont val="Times New Roman"/>
        <family val="1"/>
      </rPr>
      <t xml:space="preserve">PHAN THI CHUC MBVCB.11473184148.440429.Nguyen Thi
</t>
    </r>
    <r>
      <rPr>
        <sz val="8"/>
        <rFont val="Times New Roman"/>
        <family val="1"/>
      </rPr>
      <t>Minh Thu SV10x16x18 thang 10.CT tu  0541000249215 PHAN THI CHUC toi 06 70190997777 NGUYEN THI HUYEN tai MB</t>
    </r>
  </si>
  <si>
    <r>
      <rPr>
        <sz val="8"/>
        <rFont val="Times New Roman"/>
        <family val="1"/>
      </rPr>
      <t>27/10/2025 10:41</t>
    </r>
  </si>
  <si>
    <r>
      <rPr>
        <sz val="8"/>
        <rFont val="Times New Roman"/>
        <family val="1"/>
      </rPr>
      <t>FT25300270218902</t>
    </r>
  </si>
  <si>
    <r>
      <rPr>
        <sz val="8"/>
        <rFont val="Times New Roman"/>
        <family val="1"/>
      </rPr>
      <t>NGUYEN THU HA DO NGOC BAO LINH SV10X16X24 THANG 1 0- Ma GD ACSP/ sl063138</t>
    </r>
  </si>
  <si>
    <r>
      <rPr>
        <sz val="8"/>
        <rFont val="Times New Roman"/>
        <family val="1"/>
      </rPr>
      <t>27/10/2025 10:26</t>
    </r>
  </si>
  <si>
    <r>
      <rPr>
        <sz val="8"/>
        <rFont val="Times New Roman"/>
        <family val="1"/>
      </rPr>
      <t>CUSTOMER bui nguyen thanh msi SV10x3x23 than g 10 FT25300004230204   Ma giao dic h  Trace088057 Trace 088057</t>
    </r>
  </si>
  <si>
    <r>
      <rPr>
        <sz val="8"/>
        <rFont val="Times New Roman"/>
        <family val="1"/>
      </rPr>
      <t>27/10/2025 09:37</t>
    </r>
  </si>
  <si>
    <r>
      <rPr>
        <sz val="8"/>
        <rFont val="Times New Roman"/>
        <family val="1"/>
      </rPr>
      <t>HA THI HUE PHAM HA PHUONG UYEN SV10X13X12 THAN G 10- Ma GD ACSP/ yy614089</t>
    </r>
  </si>
  <si>
    <r>
      <rPr>
        <sz val="8"/>
        <rFont val="Times New Roman"/>
        <family val="1"/>
      </rPr>
      <t>27/10/2025 07:51</t>
    </r>
  </si>
  <si>
    <r>
      <rPr>
        <sz val="8"/>
        <rFont val="Times New Roman"/>
        <family val="1"/>
      </rPr>
      <t>CUSTOMER Vu Mai Chi SV10x2x4 thang 10 FT2530 0014935313   Ma giao dich  Trace236 338 Trace 236338</t>
    </r>
  </si>
  <si>
    <r>
      <rPr>
        <sz val="8"/>
        <rFont val="Times New Roman"/>
        <family val="1"/>
      </rPr>
      <t>27/10/2025 06:55</t>
    </r>
  </si>
  <si>
    <r>
      <rPr>
        <sz val="8"/>
        <rFont val="Times New Roman"/>
        <family val="1"/>
      </rPr>
      <t>CUSTOMER Nguyen Thao Chi SV10x8x6 thang 10 F T25300010353400   Ma giao dich  Tra ce017370 Trace 017370</t>
    </r>
  </si>
  <si>
    <r>
      <rPr>
        <sz val="8"/>
        <rFont val="Times New Roman"/>
        <family val="1"/>
      </rPr>
      <t>27/10/2025 06:35</t>
    </r>
  </si>
  <si>
    <r>
      <rPr>
        <sz val="8"/>
        <rFont val="Times New Roman"/>
        <family val="1"/>
      </rPr>
      <t>CUSTOMER VU VAN CANH chuyen tien tt cua con  vu nguyen van quan 10A16 FT25300007 470026   Ma giao dich Trace967230  Trace 967230</t>
    </r>
  </si>
  <si>
    <r>
      <rPr>
        <sz val="8"/>
        <rFont val="Times New Roman"/>
        <family val="1"/>
      </rPr>
      <t>26/10/2025 23:18</t>
    </r>
  </si>
  <si>
    <r>
      <rPr>
        <sz val="8"/>
        <rFont val="Times New Roman"/>
        <family val="1"/>
      </rPr>
      <t>CUSTOMER Tran Quang Hung SV11x2x6 thang 10 F T25300709778906   Ma giao dich  Tra ce664714 Trace 664714</t>
    </r>
  </si>
  <si>
    <r>
      <rPr>
        <sz val="8"/>
        <rFont val="Times New Roman"/>
        <family val="1"/>
      </rPr>
      <t>26/10/2025 22:10</t>
    </r>
  </si>
  <si>
    <r>
      <rPr>
        <sz val="8"/>
        <rFont val="Times New Roman"/>
        <family val="1"/>
      </rPr>
      <t>NGUYEN THANH SON NGUYEN MINH PHUC SV11X2X12 THANG 10 - Ma GD ACSP/ be970991</t>
    </r>
  </si>
  <si>
    <r>
      <rPr>
        <sz val="8"/>
        <rFont val="Times New Roman"/>
        <family val="1"/>
      </rPr>
      <t>26/10/2025 22:08</t>
    </r>
  </si>
  <si>
    <r>
      <rPr>
        <sz val="8"/>
        <rFont val="Times New Roman"/>
        <family val="1"/>
      </rPr>
      <t>CUSTOMER Pham Khanh Tram SV11x11x9 thang 10. TU: PHAM ANH TUAN#PHAM ANH TUAN</t>
    </r>
  </si>
  <si>
    <r>
      <rPr>
        <sz val="8"/>
        <rFont val="Times New Roman"/>
        <family val="1"/>
      </rPr>
      <t>26/10/2025 22:06</t>
    </r>
  </si>
  <si>
    <r>
      <rPr>
        <sz val="8"/>
        <rFont val="Times New Roman"/>
        <family val="1"/>
      </rPr>
      <t>LUU THI HANG QR   Ho Luu Hoai An SV12x4x8 thang 10- Ma GD ACSP/ Tb437811</t>
    </r>
  </si>
  <si>
    <r>
      <rPr>
        <sz val="8"/>
        <rFont val="Times New Roman"/>
        <family val="1"/>
      </rPr>
      <t>26/10/2025 21:06</t>
    </r>
  </si>
  <si>
    <r>
      <rPr>
        <sz val="8"/>
        <rFont val="Times New Roman"/>
        <family val="1"/>
      </rPr>
      <t>CUSTOMER Pham Xuan Tra SV10x2x25 thang 10    Ma giao dich  Trace965269 Trace 965 269</t>
    </r>
  </si>
  <si>
    <r>
      <rPr>
        <sz val="8"/>
        <rFont val="Times New Roman"/>
        <family val="1"/>
      </rPr>
      <t>26/10/2025 20:01</t>
    </r>
  </si>
  <si>
    <r>
      <rPr>
        <sz val="8"/>
        <rFont val="Times New Roman"/>
        <family val="1"/>
      </rPr>
      <t>CUSTOMER Nguyen Phuong Linh SV12x16x18 thang  10. TU: NGUYEN PHUONG LINH</t>
    </r>
  </si>
  <si>
    <r>
      <rPr>
        <sz val="8"/>
        <rFont val="Times New Roman"/>
        <family val="1"/>
      </rPr>
      <t>26/10/2025 19:54</t>
    </r>
  </si>
  <si>
    <r>
      <rPr>
        <sz val="8"/>
        <rFont val="Times New Roman"/>
        <family val="1"/>
      </rPr>
      <t xml:space="preserve">BUI THI NHIEM Qadhex8475  APPMB1 1  MBVCB.1146753
</t>
    </r>
    <r>
      <rPr>
        <sz val="8"/>
        <rFont val="Times New Roman"/>
        <family val="1"/>
      </rPr>
      <t>8760.648715.vu van chan 12a2 nt t10 .CT tu 0541001465427 BUI THI NHIEM toi VQRQADHEX8475 NGUYEN THI HUYEN</t>
    </r>
  </si>
  <si>
    <r>
      <rPr>
        <sz val="8"/>
        <rFont val="Times New Roman"/>
        <family val="1"/>
      </rPr>
      <t>26/10/2025 19:43</t>
    </r>
  </si>
  <si>
    <r>
      <rPr>
        <sz val="8"/>
        <rFont val="Times New Roman"/>
        <family val="1"/>
      </rPr>
      <t>LE THI BICH NGOC BUI GIA HUY SV11X8X6 THANG 10- Ma G D ACSP/ Dp122371</t>
    </r>
  </si>
  <si>
    <r>
      <rPr>
        <sz val="8"/>
        <rFont val="Times New Roman"/>
        <family val="1"/>
      </rPr>
      <t>26/10/2025 19:30</t>
    </r>
  </si>
  <si>
    <r>
      <rPr>
        <sz val="8"/>
        <rFont val="Times New Roman"/>
        <family val="1"/>
      </rPr>
      <t xml:space="preserve">NGUYEN VAN THUONG MB 0670190997777 Nguyen
</t>
    </r>
    <r>
      <rPr>
        <sz val="8"/>
        <rFont val="Times New Roman"/>
        <family val="1"/>
      </rPr>
      <t>Phuong Chi SV10x2x1 thang 10- Ma GD ACSP/ WF00 8121</t>
    </r>
  </si>
  <si>
    <r>
      <rPr>
        <sz val="8"/>
        <rFont val="Times New Roman"/>
        <family val="1"/>
      </rPr>
      <t>26/10/2025 19:18</t>
    </r>
  </si>
  <si>
    <r>
      <rPr>
        <sz val="8"/>
        <rFont val="Times New Roman"/>
        <family val="1"/>
      </rPr>
      <t>CUSTOMER Ngo Tien Quyet SV12x9x4 thang 10. TU: NGO THI AI VAN#NGO THI AI VAN</t>
    </r>
  </si>
  <si>
    <r>
      <rPr>
        <sz val="8"/>
        <rFont val="Times New Roman"/>
        <family val="1"/>
      </rPr>
      <t>NGUYEN THI KIM THANH NGO VAN ANH SV12X16X4 THANG 10- Ma GD ACSP/ QT941244</t>
    </r>
  </si>
  <si>
    <r>
      <rPr>
        <sz val="8"/>
        <rFont val="Times New Roman"/>
        <family val="1"/>
      </rPr>
      <t>26/10/2025 18:59</t>
    </r>
  </si>
  <si>
    <r>
      <rPr>
        <sz val="8"/>
        <rFont val="Times New Roman"/>
        <family val="1"/>
      </rPr>
      <t>CUSTOMER Dao Yen Chi SV11x8x4 thang 10 FT253 00610646969   Ma giao dich  Trace46 7557 Trace 467557</t>
    </r>
  </si>
  <si>
    <r>
      <rPr>
        <sz val="8"/>
        <rFont val="Times New Roman"/>
        <family val="1"/>
      </rPr>
      <t>26/10/2025 17:09</t>
    </r>
  </si>
  <si>
    <r>
      <rPr>
        <sz val="8"/>
        <rFont val="Times New Roman"/>
        <family val="1"/>
      </rPr>
      <t>CUSTOMER Le An Duong SV10x2x19 thang 10 FT25 300178105408   Ma giao dich  Trace7 16529 Trace 716529</t>
    </r>
  </si>
  <si>
    <r>
      <rPr>
        <sz val="8"/>
        <rFont val="Times New Roman"/>
        <family val="1"/>
      </rPr>
      <t>26/10/2025 17:08</t>
    </r>
  </si>
  <si>
    <r>
      <rPr>
        <sz val="8"/>
        <rFont val="Times New Roman"/>
        <family val="1"/>
      </rPr>
      <t>CAO THI HIEN LUONG TRINH HA PHUONG SV10X12X26 THANG 10 - Ma GD ACSP/ bY871720</t>
    </r>
  </si>
  <si>
    <r>
      <rPr>
        <sz val="8"/>
        <rFont val="Times New Roman"/>
        <family val="1"/>
      </rPr>
      <t>26/10/2025 16:54</t>
    </r>
  </si>
  <si>
    <r>
      <rPr>
        <sz val="8"/>
        <rFont val="Times New Roman"/>
        <family val="1"/>
      </rPr>
      <t>CUSTOMER Trinh Quynh Chi SV12x16x17 thang 10 FT25300840200083   Ma giao dich  T race607217 Trace 607217</t>
    </r>
  </si>
  <si>
    <r>
      <rPr>
        <sz val="8"/>
        <rFont val="Times New Roman"/>
        <family val="1"/>
      </rPr>
      <t>26/10/2025 14:51</t>
    </r>
  </si>
  <si>
    <r>
      <rPr>
        <sz val="8"/>
        <rFont val="Times New Roman"/>
        <family val="1"/>
      </rPr>
      <t>NGUYEN THU HA NGUYEN DUC TRUONG SV12X11X10 THANG  10- Ma GD ACSP/ EA858706</t>
    </r>
  </si>
  <si>
    <r>
      <rPr>
        <sz val="8"/>
        <rFont val="Times New Roman"/>
        <family val="1"/>
      </rPr>
      <t>26/10/2025 13:20</t>
    </r>
  </si>
  <si>
    <r>
      <rPr>
        <sz val="8"/>
        <rFont val="Times New Roman"/>
        <family val="1"/>
      </rPr>
      <t>CUSTOMER Van Duc Khanh SV11x8x8 thang 10. TU: TRAN THI HA</t>
    </r>
  </si>
  <si>
    <r>
      <rPr>
        <sz val="8"/>
        <rFont val="Times New Roman"/>
        <family val="1"/>
      </rPr>
      <t>26/10/2025 11:48</t>
    </r>
  </si>
  <si>
    <r>
      <rPr>
        <sz val="8"/>
        <rFont val="Times New Roman"/>
        <family val="1"/>
      </rPr>
      <t>HOANG XUAN DIEU TRAN DIEU MY SV10X13X7 THANG 10- Ma  GD ACSP/ KY888218</t>
    </r>
  </si>
  <si>
    <r>
      <rPr>
        <sz val="8"/>
        <rFont val="Times New Roman"/>
        <family val="1"/>
      </rPr>
      <t>26/10/2025 11:44</t>
    </r>
  </si>
  <si>
    <r>
      <rPr>
        <sz val="8"/>
        <rFont val="Times New Roman"/>
        <family val="1"/>
      </rPr>
      <t>LE THI THU NET DAO THU AN SV10X12X1 THANG 10- Ma G D ACSP/ Pi862686</t>
    </r>
  </si>
  <si>
    <r>
      <rPr>
        <sz val="8"/>
        <rFont val="Times New Roman"/>
        <family val="1"/>
      </rPr>
      <t>26/10/2025 11:40</t>
    </r>
  </si>
  <si>
    <r>
      <rPr>
        <sz val="8"/>
        <rFont val="Times New Roman"/>
        <family val="1"/>
      </rPr>
      <t xml:space="preserve">NGUYEN THI HONG LUONG MB 0670190997777 Duong
</t>
    </r>
    <r>
      <rPr>
        <sz val="8"/>
        <rFont val="Times New Roman"/>
        <family val="1"/>
      </rPr>
      <t>Xuan Trang S V10x13x9 thang 10- Ma GD ACSP/ 3707 1912</t>
    </r>
  </si>
  <si>
    <r>
      <rPr>
        <sz val="8"/>
        <rFont val="Times New Roman"/>
        <family val="1"/>
      </rPr>
      <t>26/10/2025 11:39</t>
    </r>
  </si>
  <si>
    <r>
      <rPr>
        <sz val="8"/>
        <rFont val="Times New Roman"/>
        <family val="1"/>
      </rPr>
      <t>NGUYEN THI HUONG QR   Nguyen Thanh Tung SV10x13x11 t hang 10- Ma GD ACSP/ k6330165</t>
    </r>
  </si>
  <si>
    <r>
      <rPr>
        <sz val="8"/>
        <rFont val="Times New Roman"/>
        <family val="1"/>
      </rPr>
      <t>26/10/2025 09:35</t>
    </r>
  </si>
  <si>
    <r>
      <rPr>
        <sz val="8"/>
        <rFont val="Times New Roman"/>
        <family val="1"/>
      </rPr>
      <t xml:space="preserve">NGUYEN THI THU TRA MBVCB.11459402151.151029.
</t>
    </r>
    <r>
      <rPr>
        <sz val="8"/>
        <rFont val="Times New Roman"/>
        <family val="1"/>
      </rPr>
      <t>Duong Cong  Chi Bao SV10x2x13 thang 10.CT tu 0 011000563318 NGUYEN THI THU TRA toi  0670190997777 NGUYEN THI HUYEN tai</t>
    </r>
  </si>
  <si>
    <r>
      <rPr>
        <sz val="8"/>
        <rFont val="Times New Roman"/>
        <family val="1"/>
      </rPr>
      <t>26/10/2025 08:31</t>
    </r>
  </si>
  <si>
    <r>
      <rPr>
        <sz val="8"/>
        <rFont val="Times New Roman"/>
        <family val="1"/>
      </rPr>
      <t>MB Nguyen Ngoc Mai SV11x7x2 thang 10</t>
    </r>
  </si>
  <si>
    <r>
      <rPr>
        <sz val="8"/>
        <rFont val="Times New Roman"/>
        <family val="1"/>
      </rPr>
      <t>26/10/2025 08:20</t>
    </r>
  </si>
  <si>
    <r>
      <rPr>
        <sz val="8"/>
        <rFont val="Times New Roman"/>
        <family val="1"/>
      </rPr>
      <t>LE MANH HUNG LE BAO TRAN SV10X12X28 THANG 10- Ma  GD ACSP/ 6D390718</t>
    </r>
  </si>
  <si>
    <r>
      <rPr>
        <sz val="8"/>
        <rFont val="Times New Roman"/>
        <family val="1"/>
      </rPr>
      <t>26/10/2025 08:01</t>
    </r>
  </si>
  <si>
    <r>
      <rPr>
        <sz val="8"/>
        <rFont val="Times New Roman"/>
        <family val="1"/>
      </rPr>
      <t xml:space="preserve">NGUYEN THE MANH MBVCB.11458271841.353132.Nguyen
</t>
    </r>
    <r>
      <rPr>
        <sz val="8"/>
        <rFont val="Times New Roman"/>
        <family val="1"/>
      </rPr>
      <t>Phu ong Chi SV10x1x25 thang 10.CT tu 06 91000326629 NGUYEN THE MANH toi 067 0190997777 NGUYEN THI HUYEN tai MB-</t>
    </r>
  </si>
  <si>
    <r>
      <rPr>
        <sz val="8"/>
        <rFont val="Times New Roman"/>
        <family val="1"/>
      </rPr>
      <t>26/10/2025 06:39</t>
    </r>
  </si>
  <si>
    <r>
      <rPr>
        <sz val="8"/>
        <rFont val="Times New Roman"/>
        <family val="1"/>
      </rPr>
      <t>CUSTOMER Luong Ngoc Vy SV11x2x21 thang 10. TU: VU HOANG ANH</t>
    </r>
  </si>
  <si>
    <r>
      <rPr>
        <sz val="8"/>
        <rFont val="Times New Roman"/>
        <family val="1"/>
      </rPr>
      <t>25/10/2025 22:13</t>
    </r>
  </si>
  <si>
    <r>
      <rPr>
        <sz val="8"/>
        <rFont val="Times New Roman"/>
        <family val="1"/>
      </rPr>
      <t xml:space="preserve">HOANG MY LE MBVCB.11456430419.069539.Tran Diem
</t>
    </r>
    <r>
      <rPr>
        <sz val="8"/>
        <rFont val="Times New Roman"/>
        <family val="1"/>
      </rPr>
      <t>Quynh SV10x7x18 thang 10.CT tu 0611 001998849 HOANG MY LE toi 067019099 7777 NGUYEN THI HUYEN tai MB- Ma GD</t>
    </r>
  </si>
  <si>
    <r>
      <rPr>
        <sz val="8"/>
        <rFont val="Times New Roman"/>
        <family val="1"/>
      </rPr>
      <t>25/10/2025 22:08</t>
    </r>
  </si>
  <si>
    <r>
      <rPr>
        <sz val="8"/>
        <rFont val="Times New Roman"/>
        <family val="1"/>
      </rPr>
      <t>CUSTOMER Nguyen Phuong Thao SV12x16x3 thang  10. TU: TRAN THI NHAI</t>
    </r>
  </si>
  <si>
    <r>
      <rPr>
        <sz val="8"/>
        <rFont val="Times New Roman"/>
        <family val="1"/>
      </rPr>
      <t>25/10/2025 21:50</t>
    </r>
  </si>
  <si>
    <r>
      <rPr>
        <sz val="8"/>
        <rFont val="Times New Roman"/>
        <family val="1"/>
      </rPr>
      <t>CUSTOMER Nguyen Ngoc Bao Chau SV10x2x3 thang  10 FT25300309552405   Ma giao dich   Trace891375 Trace 891375</t>
    </r>
  </si>
  <si>
    <r>
      <rPr>
        <sz val="8"/>
        <rFont val="Times New Roman"/>
        <family val="1"/>
      </rPr>
      <t>25/10/2025 21:45</t>
    </r>
  </si>
  <si>
    <r>
      <rPr>
        <sz val="8"/>
        <rFont val="Times New Roman"/>
        <family val="1"/>
      </rPr>
      <t xml:space="preserve">NGO THI THANH HUONG MBVCB.11456171372.901187.
</t>
    </r>
    <r>
      <rPr>
        <sz val="8"/>
        <rFont val="Times New Roman"/>
        <family val="1"/>
      </rPr>
      <t>Truong Ngo c Vy SV11x2x11 thang 10.CT tu 00210 01265223 NGO THI THANH HUONG toi 06 70190997777 NGUYEN THI HUYEN tai MB</t>
    </r>
  </si>
  <si>
    <r>
      <rPr>
        <sz val="8"/>
        <rFont val="Times New Roman"/>
        <family val="1"/>
      </rPr>
      <t>25/10/2025 21:40</t>
    </r>
  </si>
  <si>
    <r>
      <rPr>
        <sz val="8"/>
        <rFont val="Times New Roman"/>
        <family val="1"/>
      </rPr>
      <t>BUI THI THU HIEN NGUYEN HA THU SV12X9X14 THANG 10- M a GD ACSP/ Sy109786</t>
    </r>
  </si>
  <si>
    <r>
      <rPr>
        <sz val="8"/>
        <rFont val="Times New Roman"/>
        <family val="1"/>
      </rPr>
      <t>25/10/2025 21:15</t>
    </r>
  </si>
  <si>
    <r>
      <rPr>
        <sz val="8"/>
        <rFont val="Times New Roman"/>
        <family val="1"/>
      </rPr>
      <t>CUSTOMER Bui Duy Thinh SV12x9x6 thang 10 FT2 5300891090119   Ma giao dich  Trace 724657 Trace 724657</t>
    </r>
  </si>
  <si>
    <r>
      <rPr>
        <sz val="8"/>
        <rFont val="Times New Roman"/>
        <family val="1"/>
      </rPr>
      <t>25/10/2025 21:05</t>
    </r>
  </si>
  <si>
    <r>
      <rPr>
        <sz val="8"/>
        <rFont val="Times New Roman"/>
        <family val="1"/>
      </rPr>
      <t>CUSTOMER Doan Minh Quan SV10x12x11 thang 10 FT25300106728237   Ma giao dich  Tr ace676701 Trace 676701</t>
    </r>
  </si>
  <si>
    <r>
      <rPr>
        <sz val="8"/>
        <rFont val="Times New Roman"/>
        <family val="1"/>
      </rPr>
      <t>25/10/2025 20:52</t>
    </r>
  </si>
  <si>
    <r>
      <rPr>
        <sz val="8"/>
        <rFont val="Times New Roman"/>
        <family val="1"/>
      </rPr>
      <t>CUSTOMER Tran Duy Hung SV10x2x6 thang 10   M a giao dich  Trace249817 Trace 2498 17</t>
    </r>
  </si>
  <si>
    <r>
      <rPr>
        <sz val="8"/>
        <rFont val="Times New Roman"/>
        <family val="1"/>
      </rPr>
      <t>25/10/2025 20:36</t>
    </r>
  </si>
  <si>
    <r>
      <rPr>
        <sz val="8"/>
        <rFont val="Times New Roman"/>
        <family val="1"/>
      </rPr>
      <t>CUSTOMER Nguyen hoang thuy duong 10a2 thach  ban dong hoc phi thang 10 FT2530034 7490608   Ma giao dich Trace516978  Trace 516978</t>
    </r>
  </si>
  <si>
    <r>
      <rPr>
        <sz val="8"/>
        <rFont val="Times New Roman"/>
        <family val="1"/>
      </rPr>
      <t>25/10/2025 20:35</t>
    </r>
  </si>
  <si>
    <r>
      <rPr>
        <sz val="8"/>
        <rFont val="Times New Roman"/>
        <family val="1"/>
      </rPr>
      <t xml:space="preserve">NGUYEN THI CHINH MBVCB.11455383732.359876.Hoang
</t>
    </r>
    <r>
      <rPr>
        <sz val="8"/>
        <rFont val="Times New Roman"/>
        <family val="1"/>
      </rPr>
      <t xml:space="preserve">Nguy en Gia Long SV12x9x3 thang 10.CT tu  0541000323017 NGUYEN THI CHINH toi  0670190997777 NGUYEN THI
</t>
    </r>
    <r>
      <rPr>
        <sz val="8"/>
        <rFont val="Times New Roman"/>
        <family val="1"/>
      </rPr>
      <t>HUYEN tai</t>
    </r>
  </si>
  <si>
    <r>
      <rPr>
        <sz val="8"/>
        <rFont val="Times New Roman"/>
        <family val="1"/>
      </rPr>
      <t>25/10/2025 19:54</t>
    </r>
  </si>
  <si>
    <r>
      <rPr>
        <sz val="8"/>
        <rFont val="Times New Roman"/>
        <family val="1"/>
      </rPr>
      <t>25/10/2025 19:47</t>
    </r>
  </si>
  <si>
    <r>
      <rPr>
        <sz val="8"/>
        <rFont val="Times New Roman"/>
        <family val="1"/>
      </rPr>
      <t>HOANG THI TUYET NGUYEN TIEN KHANG SV11X8X1 THANG 10 - Ma GD ACSP/ 1J398867</t>
    </r>
  </si>
  <si>
    <r>
      <rPr>
        <sz val="8"/>
        <rFont val="Times New Roman"/>
        <family val="1"/>
      </rPr>
      <t>25/10/2025 19:02</t>
    </r>
  </si>
  <si>
    <r>
      <rPr>
        <sz val="8"/>
        <rFont val="Times New Roman"/>
        <family val="1"/>
      </rPr>
      <t xml:space="preserve">NGUYEN THI THIN MBVCB.11454063685.493758.Vu Thu
</t>
    </r>
    <r>
      <rPr>
        <sz val="8"/>
        <rFont val="Times New Roman"/>
        <family val="1"/>
      </rPr>
      <t>Xua n SV12x11x11 thang 10.CT tu 1041332 079 NGUYEN THI THIN toi 06701909977 77 NGUYEN THI HUYEN tai MB- Ma GD A</t>
    </r>
  </si>
  <si>
    <r>
      <rPr>
        <sz val="8"/>
        <rFont val="Times New Roman"/>
        <family val="1"/>
      </rPr>
      <t>25/10/2025 18:00</t>
    </r>
  </si>
  <si>
    <r>
      <rPr>
        <sz val="8"/>
        <rFont val="Times New Roman"/>
        <family val="1"/>
      </rPr>
      <t>CUSTOMER Le Minh Khoa An SV10x2x16 thang 10    Ma giao dich  Trace252803 Trace 2 52803</t>
    </r>
  </si>
  <si>
    <r>
      <rPr>
        <sz val="8"/>
        <rFont val="Times New Roman"/>
        <family val="1"/>
      </rPr>
      <t>25/10/2025 17:59</t>
    </r>
  </si>
  <si>
    <r>
      <rPr>
        <sz val="8"/>
        <rFont val="Times New Roman"/>
        <family val="1"/>
      </rPr>
      <t>CUSTOMER Tong Minh Phuong SV12x11x31 thang 1 0   Ma giao dich  Trace967982 Trace  967982</t>
    </r>
  </si>
  <si>
    <r>
      <rPr>
        <sz val="8"/>
        <rFont val="Times New Roman"/>
        <family val="1"/>
      </rPr>
      <t>25/10/2025 17:54</t>
    </r>
  </si>
  <si>
    <r>
      <rPr>
        <sz val="8"/>
        <rFont val="Times New Roman"/>
        <family val="1"/>
      </rPr>
      <t xml:space="preserve">TRUONG THI THU HUONG MBVCB.11453018694.797607.
</t>
    </r>
    <r>
      <rPr>
        <sz val="8"/>
        <rFont val="Times New Roman"/>
        <family val="1"/>
      </rPr>
      <t>Nguyen Duc  Bao SV10x10x9 thang 10.CT tu 10148 30812 TRUONG THI THU HUONG toi 0670 190997777 NGUYEN THI HUYEN tai MB-</t>
    </r>
  </si>
  <si>
    <r>
      <rPr>
        <sz val="8"/>
        <rFont val="Times New Roman"/>
        <family val="1"/>
      </rPr>
      <t>25/10/2025 17:46</t>
    </r>
  </si>
  <si>
    <r>
      <rPr>
        <sz val="8"/>
        <rFont val="Times New Roman"/>
        <family val="1"/>
      </rPr>
      <t xml:space="preserve">HOANG THU QUYNH MBVCB.11452878114.705183.Luu
</t>
    </r>
    <r>
      <rPr>
        <sz val="8"/>
        <rFont val="Times New Roman"/>
        <family val="1"/>
      </rPr>
      <t>Gia Kh anh SV11x8x7 thang 10.CT tu 0011000 564231 HOANG THU QUYNH toi 06701909 97777 NGUYEN THI HUYEN tai MB- Ma G</t>
    </r>
  </si>
  <si>
    <r>
      <rPr>
        <sz val="8"/>
        <rFont val="Times New Roman"/>
        <family val="1"/>
      </rPr>
      <t>25/10/2025 17:28</t>
    </r>
  </si>
  <si>
    <r>
      <rPr>
        <sz val="8"/>
        <rFont val="Times New Roman"/>
        <family val="1"/>
      </rPr>
      <t xml:space="preserve">CUSTOMER Vu Thi Mai Lan SV10x8x11 thang 10 2 51025 17
</t>
    </r>
    <r>
      <rPr>
        <sz val="8"/>
        <rFont val="Times New Roman"/>
        <family val="1"/>
      </rPr>
      <t>28 07 326233   Ma giao dic h  Trace326233 Trace 326233</t>
    </r>
  </si>
  <si>
    <r>
      <rPr>
        <sz val="8"/>
        <rFont val="Times New Roman"/>
        <family val="1"/>
      </rPr>
      <t>25/10/2025 17:18</t>
    </r>
  </si>
  <si>
    <r>
      <rPr>
        <sz val="8"/>
        <rFont val="Times New Roman"/>
        <family val="1"/>
      </rPr>
      <t>PHUNG THI PHU QR   Nguyen Thanh Trung SV12x11x9 t hang 10- Ma GD ACSP/ aU908535</t>
    </r>
  </si>
  <si>
    <r>
      <rPr>
        <sz val="8"/>
        <rFont val="Times New Roman"/>
        <family val="1"/>
      </rPr>
      <t>25/10/2025 16:06</t>
    </r>
  </si>
  <si>
    <r>
      <rPr>
        <sz val="8"/>
        <rFont val="Times New Roman"/>
        <family val="1"/>
      </rPr>
      <t xml:space="preserve">NGUYEN DUC THINH MBVCB.11451302498.644777.
</t>
    </r>
    <r>
      <rPr>
        <sz val="8"/>
        <rFont val="Times New Roman"/>
        <family val="1"/>
      </rPr>
      <t>Nguyen Hoa ng Phuc SV12x11x6 thang 10.CT tu 03 51000987237 NGUYEN DUC THINH toi 06 70190997777 NGUYEN THI HUYEN tai MB</t>
    </r>
  </si>
  <si>
    <r>
      <rPr>
        <sz val="8"/>
        <rFont val="Times New Roman"/>
        <family val="1"/>
      </rPr>
      <t>25/10/2025 15:07</t>
    </r>
  </si>
  <si>
    <r>
      <rPr>
        <sz val="8"/>
        <rFont val="Times New Roman"/>
        <family val="1"/>
      </rPr>
      <t>LE VAN HUYEN Le Duc Anh SV12x12x22 thang 10- Ma  GD ACSP/ 4K448143</t>
    </r>
  </si>
  <si>
    <r>
      <rPr>
        <sz val="8"/>
        <rFont val="Times New Roman"/>
        <family val="1"/>
      </rPr>
      <t>25/10/2025 12:35</t>
    </r>
  </si>
  <si>
    <r>
      <rPr>
        <sz val="8"/>
        <rFont val="Times New Roman"/>
        <family val="1"/>
      </rPr>
      <t>DINH QUOC CUONG DINH HOAI AN SV10X12X13 THANG 10- M a GD ACSP/ cZ427159</t>
    </r>
  </si>
  <si>
    <r>
      <rPr>
        <sz val="8"/>
        <rFont val="Times New Roman"/>
        <family val="1"/>
      </rPr>
      <t>25/10/2025 12:00</t>
    </r>
  </si>
  <si>
    <r>
      <rPr>
        <sz val="8"/>
        <rFont val="Times New Roman"/>
        <family val="1"/>
      </rPr>
      <t>CUSTOMER Nguyen Thi Thu Hien SV11x4x2 thang  10. TU: PHAM THI HIEP</t>
    </r>
  </si>
  <si>
    <r>
      <rPr>
        <sz val="8"/>
        <rFont val="Times New Roman"/>
        <family val="1"/>
      </rPr>
      <t>25/10/2025 11:23</t>
    </r>
  </si>
  <si>
    <r>
      <rPr>
        <sz val="8"/>
        <rFont val="Times New Roman"/>
        <family val="1"/>
      </rPr>
      <t xml:space="preserve">BUI NGUYEN HOAN KIEM MBVCB.11447976545.451057.
</t>
    </r>
    <r>
      <rPr>
        <sz val="8"/>
        <rFont val="Times New Roman"/>
        <family val="1"/>
      </rPr>
      <t>Nguyen Tie n Dung SV11x6x19 thang 10.CT tu 045 1000376090 BUI NGUYEN HOAN KIEM toi  0670190997777 NGUYEN THI HUYEN tai</t>
    </r>
  </si>
  <si>
    <r>
      <rPr>
        <sz val="8"/>
        <rFont val="Times New Roman"/>
        <family val="1"/>
      </rPr>
      <t>25/10/2025 11:17</t>
    </r>
  </si>
  <si>
    <r>
      <rPr>
        <sz val="8"/>
        <rFont val="Times New Roman"/>
        <family val="1"/>
      </rPr>
      <t>CUSTOMER Hoang Khanh Linh Anh SV11x2x2 thang  10 FT25298845078250   Ma giao dich   Trace123695 Trace 123695</t>
    </r>
  </si>
  <si>
    <r>
      <rPr>
        <sz val="8"/>
        <rFont val="Times New Roman"/>
        <family val="1"/>
      </rPr>
      <t>25/10/2025 10:59</t>
    </r>
  </si>
  <si>
    <r>
      <rPr>
        <sz val="8"/>
        <rFont val="Times New Roman"/>
        <family val="1"/>
      </rPr>
      <t xml:space="preserve">LE DO QUYEN MBVCB.11447637754.231394.Le Huy Son
</t>
    </r>
    <r>
      <rPr>
        <sz val="8"/>
        <rFont val="Times New Roman"/>
        <family val="1"/>
      </rPr>
      <t>SV11.3.13 thang 10.CT tu 001100047 0643 LE DO QUYEN toi 0670190997777 NGUYEN THI HUYEN tai MB- Ma GD ACSP</t>
    </r>
  </si>
  <si>
    <r>
      <rPr>
        <sz val="8"/>
        <rFont val="Times New Roman"/>
        <family val="1"/>
      </rPr>
      <t>25/10/2025 08:55</t>
    </r>
  </si>
  <si>
    <r>
      <rPr>
        <sz val="8"/>
        <rFont val="Times New Roman"/>
        <family val="1"/>
      </rPr>
      <t>CUSTOMER Tran Bao DuyNVC SV10Ax1 thang 10 FT 25298588701108   Ma giao dich  Trac e254818 Trace 254818</t>
    </r>
  </si>
  <si>
    <r>
      <rPr>
        <sz val="8"/>
        <rFont val="Times New Roman"/>
        <family val="1"/>
      </rPr>
      <t>25/10/2025 08:23</t>
    </r>
  </si>
  <si>
    <r>
      <rPr>
        <sz val="8"/>
        <rFont val="Times New Roman"/>
        <family val="1"/>
      </rPr>
      <t>LE THI THAI MAI YEN VY SV10X2X9 THANG 10- Ma GD ACSP/ kx816835</t>
    </r>
  </si>
  <si>
    <r>
      <rPr>
        <sz val="8"/>
        <rFont val="Times New Roman"/>
        <family val="1"/>
      </rPr>
      <t>25/10/2025 07:53</t>
    </r>
  </si>
  <si>
    <r>
      <rPr>
        <sz val="8"/>
        <rFont val="Times New Roman"/>
        <family val="1"/>
      </rPr>
      <t>CUSTOMER Hoang Trung Kien SV10x12x6 thang 10. TU: HOANG DA LAP#HOANG DA LAP</t>
    </r>
  </si>
  <si>
    <r>
      <rPr>
        <sz val="8"/>
        <rFont val="Times New Roman"/>
        <family val="1"/>
      </rPr>
      <t>24/10/2025 23:31</t>
    </r>
  </si>
  <si>
    <r>
      <rPr>
        <sz val="8"/>
        <rFont val="Times New Roman"/>
        <family val="1"/>
      </rPr>
      <t xml:space="preserve">VU THI TOI MBVCB.11444092518.785336.Do Thi Thu y
</t>
    </r>
    <r>
      <rPr>
        <sz val="8"/>
        <rFont val="Times New Roman"/>
        <family val="1"/>
      </rPr>
      <t>Dung SV10x8x7 thang 10.CT tu 1013 040692 VU THI TOI toi 0670190997777  NGUYEN THI HUYEN tai MB- Ma GD ACS</t>
    </r>
  </si>
  <si>
    <r>
      <rPr>
        <sz val="8"/>
        <rFont val="Times New Roman"/>
        <family val="1"/>
      </rPr>
      <t>24/10/2025 23:02</t>
    </r>
  </si>
  <si>
    <r>
      <rPr>
        <sz val="8"/>
        <rFont val="Times New Roman"/>
        <family val="1"/>
      </rPr>
      <t>CUSTOMER Pham Thu Ha SV12x11x22 thang 10. TU: VU THI NU</t>
    </r>
  </si>
  <si>
    <r>
      <rPr>
        <sz val="8"/>
        <rFont val="Times New Roman"/>
        <family val="1"/>
      </rPr>
      <t>CUSTOMER Nguyen Thieu Quan SV10x3x14 thang 1 0   Ma giao dich  Trace733434 Trace  733434</t>
    </r>
  </si>
  <si>
    <r>
      <rPr>
        <sz val="8"/>
        <rFont val="Times New Roman"/>
        <family val="1"/>
      </rPr>
      <t>24/10/2025 22:57</t>
    </r>
  </si>
  <si>
    <r>
      <rPr>
        <sz val="8"/>
        <rFont val="Times New Roman"/>
        <family val="1"/>
      </rPr>
      <t>CUSTOMER Nguyen Phu Nam SV11x3x19 thang 10 F T25298011980162   Ma giao dich  Tra ce431932 Trace 431932</t>
    </r>
  </si>
  <si>
    <t>FT25298448409244</t>
  </si>
  <si>
    <t>FT25298445259070</t>
  </si>
  <si>
    <t>FT25298739940050</t>
  </si>
  <si>
    <t>FT25298226559062</t>
  </si>
  <si>
    <t>FT25298552186928</t>
  </si>
  <si>
    <t>FT25298407483588</t>
  </si>
  <si>
    <t>FT25298961227128</t>
  </si>
  <si>
    <t>FT25298237801157</t>
  </si>
  <si>
    <t>FT25298229444815</t>
  </si>
  <si>
    <t>FT25298455701690</t>
  </si>
  <si>
    <t>FT25298640612852</t>
  </si>
  <si>
    <t>FT25298909530186</t>
  </si>
  <si>
    <t>FT25298749192592</t>
  </si>
  <si>
    <t>FT25298604785232</t>
  </si>
  <si>
    <t>FT25298234421193</t>
  </si>
  <si>
    <t>FT25298546600001</t>
  </si>
  <si>
    <t>FT25298827020605</t>
  </si>
  <si>
    <t>FT25298922961220</t>
  </si>
  <si>
    <t>FT25298649949550</t>
  </si>
  <si>
    <t>FT25298614738870</t>
  </si>
  <si>
    <t>FT25298950074006</t>
  </si>
  <si>
    <t>FT25298861866204</t>
  </si>
  <si>
    <t>FT25298800964082</t>
  </si>
  <si>
    <t>FT25298590023026</t>
  </si>
  <si>
    <t>FT25298775661290</t>
  </si>
  <si>
    <t>CUSTOMER Nguyen Ha Vy SV11x3x26 thang 10 FT2 5298001630711   Ma giao dich  Trace 272746 Trace 272746</t>
  </si>
  <si>
    <t>FT25298164379351</t>
  </si>
  <si>
    <t>FT25298392452070</t>
  </si>
  <si>
    <t>FT25298502012415</t>
  </si>
  <si>
    <t>FT25298671030279</t>
  </si>
  <si>
    <t>FT25298417039000</t>
  </si>
  <si>
    <t>FT25298460598252</t>
  </si>
  <si>
    <t>FT25298060085905</t>
  </si>
  <si>
    <t>FT25298932473000</t>
  </si>
  <si>
    <t>FT25300094217567</t>
  </si>
  <si>
    <t>FT25300544884940</t>
  </si>
  <si>
    <t>FT25300640306903</t>
  </si>
  <si>
    <t>FT25300547982956</t>
  </si>
  <si>
    <t>FT25300280742969</t>
  </si>
  <si>
    <t>FT25300102201762</t>
  </si>
  <si>
    <t>FT25300310063060</t>
  </si>
  <si>
    <t>FT25300924002780</t>
  </si>
  <si>
    <t>FT25300080899780</t>
  </si>
  <si>
    <t>FT25300004124773</t>
  </si>
  <si>
    <t>FT25300815335103</t>
  </si>
  <si>
    <t>FT25300736359970</t>
  </si>
  <si>
    <t>FT25300794039001</t>
  </si>
  <si>
    <t>FT25300880390641</t>
  </si>
  <si>
    <t>FT25300081371827</t>
  </si>
  <si>
    <t>FT25300967688217</t>
  </si>
  <si>
    <t>FT25300210046022</t>
  </si>
  <si>
    <t>FT25300720162174</t>
  </si>
  <si>
    <t>FT25300048222961</t>
  </si>
  <si>
    <t>FT25300892620001</t>
  </si>
  <si>
    <t>FT25300000556191</t>
  </si>
  <si>
    <t>FT25300646300237</t>
  </si>
  <si>
    <t>FT25300468541805</t>
  </si>
  <si>
    <t>FT25300001497334</t>
  </si>
  <si>
    <t>FT25300294700646</t>
  </si>
  <si>
    <t>FT25300682066539</t>
  </si>
  <si>
    <t>FT25300842235206</t>
  </si>
  <si>
    <t>FT25300425607419</t>
  </si>
  <si>
    <t>FT25300032498381</t>
  </si>
  <si>
    <t>FT25300076339080</t>
  </si>
  <si>
    <t>Ko mã</t>
  </si>
  <si>
    <t>FT25300291035161</t>
  </si>
  <si>
    <t>FT25300720340350</t>
  </si>
  <si>
    <t>FT25300241877910</t>
  </si>
  <si>
    <t>FT25300620331648</t>
  </si>
  <si>
    <t>FT25300550010466</t>
  </si>
  <si>
    <t>FT25300936205826</t>
  </si>
  <si>
    <t>FT25300623668292</t>
  </si>
  <si>
    <t>FT25300102805724</t>
  </si>
  <si>
    <t>FT25300927190173</t>
  </si>
  <si>
    <t>FT25300235270421</t>
  </si>
  <si>
    <t>FT25300502502930</t>
  </si>
  <si>
    <t>FT25300597060069</t>
  </si>
  <si>
    <t>FT25300541326247</t>
  </si>
  <si>
    <t>FT25300276989932</t>
  </si>
  <si>
    <t>FT25300560141039</t>
  </si>
  <si>
    <t>FT25300439099040</t>
  </si>
  <si>
    <t>FT25300006699764</t>
  </si>
  <si>
    <t>FT25300879482303</t>
  </si>
  <si>
    <t>FT25300610010990</t>
  </si>
  <si>
    <t>FT25300002988295</t>
  </si>
  <si>
    <t>FT25300938303212</t>
  </si>
  <si>
    <t>FT25300360493281</t>
  </si>
  <si>
    <t>FT25300067703008</t>
  </si>
  <si>
    <t>FT25301259492605</t>
  </si>
  <si>
    <t>FT25301400176730</t>
  </si>
  <si>
    <t>FT25301831904442</t>
  </si>
  <si>
    <t>FT25301769006608</t>
  </si>
  <si>
    <t>FT25301373087600</t>
  </si>
  <si>
    <t>FT25301985051663</t>
  </si>
  <si>
    <t>FT25301904202665</t>
  </si>
  <si>
    <t>FT25301105561400</t>
  </si>
  <si>
    <t>FT25301102720132</t>
  </si>
  <si>
    <t>FT25301776392393</t>
  </si>
  <si>
    <t>FT25301029405150</t>
  </si>
  <si>
    <t>H</t>
  </si>
  <si>
    <t>Phí TM</t>
  </si>
  <si>
    <t>h</t>
  </si>
  <si>
    <t>x</t>
  </si>
  <si>
    <t>28/10/2025 21:14:03</t>
  </si>
  <si>
    <t>189,048,381</t>
  </si>
  <si>
    <t>VND-TGTT-HA LAN PHUONG</t>
  </si>
  <si>
    <t xml:space="preserve">Tranminhtri 12a1 FT25301070418208    Ma giao dich  Trace846244 Trace 84 6244 </t>
  </si>
  <si>
    <t>FT25301531016440</t>
  </si>
  <si>
    <t>28/10/2025 21:12:38</t>
  </si>
  <si>
    <t>188,148,381</t>
  </si>
  <si>
    <t>PHAM THI NGA</t>
  </si>
  <si>
    <t xml:space="preserve">Ta Thanh Van SV12x3x24 thang 10 </t>
  </si>
  <si>
    <t>FT25301036200259</t>
  </si>
  <si>
    <t>28/10/2025 21:00:41</t>
  </si>
  <si>
    <t>185,648,381</t>
  </si>
  <si>
    <t>LE THUY TRANG</t>
  </si>
  <si>
    <t xml:space="preserve">LE THUY TRANG 12A1 nop tien hoc tha ng 10 </t>
  </si>
  <si>
    <t>FT25301784198879</t>
  </si>
  <si>
    <t>28/10/2025 18:30:17</t>
  </si>
  <si>
    <t>184,748,381</t>
  </si>
  <si>
    <t xml:space="preserve">DUONG DINH LOI SV12X3X33 THANG 10- Ma GD ACSP/ eV766902 </t>
  </si>
  <si>
    <t>FT25301710270015</t>
  </si>
  <si>
    <t>28/10/2025 14:25:18</t>
  </si>
  <si>
    <t>183,448,381</t>
  </si>
  <si>
    <t>NGUYEN THI BICH PHUONG</t>
  </si>
  <si>
    <t xml:space="preserve">Than Tue Minh SV12x2x29 thang 10 </t>
  </si>
  <si>
    <t>FT25301370908047</t>
  </si>
  <si>
    <t>MB</t>
  </si>
  <si>
    <t>FT25300270218902</t>
  </si>
  <si>
    <t>Địa chỉ</t>
  </si>
  <si>
    <t>Stt</t>
  </si>
  <si>
    <t>Hovaten</t>
  </si>
  <si>
    <t>ID_Lop</t>
  </si>
  <si>
    <t>SV10.1.1</t>
  </si>
  <si>
    <t>14/07/2009</t>
  </si>
  <si>
    <t>Nam</t>
  </si>
  <si>
    <t>0921916686</t>
  </si>
  <si>
    <t>Nguyễn Tiến Mạnh</t>
  </si>
  <si>
    <t>0913123399</t>
  </si>
  <si>
    <t>Nguyễn Thị Quỳnh Hương</t>
  </si>
  <si>
    <t>Tổ dân phố số 14, Phường Việt Hưng, Quận Long Biên, Thành phố Hà Nội</t>
  </si>
  <si>
    <t>SV10.1.2</t>
  </si>
  <si>
    <t>22/08/2009</t>
  </si>
  <si>
    <t>0978392117</t>
  </si>
  <si>
    <t>Nguyễn Đức Cường</t>
  </si>
  <si>
    <t>0915190258</t>
  </si>
  <si>
    <t>Chu Thị Mỹ Châu</t>
  </si>
  <si>
    <t>Tổ dân phố số 10, Phường Cự Khối, Quận Long Biên, Thành phố Hà Nội</t>
  </si>
  <si>
    <t>SV10.1.3</t>
  </si>
  <si>
    <t>30/09/2009</t>
  </si>
  <si>
    <t>0943606816</t>
  </si>
  <si>
    <t>Hoàng Văn Quyền</t>
  </si>
  <si>
    <t>0915830909</t>
  </si>
  <si>
    <t>Đặng Quỳnh Trang</t>
  </si>
  <si>
    <t>Tổ dân phố số 1, Phường Cự Khối, Quận Long Biên, Thành phố Hà Nội</t>
  </si>
  <si>
    <t>SV10.1.4</t>
  </si>
  <si>
    <t>01/09/2009</t>
  </si>
  <si>
    <t>0774299474</t>
  </si>
  <si>
    <t>Phạm Văn An</t>
  </si>
  <si>
    <t>0908780506</t>
  </si>
  <si>
    <t>Nguyễn Thị Như Quỳnh</t>
  </si>
  <si>
    <t>Tổ dân phố số 2, Phường Ngọc Lâm, Quận Long Biên, Thành phố Hà Nội</t>
  </si>
  <si>
    <t>SV10.1.5</t>
  </si>
  <si>
    <t>13/05/2009</t>
  </si>
  <si>
    <t>Nữ</t>
  </si>
  <si>
    <t>0982790289</t>
  </si>
  <si>
    <t>Nguyễn Minh Mẫn</t>
  </si>
  <si>
    <t>Vũ Hồng Giang</t>
  </si>
  <si>
    <t>Phường Ngọc Lâm, Quận Long Biên, Thành phố Hà Nội</t>
  </si>
  <si>
    <t>Trương Thị Tho</t>
  </si>
  <si>
    <t>0902124589</t>
  </si>
  <si>
    <t>Tổ dân phố 6, Phường Trúc Bạch, Quận Ba Đình, Thành phố Hà Nội</t>
  </si>
  <si>
    <t>05/12/2009</t>
  </si>
  <si>
    <t>0916187589</t>
  </si>
  <si>
    <t>Nguyễn Thanh Hùng</t>
  </si>
  <si>
    <t>Nguyễn Thị Mai</t>
  </si>
  <si>
    <t>0898575223</t>
  </si>
  <si>
    <t>Tổ dân phố An Lạc, Thị trấn Trâu Quỳ, Huyện Gia Lâm, Thành phố Hà Nội</t>
  </si>
  <si>
    <t>0967351852</t>
  </si>
  <si>
    <t>Chu Thị Thu Hương</t>
  </si>
  <si>
    <t>Trần Hồng Minh</t>
  </si>
  <si>
    <t>0865495521</t>
  </si>
  <si>
    <t>Phường Thạch Bàn, Quận Long Biên, Thành phố Hà Nội</t>
  </si>
  <si>
    <t>0399363261</t>
  </si>
  <si>
    <t>Dương Thị Tuyết Trinh</t>
  </si>
  <si>
    <t>04/01/2009</t>
  </si>
  <si>
    <t>0989127588</t>
  </si>
  <si>
    <t>Nguyễn Ngọc Thái</t>
  </si>
  <si>
    <t>Lê Thị Chi</t>
  </si>
  <si>
    <t>Tổ dân phố 10, Phường Phúc Xá, Quận Ba Đình, Thành phố Hà Nội</t>
  </si>
  <si>
    <t>Nguyễn Thị Hằng</t>
  </si>
  <si>
    <t>0983310980</t>
  </si>
  <si>
    <t>Tổ dân phố số 15, Phường Sài Đồng, Quận Long Biên, Thành phố Hà Nội</t>
  </si>
  <si>
    <t>05/02/2009</t>
  </si>
  <si>
    <t>Đỗ Thị Phương</t>
  </si>
  <si>
    <t>0942479345</t>
  </si>
  <si>
    <t>12/02/2009</t>
  </si>
  <si>
    <t>0975375588</t>
  </si>
  <si>
    <t>Nghiêm Xuân Khánh</t>
  </si>
  <si>
    <t>0366607004</t>
  </si>
  <si>
    <t>Lưu Phương Dung</t>
  </si>
  <si>
    <t>Phường Việt Hưng, Quận Long Biên, Thành phố Hà Nội</t>
  </si>
  <si>
    <t>26/04/2009</t>
  </si>
  <si>
    <t>0862793108</t>
  </si>
  <si>
    <t>0986130707</t>
  </si>
  <si>
    <t>Vũ Thị Thu Hương</t>
  </si>
  <si>
    <t>Tổ dân phố số 4, Xã Đặng Xá, Huyện Gia Lâm, Thành phố Hà Nội</t>
  </si>
  <si>
    <t>09/01/2009</t>
  </si>
  <si>
    <t>0915225659</t>
  </si>
  <si>
    <t>Trần Thanh Hùng</t>
  </si>
  <si>
    <t>0912317676</t>
  </si>
  <si>
    <t>Nguyễn Thị Bích Phương</t>
  </si>
  <si>
    <t>Phường Đức Giang, Quận Long Biên, Thành phố Hà Nội</t>
  </si>
  <si>
    <t>28/04/2009</t>
  </si>
  <si>
    <t>0985477918</t>
  </si>
  <si>
    <t>Nghiêm Phú Cường</t>
  </si>
  <si>
    <t>Trần Thị Huyền</t>
  </si>
  <si>
    <t>Tổ dân phố số 7, Phường Ngọc Thụy, Quận Long Biên, Thành phố Hà Nội</t>
  </si>
  <si>
    <t>03/09/2009</t>
  </si>
  <si>
    <t>0961227887</t>
  </si>
  <si>
    <t>Hoàng Văn Khánh</t>
  </si>
  <si>
    <t>0912095104</t>
  </si>
  <si>
    <t>Nguyễn Thị Hiền</t>
  </si>
  <si>
    <t>Phường Sài Đồng, Quận Long Biên, Thành phố Hà Nội</t>
  </si>
  <si>
    <t>07/10/2009</t>
  </si>
  <si>
    <t>0976596686</t>
  </si>
  <si>
    <t>Trần Tuấn Anh</t>
  </si>
  <si>
    <t>0978333878</t>
  </si>
  <si>
    <t>Nguyễn Thị Hải</t>
  </si>
  <si>
    <t>Tổ dân phố số 2, Phường Long Biên, Quận Long Biên, Thành phố Hà Nội</t>
  </si>
  <si>
    <t>24/11/2009</t>
  </si>
  <si>
    <t>0963284506</t>
  </si>
  <si>
    <t>Nguyễn Quốc Đạt</t>
  </si>
  <si>
    <t>Nguyễn Thị Tuyết Hạnh</t>
  </si>
  <si>
    <t>0989318075</t>
  </si>
  <si>
    <t>Tổ dân phố An Đào, Thị trấn Trâu Quỳ, Huyện Gia Lâm, Thành phố Hà Nội</t>
  </si>
  <si>
    <t>01/02/2009</t>
  </si>
  <si>
    <t>0987218698</t>
  </si>
  <si>
    <t>Đinh Quang Sơn</t>
  </si>
  <si>
    <t>0968355949</t>
  </si>
  <si>
    <t>Nguyễn Thị Quyên</t>
  </si>
  <si>
    <t>Tổ dân phố số 36, Phường Ngọc Thụy, Quận Long Biên, Thành phố Hà Nội</t>
  </si>
  <si>
    <t>0916558877</t>
  </si>
  <si>
    <t>Nguyễn Thế Hưng</t>
  </si>
  <si>
    <t>0916558867</t>
  </si>
  <si>
    <t>Tổ dân phố số 13, Phường Bồ Đề, Quận Long Biên, Thành phố Hà Nội</t>
  </si>
  <si>
    <t>25/02/2009</t>
  </si>
  <si>
    <t>0898272016</t>
  </si>
  <si>
    <t>Vũ Văn Nguyên</t>
  </si>
  <si>
    <t>Lê Thu Hương</t>
  </si>
  <si>
    <t>0972762509</t>
  </si>
  <si>
    <t>Tòa S1-01-02-03-05-06-07-08-09, Vinhome Ocean Park, Xã Đa Tốn, Huyện Gia Lâm, Thành phố Hà Nội</t>
  </si>
  <si>
    <t>0582016768</t>
  </si>
  <si>
    <t>KHỔNG ĐÌNH HƯNG</t>
  </si>
  <si>
    <t>0913564546</t>
  </si>
  <si>
    <t>ĐỖ THỊ HOA</t>
  </si>
  <si>
    <t>0947246556</t>
  </si>
  <si>
    <t>29 ngõ 71 tổ 4 thạch bàn long biên hà nôi</t>
  </si>
  <si>
    <t>0923832012</t>
  </si>
  <si>
    <t>Hoàng Tâm</t>
  </si>
  <si>
    <t>0913313131</t>
  </si>
  <si>
    <t>Nguyễn Thị Thanh Thủy</t>
  </si>
  <si>
    <t>0946228884</t>
  </si>
  <si>
    <t>Tổ 9 - Thạch Bàn - Long Biên- Hà Nội</t>
  </si>
  <si>
    <t>0795088009</t>
  </si>
  <si>
    <t>Phan Trung Thực</t>
  </si>
  <si>
    <t>0912012209</t>
  </si>
  <si>
    <t>Phạm Thị Thúy Hằng</t>
  </si>
  <si>
    <t>0935115222</t>
  </si>
  <si>
    <t>Chung cư quân đội ct1 thạch bàn long biên hà nội</t>
  </si>
  <si>
    <t>0879993643</t>
  </si>
  <si>
    <t xml:space="preserve">Nguyễn Duy Giang </t>
  </si>
  <si>
    <t>0888702868</t>
  </si>
  <si>
    <t xml:space="preserve">Nguyễn Thị Trang </t>
  </si>
  <si>
    <t>0946820088</t>
  </si>
  <si>
    <t>Số nhà 6c, ngõ 39, phố Ngọc Trì, Thạch Bàn, Long Biên, Hà Nội</t>
  </si>
  <si>
    <t>081 558 2686</t>
  </si>
  <si>
    <t xml:space="preserve">Trần Đình Kiên </t>
  </si>
  <si>
    <t>0979 98 1289</t>
  </si>
  <si>
    <t xml:space="preserve">Lương Thị Anh </t>
  </si>
  <si>
    <t>091 6622 590</t>
  </si>
  <si>
    <t xml:space="preserve">Số 9 , Hẻm 68/79/94 Nguyễn Văn Linh , Tổ 15 , Thạch Bàn , Long Biên ,Hà Nội </t>
  </si>
  <si>
    <t>0364200761</t>
  </si>
  <si>
    <t>Phạm Văn Hậu</t>
  </si>
  <si>
    <t>0988524552</t>
  </si>
  <si>
    <t>Dương Thị Thu Hương</t>
  </si>
  <si>
    <t>0986317405</t>
  </si>
  <si>
    <t>Số 2, ngách 565/45, đường Bát Khối, tổ 10, Cự Khối, Long Biên, Hà Nội</t>
  </si>
  <si>
    <t>0833171519</t>
  </si>
  <si>
    <t>Lương Thanh Hiếu</t>
  </si>
  <si>
    <t>0912445906</t>
  </si>
  <si>
    <t>Vũ Kim Ngân</t>
  </si>
  <si>
    <t>0947011800</t>
  </si>
  <si>
    <t>Thạch Bàn, Long Biên, Hà Nội</t>
  </si>
  <si>
    <t>0335163695</t>
  </si>
  <si>
    <t>TRẦN TUẤN QUANG</t>
  </si>
  <si>
    <t>0914387952</t>
  </si>
  <si>
    <t>BÙI THỊ THANH THẢO</t>
  </si>
  <si>
    <t>0902101922</t>
  </si>
  <si>
    <t>Tổ 21, phường Bồ Đề, Long Biên, Hà Nội</t>
  </si>
  <si>
    <t>0338143817</t>
  </si>
  <si>
    <t>Nguyễn Nam Hải</t>
  </si>
  <si>
    <t>0988484285</t>
  </si>
  <si>
    <t xml:space="preserve">Nguyễn Phương Thúy </t>
  </si>
  <si>
    <t>0963999386</t>
  </si>
  <si>
    <t>Tổ dân phố An Lạc, TT Trâu Quỳ, Gia Lâm, Hà Nội</t>
  </si>
  <si>
    <t>0962740810</t>
  </si>
  <si>
    <t>TRƯƠNG HỒNG QUYẾT</t>
  </si>
  <si>
    <t>0976178486</t>
  </si>
  <si>
    <t>NGÔ THỊ THANH HƯƠNG</t>
  </si>
  <si>
    <t>0397661482</t>
  </si>
  <si>
    <t>Tổ 10, Phường Thạch Bàn, Quận Long Biên, TP Hà Nội</t>
  </si>
  <si>
    <t>Nguyễn Thị Trà Giang</t>
  </si>
  <si>
    <t>0366879386</t>
  </si>
  <si>
    <t>Tổ 9, Thạch Bàn, Long Biên, Hà Nội</t>
  </si>
  <si>
    <t>0396399209</t>
  </si>
  <si>
    <t>Nguyễn Thế Thành</t>
  </si>
  <si>
    <t>0366823044</t>
  </si>
  <si>
    <t>Nguyễn Thị Hoa</t>
  </si>
  <si>
    <t>0372664026</t>
  </si>
  <si>
    <t>Số 16/ 640/ 41 Nguyễn Văn Cừ ,Gia Thụy, Long Biên, Hà Nội</t>
  </si>
  <si>
    <t>0337635606</t>
  </si>
  <si>
    <t>Nguyễn Hữu Phương</t>
  </si>
  <si>
    <t>0968501111</t>
  </si>
  <si>
    <t>Lò Thị Quỳnh Lan</t>
  </si>
  <si>
    <t>0389981982</t>
  </si>
  <si>
    <t>Lk26- khu đất đấu giá tổ 11, Phường Thạch Bàn, Quận Long Biên, Hà Nội</t>
  </si>
  <si>
    <t>20/02/2009</t>
  </si>
  <si>
    <t>0912826750</t>
  </si>
  <si>
    <t>Nguyễn Bá Hải</t>
  </si>
  <si>
    <t>Nguyễn Thị Hải Lệ</t>
  </si>
  <si>
    <t>0916562655</t>
  </si>
  <si>
    <t>Tổ dân phố số 12, Phường Ngọc Lâm, Quận Long Biên, Thành phố Hà Nội</t>
  </si>
  <si>
    <t>0912832779</t>
  </si>
  <si>
    <t>Đặng Văn Vinh</t>
  </si>
  <si>
    <t>Bùi Thị Hồng Thúy</t>
  </si>
  <si>
    <t>Tổ dân phố số 9, Phường Phúc Lợi, Quận Long Biên, Thành phố Hà Nội</t>
  </si>
  <si>
    <t>21/05/2009</t>
  </si>
  <si>
    <t>0968504281</t>
  </si>
  <si>
    <t>Nguyễn Đức Chí</t>
  </si>
  <si>
    <t>Trần Thị Thu</t>
  </si>
  <si>
    <t>0972825402</t>
  </si>
  <si>
    <t>Tổ dân phố số 3, Phường Cự Khối, Quận Long Biên, Thành phố Hà Nội</t>
  </si>
  <si>
    <t>14/11/2009</t>
  </si>
  <si>
    <t>0961270550</t>
  </si>
  <si>
    <t>Lê Thị Thành</t>
  </si>
  <si>
    <t>Tổ 17, Phường Bồ Đề, Quận Long Biên, Thành phố Hà Nội</t>
  </si>
  <si>
    <t>27/11/2009</t>
  </si>
  <si>
    <t>0946397747</t>
  </si>
  <si>
    <t>Nguyễn Văn Hạnh</t>
  </si>
  <si>
    <t>0936163136</t>
  </si>
  <si>
    <t>Đỗ Thị Hương Lan</t>
  </si>
  <si>
    <t>Tổ dân phố số 11, Phường Bồ Đề, Quận Long Biên, Thành phố Hà Nội</t>
  </si>
  <si>
    <t>09/04/2009</t>
  </si>
  <si>
    <t>0972675088</t>
  </si>
  <si>
    <t>Hà Xuân Bộ</t>
  </si>
  <si>
    <t>Nguyễn Thị Hồ Lý</t>
  </si>
  <si>
    <t>0988390863</t>
  </si>
  <si>
    <t>0986318058</t>
  </si>
  <si>
    <t>Lê Thị Duyên</t>
  </si>
  <si>
    <t>Thôn 5, Xã Đông Dư, Huyện Gia Lâm, Thành phố Hà Nội</t>
  </si>
  <si>
    <t>07/11/2009</t>
  </si>
  <si>
    <t>0901435688</t>
  </si>
  <si>
    <t>Nguyễn Mạnh Đạt</t>
  </si>
  <si>
    <t>0905435688</t>
  </si>
  <si>
    <t>Số 5/23 Vũ Xuân Thiều, Phường Phúc Lợi, Quận Long Biên, Thành phố Hà Nội</t>
  </si>
  <si>
    <t>02/06/2009</t>
  </si>
  <si>
    <t>0978413159</t>
  </si>
  <si>
    <t>Mai Quốc Hùng</t>
  </si>
  <si>
    <t>0974131589</t>
  </si>
  <si>
    <t>Nguyễn Thị Huệ</t>
  </si>
  <si>
    <t>Tổ 10, Phường Thạch Bàn, Quận Long Biên, Thành phố Hà Nội</t>
  </si>
  <si>
    <t>20/11/2009</t>
  </si>
  <si>
    <t>0989221972</t>
  </si>
  <si>
    <t>Lê Quang Xuất</t>
  </si>
  <si>
    <t>Nguyễn Thị Thu Hương</t>
  </si>
  <si>
    <t>0983969659</t>
  </si>
  <si>
    <t>Tổ dân phố số 4, Phường Việt Hưng, Quận Long Biên, Thành phố Hà Nội</t>
  </si>
  <si>
    <t>20/08/2009</t>
  </si>
  <si>
    <t>0984110530</t>
  </si>
  <si>
    <t>Mai Văn Toàn</t>
  </si>
  <si>
    <t>Phạm Thị Nghĩa</t>
  </si>
  <si>
    <t>0975412282</t>
  </si>
  <si>
    <t>Tổ dân phố số 12, Phường Long Biên, Quận Long Biên, Thành phố Hà Nội</t>
  </si>
  <si>
    <t>06/06/2008</t>
  </si>
  <si>
    <t>0965640210</t>
  </si>
  <si>
    <t>Dương Thị Hoài Hương</t>
  </si>
  <si>
    <t>0963349443</t>
  </si>
  <si>
    <t>H4 Khu đô thị Việt Hưng, Phường Giang Biên, Quận Long Biên, Thành phố Hà Nội</t>
  </si>
  <si>
    <t>0948679879</t>
  </si>
  <si>
    <t>26/09/2009</t>
  </si>
  <si>
    <t>0389995665</t>
  </si>
  <si>
    <t>Đặng Xuân Hải</t>
  </si>
  <si>
    <t>0982998266</t>
  </si>
  <si>
    <t>Nguyễn Thị Kỷ</t>
  </si>
  <si>
    <t>Tổ dân phố số 38, Phố Bắc Cầu, Phường Ngọc Thụy, Quận Long Biên, Thành phố Hà Nội</t>
  </si>
  <si>
    <t>30/01/2009</t>
  </si>
  <si>
    <t>0989832251</t>
  </si>
  <si>
    <t>Nguyễn Huy Thanh</t>
  </si>
  <si>
    <t>Đặng Thị Hồng Vân</t>
  </si>
  <si>
    <t>0962768236</t>
  </si>
  <si>
    <t>Tổ dân phố số 17, Phường Ngọc Thụy, Quận Long Biên, Thành phố Hà Nội</t>
  </si>
  <si>
    <t>05/03/2009</t>
  </si>
  <si>
    <t>0934582291</t>
  </si>
  <si>
    <t>Nguyễn Văn Phượng</t>
  </si>
  <si>
    <t>0934484975</t>
  </si>
  <si>
    <t>Nguyễn Thị Ngoan</t>
  </si>
  <si>
    <t>Tổ dân phố số 2, Phường Giang Biên, Quận Long Biên, Thành phố Hà Nội</t>
  </si>
  <si>
    <t>0984571256</t>
  </si>
  <si>
    <t>Trần Thị Thanh Hiền</t>
  </si>
  <si>
    <t>Chung cư Eurowindow River Park, Xã Đông Hội, Huyện Đông Anh, Thành phố Hà Nội</t>
  </si>
  <si>
    <t>23/11/2009</t>
  </si>
  <si>
    <t>0985138481</t>
  </si>
  <si>
    <t>Nguyễn Quang Vinh</t>
  </si>
  <si>
    <t>0932286821</t>
  </si>
  <si>
    <t>Vũ Thị Dịu</t>
  </si>
  <si>
    <t>Tổ dân phố số 4, Phường Phúc Đồng, Quận Long Biên, Thành phố Hà Nội</t>
  </si>
  <si>
    <t>19/02/2009</t>
  </si>
  <si>
    <t>0386281144</t>
  </si>
  <si>
    <t>Dương Thị Thanh Nhàn</t>
  </si>
  <si>
    <t>Tổ dân phố số 18, Phường Ngọc Thụy, Quận Long Biên, Thành phố Hà Nội</t>
  </si>
  <si>
    <t>21/08/2009</t>
  </si>
  <si>
    <t>0382810968</t>
  </si>
  <si>
    <t>Nguyễn Văn Lan</t>
  </si>
  <si>
    <t>Nguyễn Thị Quỳnh</t>
  </si>
  <si>
    <t>0344388010</t>
  </si>
  <si>
    <t>0912259805</t>
  </si>
  <si>
    <t>Vũ Thị Minh Phương</t>
  </si>
  <si>
    <t>Tổ 7, Phường Phúc Đồng, Quận Long Biên, Thành phố Hà Nội</t>
  </si>
  <si>
    <t>10/06/2009</t>
  </si>
  <si>
    <t>0986886636</t>
  </si>
  <si>
    <t>Nguyễn Văn Tứ</t>
  </si>
  <si>
    <t>0334198668</t>
  </si>
  <si>
    <t>Nguyễn Hồng Thủy</t>
  </si>
  <si>
    <t>0986886638</t>
  </si>
  <si>
    <t>Số 75, Tổ 12, Phường Phúc Lợi, Quận Long Biên, Thành phố Hà Nội.</t>
  </si>
  <si>
    <t>0963302009</t>
  </si>
  <si>
    <t>Hoàng Ngọc Minh</t>
  </si>
  <si>
    <t>0904050468</t>
  </si>
  <si>
    <t>Trần Thị Hằng</t>
  </si>
  <si>
    <t>Tổ 13, Phường Thạch Bàn, Quận Long Biên, Thành phố Hà Nội</t>
  </si>
  <si>
    <t>Trần Thị Ái Vân</t>
  </si>
  <si>
    <t>0349652368</t>
  </si>
  <si>
    <t>Thôn Ngọc Động, Xã Đa Tốn, Huyện Gia Lâm, Thành phố Hà Nội</t>
  </si>
  <si>
    <t>0942686085</t>
  </si>
  <si>
    <t>Trần Thị Thanh Trang</t>
  </si>
  <si>
    <t>Tổ 4, Phường Hàng Buồm, Quận Hoàn Kiếm, Thành phố Hà Nội</t>
  </si>
  <si>
    <t>11/09/2009</t>
  </si>
  <si>
    <t>0979456039</t>
  </si>
  <si>
    <t>Nguyễn Văn Huỳnh</t>
  </si>
  <si>
    <t>Vũ Thị Hoa Xim</t>
  </si>
  <si>
    <t>0972643497</t>
  </si>
  <si>
    <t>12A05,H1 CC Hope, Phường Phúc Đồng, Quận Long Biên, Thành phố Hà Nội</t>
  </si>
  <si>
    <t>Nguyễn Thanh Hải</t>
  </si>
  <si>
    <t>17/02/2009</t>
  </si>
  <si>
    <t>0974995404</t>
  </si>
  <si>
    <t>Mai Văn Long</t>
  </si>
  <si>
    <t>0984829652</t>
  </si>
  <si>
    <t>Nguyễn Thị Linh</t>
  </si>
  <si>
    <t>SN3, tổ 14, Phường Thạch Bàn, Quận Long Biên, Thành phố Hà Nội</t>
  </si>
  <si>
    <t>26/10/2009</t>
  </si>
  <si>
    <t>17/01/2009</t>
  </si>
  <si>
    <t>0947186969</t>
  </si>
  <si>
    <t>Đỗ Mạnh Hoàng</t>
  </si>
  <si>
    <t>Vũ Huyền Hạnh</t>
  </si>
  <si>
    <t>0945428989</t>
  </si>
  <si>
    <t>Tổ 02, Phường Hàng Bông, Quận Hoàn Kiếm, Thành phố Hà Nội</t>
  </si>
  <si>
    <t>SV10.4.16</t>
  </si>
  <si>
    <t>27/09/2009</t>
  </si>
  <si>
    <t>0948221138</t>
  </si>
  <si>
    <t>Tạ Đình Khánh</t>
  </si>
  <si>
    <t>Lê Thị Thu Huyền</t>
  </si>
  <si>
    <t>233 Nguyễn Văn Cừ, Long Biên, Hà Nội</t>
  </si>
  <si>
    <t>SV10.8.1</t>
  </si>
  <si>
    <t>21/07/2009</t>
  </si>
  <si>
    <t>0963616933</t>
  </si>
  <si>
    <t>Nguyễn Xuân Hoè</t>
  </si>
  <si>
    <t>0969216777</t>
  </si>
  <si>
    <t>Ngô Thị Vĩnh Hà</t>
  </si>
  <si>
    <t>Tổ 10, phường Bồ đề</t>
  </si>
  <si>
    <t>SV10.8.2</t>
  </si>
  <si>
    <t>02/08/2009</t>
  </si>
  <si>
    <t>0879150722</t>
  </si>
  <si>
    <t>Nguyễn Hiếu Phi</t>
  </si>
  <si>
    <t>Vũ Thị Kim Thoa</t>
  </si>
  <si>
    <t>số 52, ngách 268/56, Ngọc Thụy, Long Biên</t>
  </si>
  <si>
    <t>SV10.8.3</t>
  </si>
  <si>
    <t>24/07/2009</t>
  </si>
  <si>
    <t>0936002827</t>
  </si>
  <si>
    <t>Đào Văn Cường</t>
  </si>
  <si>
    <t>0904800555</t>
  </si>
  <si>
    <t>Nguyễn Thị Kim Tuyến</t>
  </si>
  <si>
    <t>0972300649</t>
  </si>
  <si>
    <t xml:space="preserve">Tổ 5, Phúc Đồng </t>
  </si>
  <si>
    <t>SV10.8.4</t>
  </si>
  <si>
    <t>0981694611</t>
  </si>
  <si>
    <t>Nguyễn Thanh Quế</t>
  </si>
  <si>
    <t>0984601093</t>
  </si>
  <si>
    <t>Hoàng Thị Lan</t>
  </si>
  <si>
    <t>0983335955</t>
  </si>
  <si>
    <t>Số nhà 18C, ngõ 75 Phố Cầu Đất - Phường Chương Dương - Q. Hoàn Kiếm - Hà Nội</t>
  </si>
  <si>
    <t>SV10.8.5</t>
  </si>
  <si>
    <t>0899405766</t>
  </si>
  <si>
    <t>Bùi Văn Hiền</t>
  </si>
  <si>
    <t>0944629983</t>
  </si>
  <si>
    <t>Lê Thị Bích Ngọc</t>
  </si>
  <si>
    <t>số 66 ngõ 1 tổ 25 phường Bồ Đề. Long Biên- Hà Nội</t>
  </si>
  <si>
    <t>SV10.8.6</t>
  </si>
  <si>
    <t>0985076000</t>
  </si>
  <si>
    <t>Văn Đình Chiến</t>
  </si>
  <si>
    <t>0902610261</t>
  </si>
  <si>
    <t>Trần Thị Hà</t>
  </si>
  <si>
    <t>Tổ 15 phường Sài Đồng Quận Long Biên TP Hà Nội</t>
  </si>
  <si>
    <t>SV10.8.7</t>
  </si>
  <si>
    <t>15/08/2009</t>
  </si>
  <si>
    <t>0818659222</t>
  </si>
  <si>
    <t>Trương Bá Quyền</t>
  </si>
  <si>
    <t>0969232888</t>
  </si>
  <si>
    <t>Trần Thị Thu Thuận</t>
  </si>
  <si>
    <t>Tổ dân phố số 6, Phường Việt Hưng, Quận Long Biên, Thành phố Hà Nội</t>
  </si>
  <si>
    <t>SV10.8.8</t>
  </si>
  <si>
    <t>09/02/2009</t>
  </si>
  <si>
    <t>0967510785</t>
  </si>
  <si>
    <t xml:space="preserve">Nguyễn Quang Anh </t>
  </si>
  <si>
    <t>0942619339</t>
  </si>
  <si>
    <t xml:space="preserve">Trần Bích Thuỷ </t>
  </si>
  <si>
    <t>0912304482</t>
  </si>
  <si>
    <t>29/92 Phố Trạm Phường Long Biên</t>
  </si>
  <si>
    <t>SV10.8.9</t>
  </si>
  <si>
    <t>03/12/2009</t>
  </si>
  <si>
    <t>0865977174</t>
  </si>
  <si>
    <t>Trần Ngọc Dũng</t>
  </si>
  <si>
    <t>0981193679</t>
  </si>
  <si>
    <t>Nguyễn Thị Lan Anh</t>
  </si>
  <si>
    <t>Phòng 609 Chung cư ct2a Tổ 17 - Thạch Bàn</t>
  </si>
  <si>
    <t>SV10.8.10</t>
  </si>
  <si>
    <t>15/01/2009</t>
  </si>
  <si>
    <t>0961014569</t>
  </si>
  <si>
    <t>Phạm Đăng Linh</t>
  </si>
  <si>
    <t>0914508980</t>
  </si>
  <si>
    <t>Nguyễn Hoàng Yến</t>
  </si>
  <si>
    <t>0914058840</t>
  </si>
  <si>
    <t>Phường Vĩnh Tuy</t>
  </si>
  <si>
    <t>Nguyễn Ngọc Thành An</t>
  </si>
  <si>
    <t>SV10.9.1</t>
  </si>
  <si>
    <t>07/08/2009</t>
  </si>
  <si>
    <t>0978183285</t>
  </si>
  <si>
    <t>Tổ 8, Phường Ngọc Thụy, Quận Long Biên, Thành phố Hà Nội</t>
  </si>
  <si>
    <t>Lê Minh Bắc</t>
  </si>
  <si>
    <t>SV10.9.2</t>
  </si>
  <si>
    <t>16/08/2009</t>
  </si>
  <si>
    <t>0345776310</t>
  </si>
  <si>
    <t>Nguyễn Mai Chi</t>
  </si>
  <si>
    <t>SV10.9.4</t>
  </si>
  <si>
    <t>20/07/2009</t>
  </si>
  <si>
    <t>0984167357</t>
  </si>
  <si>
    <t>Phường Phúc Tân, Quận Hoàn Kiếm, Thành phố Hà Nội</t>
  </si>
  <si>
    <t>Lê Minh Giang</t>
  </si>
  <si>
    <t>SV10.9.5</t>
  </si>
  <si>
    <t>16/01/2009</t>
  </si>
  <si>
    <t>0375280813</t>
  </si>
  <si>
    <t>Phường Phúc Đồng, Quận Long Biên, Thành phố Hà Nội</t>
  </si>
  <si>
    <t>Phạm Hùng Giang</t>
  </si>
  <si>
    <t>SV10.9.6</t>
  </si>
  <si>
    <t>22/10/2009</t>
  </si>
  <si>
    <t>0913447315</t>
  </si>
  <si>
    <t>Vũ Thúy Hằng</t>
  </si>
  <si>
    <t>SV10.9.7</t>
  </si>
  <si>
    <t>0973174939</t>
  </si>
  <si>
    <t>Tổ dân phố Chính Trung, Thị trấn Trâu Quỳ, Huyện Gia Lâm, Thành phố Hà Nội</t>
  </si>
  <si>
    <t>Phạm Quang Hợp</t>
  </si>
  <si>
    <t>SV10.9.8</t>
  </si>
  <si>
    <t>0982011808</t>
  </si>
  <si>
    <t>Tổ 8, Phường Bồ Đề, Quận Long Biên, Thành phố Hà Nội</t>
  </si>
  <si>
    <t>Hoàng Quang Huy</t>
  </si>
  <si>
    <t>SV10.9.9</t>
  </si>
  <si>
    <t>19/12/2009</t>
  </si>
  <si>
    <t>0389849319</t>
  </si>
  <si>
    <t>Tổ 34, Phường Ngọc Thụy, Quận Long Biên, Thành phố Hà Nội</t>
  </si>
  <si>
    <t>Đàm Nguyên Khánh</t>
  </si>
  <si>
    <t>SV10.9.11</t>
  </si>
  <si>
    <t>31/07/2009</t>
  </si>
  <si>
    <t>0923291999</t>
  </si>
  <si>
    <t>SV10.9.14</t>
  </si>
  <si>
    <t>0978427268</t>
  </si>
  <si>
    <t>Phường Gia Thụy, Quận Long Biên, Thành phố Hà Nội</t>
  </si>
  <si>
    <t>Nguyễn Ngọc Quỳnh</t>
  </si>
  <si>
    <t>SV10.9.16</t>
  </si>
  <si>
    <t>31/12/2009</t>
  </si>
  <si>
    <t>0984715792</t>
  </si>
  <si>
    <t>Lương Thanh Thảo</t>
  </si>
  <si>
    <t>SV10.9.18</t>
  </si>
  <si>
    <t>05/09/2009</t>
  </si>
  <si>
    <t>0913092784</t>
  </si>
  <si>
    <t>Phường Bồ Đề, Quận Long Biên, Thành phố Hà Nội</t>
  </si>
  <si>
    <t>Phạm Anh Tú</t>
  </si>
  <si>
    <t>SV10.9.19</t>
  </si>
  <si>
    <t>25/09/2009</t>
  </si>
  <si>
    <t>0369004580</t>
  </si>
  <si>
    <t>Phạm Anh Tuấn</t>
  </si>
  <si>
    <t>SV10.9.20</t>
  </si>
  <si>
    <t>SV10.15.1</t>
  </si>
  <si>
    <t>27/02/2009</t>
  </si>
  <si>
    <t>0869719793</t>
  </si>
  <si>
    <t>Đinh Quý Tài</t>
  </si>
  <si>
    <t>0914887628</t>
  </si>
  <si>
    <t>Vũ Hồng Hải</t>
  </si>
  <si>
    <t>*0947362528</t>
  </si>
  <si>
    <t>Số nhà 44, ngõ 81, tổ 12, phố Trạm, Long Biên, HN</t>
  </si>
  <si>
    <t>SV10.15.2</t>
  </si>
  <si>
    <t>21/09/2009</t>
  </si>
  <si>
    <t>0916616716</t>
  </si>
  <si>
    <t>0973971366</t>
  </si>
  <si>
    <t>Phan Thị Thanh</t>
  </si>
  <si>
    <t>*0916610038</t>
  </si>
  <si>
    <t>Số 10 ngách 127/17/20 Phúc Xá, Q. Ba Đình, HN</t>
  </si>
  <si>
    <t>SV10.15.3</t>
  </si>
  <si>
    <t>0387346638</t>
  </si>
  <si>
    <t>Vương Đình Tĩnh</t>
  </si>
  <si>
    <t>0972870380</t>
  </si>
  <si>
    <t xml:space="preserve">Vũ Thị Hải </t>
  </si>
  <si>
    <t>0985404829</t>
  </si>
  <si>
    <t>Căn 605 Ct2b Lô No23,Thượng Thanh,Long Biên,Hà Nội</t>
  </si>
  <si>
    <t>SV10.15.4</t>
  </si>
  <si>
    <t>28/11/2009</t>
  </si>
  <si>
    <t>0945622988</t>
  </si>
  <si>
    <t>Hoàng Vĩnh Tùng</t>
  </si>
  <si>
    <t>0902199180</t>
  </si>
  <si>
    <t>Kiều Thanh Nga</t>
  </si>
  <si>
    <t>0918098860</t>
  </si>
  <si>
    <t>C17 Bộ Công an Ngõ 264/63 Ngọc Thụy - Long Biên,HN</t>
  </si>
  <si>
    <t>Nguyễn Thu Hà</t>
  </si>
  <si>
    <t>SV10.15.5</t>
  </si>
  <si>
    <t>0943668818</t>
  </si>
  <si>
    <t>Nguyễn Văn Hải</t>
  </si>
  <si>
    <t>0942668919</t>
  </si>
  <si>
    <t>Nguyễn Thị Thanh Huyền</t>
  </si>
  <si>
    <t>0915655505</t>
  </si>
  <si>
    <t>P12A12 NO11A khu đô thị Sài Đồng Long Biên Hà Nội</t>
  </si>
  <si>
    <t>Hoàng Gia Huy</t>
  </si>
  <si>
    <t>SV10.15.6</t>
  </si>
  <si>
    <t>0964722364</t>
  </si>
  <si>
    <t>Hoàng Ngọc Hà</t>
  </si>
  <si>
    <t>0916957100</t>
  </si>
  <si>
    <t>Phạm Thị Hoan</t>
  </si>
  <si>
    <t>0395480708</t>
  </si>
  <si>
    <t>Tổ 13 ngách 195/16/10 Phúc Lợi,Long Biên,Hà Nội</t>
  </si>
  <si>
    <t>SV10.15.7</t>
  </si>
  <si>
    <t>25/03/2009</t>
  </si>
  <si>
    <t>0374706623</t>
  </si>
  <si>
    <t>Nguyễn Đình Hùng</t>
  </si>
  <si>
    <t>Đã mất</t>
  </si>
  <si>
    <t>Vũ Ngọc Bích</t>
  </si>
  <si>
    <t>0984942835</t>
  </si>
  <si>
    <t>Căn hộ 703, D12, Tổ 15, phường Sài Đồng, Long Biên, HN</t>
  </si>
  <si>
    <t>SV10.15.8</t>
  </si>
  <si>
    <t>19/11/2009</t>
  </si>
  <si>
    <t>0842191109</t>
  </si>
  <si>
    <t>Nguyễn Bá Ngọc</t>
  </si>
  <si>
    <t>0942299907</t>
  </si>
  <si>
    <t>Phạm Lan Anh</t>
  </si>
  <si>
    <t>0943903183</t>
  </si>
  <si>
    <t>Số 14 ngách 110 ngoc 640 Nguyễn Văn Cừ, phường Gia Thuỵ, Long Biên, Hà Hội</t>
  </si>
  <si>
    <t>SV10.15.9</t>
  </si>
  <si>
    <t>29/10/2009</t>
  </si>
  <si>
    <t>097 8432855</t>
  </si>
  <si>
    <t>Trần Đình Thu</t>
  </si>
  <si>
    <t>0983333011</t>
  </si>
  <si>
    <t>Lê Thị Thu Dung</t>
  </si>
  <si>
    <t>0366607982</t>
  </si>
  <si>
    <t>Số nhà 13 ngõ 78/79 tổ 8 phường Bồ Đề , Long Biên ,Hà Nội</t>
  </si>
  <si>
    <t>SV10.15.10</t>
  </si>
  <si>
    <t>28/01/2009</t>
  </si>
  <si>
    <t>0865907695</t>
  </si>
  <si>
    <t>Lê Đình Minh</t>
  </si>
  <si>
    <t>0975859090</t>
  </si>
  <si>
    <t>Thái Thị Hoà</t>
  </si>
  <si>
    <t>0975469090</t>
  </si>
  <si>
    <t>Số 5 Hoàng Như Tiếp Bồ Đề Long Biên Hà Nội</t>
  </si>
  <si>
    <t>SV10.15.11</t>
  </si>
  <si>
    <t>0399462990</t>
  </si>
  <si>
    <t>Hoàng Văn Trọng</t>
  </si>
  <si>
    <t>0912126457</t>
  </si>
  <si>
    <t>Trần Thị Thanh</t>
  </si>
  <si>
    <t>0357599688</t>
  </si>
  <si>
    <t>Số 105 đường Cổ Linh, tổ 10, Thạch Bàn, Long Biên, Hà Nội</t>
  </si>
  <si>
    <t>SV10.15.12</t>
  </si>
  <si>
    <t>14/01/2009</t>
  </si>
  <si>
    <t>0379801992</t>
  </si>
  <si>
    <t>Lưu Xuân Tâm</t>
  </si>
  <si>
    <t>0978255788</t>
  </si>
  <si>
    <t>Nguyễn Thị Hoàng Điệp</t>
  </si>
  <si>
    <t>0906002400</t>
  </si>
  <si>
    <t>28/640/21/16 Nguyễn Văn Cừ Tổ 13, Gia Thụy, Long Biên, Hà Nội</t>
  </si>
  <si>
    <t>SV10.15.13</t>
  </si>
  <si>
    <t>`0775455591</t>
  </si>
  <si>
    <t>Dương Ngọc Thành</t>
  </si>
  <si>
    <t>0914603888</t>
  </si>
  <si>
    <t>Lưu Thị Hồng Hạnh</t>
  </si>
  <si>
    <t>0904245880</t>
  </si>
  <si>
    <t>Số 20 phố Thạch Bàn, tổ 3 phường Thạch Bàn, quận Long Biên, Hà Nội</t>
  </si>
  <si>
    <t>SV10.15.15</t>
  </si>
  <si>
    <t>0816061699</t>
  </si>
  <si>
    <t>Nguyễn Thế Anh</t>
  </si>
  <si>
    <t>0915658968</t>
  </si>
  <si>
    <t>Nguyễn Thị Lệ Hằng</t>
  </si>
  <si>
    <t>0915892636</t>
  </si>
  <si>
    <t>Số 8, Ngõ 158, Nguyễn Văn Cừ, Tổ 3, phường Bồ Đề, quận Long Biên, Tp Hà Nội</t>
  </si>
  <si>
    <t>SV10.15.16</t>
  </si>
  <si>
    <t>02/12/2009</t>
  </si>
  <si>
    <t>0705632863</t>
  </si>
  <si>
    <t>Phạm Quốc Ân</t>
  </si>
  <si>
    <t>0949999568</t>
  </si>
  <si>
    <t>Hứa Thị Nội</t>
  </si>
  <si>
    <t>0906081208</t>
  </si>
  <si>
    <t>Số 21, ngách 7a, ngõ 377 Lâm Du- Tổ 12 - Phường Bồ Đề - Q. Long Biên- HN</t>
  </si>
  <si>
    <t>SV10.15.17</t>
  </si>
  <si>
    <t>Không dùng</t>
  </si>
  <si>
    <t>Nguyễn Đức Lợi</t>
  </si>
  <si>
    <t>0904222276</t>
  </si>
  <si>
    <t>0942697611</t>
  </si>
  <si>
    <t>Số 9, Trương Hán Siêu, Trần Hưng Đạo, Hoàn Kiếm, Hà Nội</t>
  </si>
  <si>
    <t>SV10.15.18</t>
  </si>
  <si>
    <t>0814759607</t>
  </si>
  <si>
    <t>Ly hôn</t>
  </si>
  <si>
    <t>Nguyễn Thị Hải Ly</t>
  </si>
  <si>
    <t>0916587117</t>
  </si>
  <si>
    <t>Số 6 Ngõ 548/40 Nguyễn Văn Cừ, Phường Gia Thụy, Quận Long Biên, Hà Nội</t>
  </si>
  <si>
    <t>SV10.15.19</t>
  </si>
  <si>
    <t>Đinh Thanh Thảo</t>
  </si>
  <si>
    <t>SV10.15.22</t>
  </si>
  <si>
    <t>0397969194</t>
  </si>
  <si>
    <t>Đinh Đình Khoa</t>
  </si>
  <si>
    <t>0979324726</t>
  </si>
  <si>
    <t>Chu Thị Thanh Huyền</t>
  </si>
  <si>
    <t>0986091922</t>
  </si>
  <si>
    <t>Số 640 đường Ngọc Lâm, tổ 5, P. Gia Thụy,
Long Biên, HN</t>
  </si>
  <si>
    <t>SV10.15.23</t>
  </si>
  <si>
    <t>0886271132</t>
  </si>
  <si>
    <t>Nguyễn Văn Sơn</t>
  </si>
  <si>
    <t>0949564568</t>
  </si>
  <si>
    <t>Đỗ Thu Vân</t>
  </si>
  <si>
    <t>0942041468</t>
  </si>
  <si>
    <t>Ngách 15/66 Đàm Quang Trung, Long Biên, Hà Nội</t>
  </si>
  <si>
    <t xml:space="preserve">Nguyễn Đăng Việt </t>
  </si>
  <si>
    <t>SV10.15.25</t>
  </si>
  <si>
    <t>SV10.15.26</t>
  </si>
  <si>
    <t xml:space="preserve">Đỗ Thị Diệu Nga </t>
  </si>
  <si>
    <t>SV10.15.29</t>
  </si>
  <si>
    <t>SV11.1.1</t>
  </si>
  <si>
    <t>07/01/2008</t>
  </si>
  <si>
    <t>0886894009</t>
  </si>
  <si>
    <t>Nguyễn Thanh Toàn</t>
  </si>
  <si>
    <t>Vũ Thị Hiền</t>
  </si>
  <si>
    <t>Tổ dân phố số 5, Phường Long Biên, Quận Long Biên, Thành phố Hà Nội</t>
  </si>
  <si>
    <t>SV11.1.2</t>
  </si>
  <si>
    <t>27/05/2008</t>
  </si>
  <si>
    <t>0983123167</t>
  </si>
  <si>
    <t>Võ Anh Dũng</t>
  </si>
  <si>
    <t>0989123167</t>
  </si>
  <si>
    <t>Phường Thanh Trì, Quận Hoàng Mai, Thành phố Hà Nội</t>
  </si>
  <si>
    <t>SV11.1.3</t>
  </si>
  <si>
    <t>21/12/2008</t>
  </si>
  <si>
    <t>0779323289</t>
  </si>
  <si>
    <t>Nguyễn Văn Luyến</t>
  </si>
  <si>
    <t>Nguyễn Thị Thập</t>
  </si>
  <si>
    <t>SV11.1.4</t>
  </si>
  <si>
    <t>23/04/2008</t>
  </si>
  <si>
    <t>0976787198</t>
  </si>
  <si>
    <t>Lưu Khánh Dương</t>
  </si>
  <si>
    <t>0913230517</t>
  </si>
  <si>
    <t>Phùng Thu Hiền</t>
  </si>
  <si>
    <t>Tổ dân phố số 20, Phường Đức Giang, Quận Long Biên, Thành phố Hà Nội</t>
  </si>
  <si>
    <t>SV11.1.5</t>
  </si>
  <si>
    <t>12/10/2008</t>
  </si>
  <si>
    <t>0932398189</t>
  </si>
  <si>
    <t>Bùi Hải Hà</t>
  </si>
  <si>
    <t>0933116686</t>
  </si>
  <si>
    <t>Nguyễn Thị Ngọc Vân</t>
  </si>
  <si>
    <t>SV11.1.6</t>
  </si>
  <si>
    <t>30/12/2008</t>
  </si>
  <si>
    <t>0976668112</t>
  </si>
  <si>
    <t>Nguyễn Văn Sự</t>
  </si>
  <si>
    <t>0903060986</t>
  </si>
  <si>
    <t>Phạm Thị Nguyệt</t>
  </si>
  <si>
    <t>TT Cầu 12, Thôn Hội, Xã Cổ Bi, Huyện Gia Lâm, Thành phố Hà Nội.</t>
  </si>
  <si>
    <t>SV11.1.7</t>
  </si>
  <si>
    <t>06/10/2008</t>
  </si>
  <si>
    <t>0947592068</t>
  </si>
  <si>
    <t>Đỗ Trọng Sơn</t>
  </si>
  <si>
    <t>Mai Thị Thanh Quỳnh</t>
  </si>
  <si>
    <t>SV11.1.9</t>
  </si>
  <si>
    <t>24/12/2008</t>
  </si>
  <si>
    <t>0945496677</t>
  </si>
  <si>
    <t>Trần Anh Chung</t>
  </si>
  <si>
    <t>Phương Thị Hoa Bắc</t>
  </si>
  <si>
    <t>29 Tân Thụy, Phúc Đồng, Long Biên, Hà Nội</t>
  </si>
  <si>
    <t>SV11.1.10</t>
  </si>
  <si>
    <t>01/01/2008</t>
  </si>
  <si>
    <t>0982083981</t>
  </si>
  <si>
    <t>Đào Văn Ngọc</t>
  </si>
  <si>
    <t>0983817078</t>
  </si>
  <si>
    <t>Đặng Thị Hương</t>
  </si>
  <si>
    <t>SV11.1.11</t>
  </si>
  <si>
    <t>25/04/2008</t>
  </si>
  <si>
    <t>0972281980</t>
  </si>
  <si>
    <t>Chu Tiến Sỹ</t>
  </si>
  <si>
    <t>0972448676</t>
  </si>
  <si>
    <t>Nguyễn Thị Sử</t>
  </si>
  <si>
    <t>Tổ dân phố số 7, Phường Long Biên, Quận Long Biên, Thành phố Hà Nội</t>
  </si>
  <si>
    <t>SV11.1.12</t>
  </si>
  <si>
    <t>04/01/2008</t>
  </si>
  <si>
    <t>0982873668</t>
  </si>
  <si>
    <t>Nguyễn Xuân Trọng</t>
  </si>
  <si>
    <t>0968113873</t>
  </si>
  <si>
    <t>Lê Thị Thúy Nga</t>
  </si>
  <si>
    <t>Khu tái định cư CT3, Thượng Thanh, Long Biên, Hà Nội</t>
  </si>
  <si>
    <t>SV11.1.13</t>
  </si>
  <si>
    <t>18/11/2008</t>
  </si>
  <si>
    <t>0972921975</t>
  </si>
  <si>
    <t>Nguyễn Đức Giáp</t>
  </si>
  <si>
    <t>Nguyễn Thị Thía</t>
  </si>
  <si>
    <t>SV11.1.14</t>
  </si>
  <si>
    <t>26/04/2008</t>
  </si>
  <si>
    <t>0905499686</t>
  </si>
  <si>
    <t>Nguyễn Văn Bẩy</t>
  </si>
  <si>
    <t>0908699686</t>
  </si>
  <si>
    <t>Lê Thị Viên</t>
  </si>
  <si>
    <t>Tổ dân phố Bình Minh, Thị trấn Trâu Quỳ, Huyện Gia Lâm, Thành phố Hà Nội</t>
  </si>
  <si>
    <t>SV11.1.15</t>
  </si>
  <si>
    <t>27/07/2008</t>
  </si>
  <si>
    <t>0985578098</t>
  </si>
  <si>
    <t>Nguyễn Minh Thành</t>
  </si>
  <si>
    <t>0969335166</t>
  </si>
  <si>
    <t>Ngô Thị Hà</t>
  </si>
  <si>
    <t>Tổ dân phố số 14, Phường Bồ Đề, Quận Long Biên, Thành phố Hà Nội</t>
  </si>
  <si>
    <t>SV11.1.16</t>
  </si>
  <si>
    <t>15/05/2008</t>
  </si>
  <si>
    <t>0385087981</t>
  </si>
  <si>
    <t>Bùi Cao Thắng</t>
  </si>
  <si>
    <t>0912278600</t>
  </si>
  <si>
    <t>Lê Thị Phan Giang</t>
  </si>
  <si>
    <t>Tổ dân phố số 18, Phường Thượng Thanh, Quận Long Biên, Thành phố Hà Nội</t>
  </si>
  <si>
    <t>SV11.1.17</t>
  </si>
  <si>
    <t>27/02/2008</t>
  </si>
  <si>
    <t>0964662201</t>
  </si>
  <si>
    <t>Nguyễn Hữu Định</t>
  </si>
  <si>
    <t>0979524097</t>
  </si>
  <si>
    <t>Đỗ Thị Lan</t>
  </si>
  <si>
    <t>64C, ngõ 27, phố Long Biên 1, Ngọc Lâm, Long Biên, Hà Nội</t>
  </si>
  <si>
    <t>SV11.1.18</t>
  </si>
  <si>
    <t>25/06/2008</t>
  </si>
  <si>
    <t>0966428973</t>
  </si>
  <si>
    <t>Hoàng Xuân Trường</t>
  </si>
  <si>
    <t>Nguyễn Thị Ngãi</t>
  </si>
  <si>
    <t>Tổ dân phố số 11, Phường Thạch Bàn, Quận Long Biên, Thành phố Hà Nội</t>
  </si>
  <si>
    <t>SV11.1.19</t>
  </si>
  <si>
    <t>25/07/2008</t>
  </si>
  <si>
    <t>0343583833</t>
  </si>
  <si>
    <t>Trịnh Thị Yến</t>
  </si>
  <si>
    <t>Phường Ngọc Thụy, Quận Long Biên, Thành phố Hà Nội</t>
  </si>
  <si>
    <t>Lã Hà Quang</t>
  </si>
  <si>
    <t>SV11.1.20</t>
  </si>
  <si>
    <t>SV11.1.21</t>
  </si>
  <si>
    <t>12/04/2008</t>
  </si>
  <si>
    <t>0963131586</t>
  </si>
  <si>
    <t>Trần Ngọc Quang</t>
  </si>
  <si>
    <t>Nguyễn Thị Thu Hằng</t>
  </si>
  <si>
    <t>Số 8, Tổ 14C, Phường Thanh Lương, Quận Hai Bà Trưng, Thành phố Hà Nội</t>
  </si>
  <si>
    <t>SV11.1.22</t>
  </si>
  <si>
    <t>05/09/2008</t>
  </si>
  <si>
    <t>0983965136</t>
  </si>
  <si>
    <t>Nguyễn Trọng Ân</t>
  </si>
  <si>
    <t>0363103661</t>
  </si>
  <si>
    <t>Trần Thị Thúy.</t>
  </si>
  <si>
    <t>Tổ 13, Thạch Bàn, Long Biên, Hà Nội</t>
  </si>
  <si>
    <t>SV11.1.23</t>
  </si>
  <si>
    <t>28/08/2008</t>
  </si>
  <si>
    <t>0816673128</t>
  </si>
  <si>
    <t>Nguyễn Thanh Chiến</t>
  </si>
  <si>
    <t>0969264897</t>
  </si>
  <si>
    <t>Vũ Thị Mây</t>
  </si>
  <si>
    <t>Tổ dân phố số 20, Phường Long Biên, Quận Long Biên, Thành phố Hà Nội</t>
  </si>
  <si>
    <t>Nguyễn Thị Anh Thư</t>
  </si>
  <si>
    <t>SV11.1.24</t>
  </si>
  <si>
    <t>03/03/2008</t>
  </si>
  <si>
    <t>0869815108</t>
  </si>
  <si>
    <t>Nguyễn Văn Ly</t>
  </si>
  <si>
    <t>0982807180</t>
  </si>
  <si>
    <t>Nguyễn Thị Hiếu</t>
  </si>
  <si>
    <t>SV11.1.25</t>
  </si>
  <si>
    <t>19/01/2008</t>
  </si>
  <si>
    <t>0988755923</t>
  </si>
  <si>
    <t>Lê Văn Hoàn</t>
  </si>
  <si>
    <t>Vũ Thị Thảo</t>
  </si>
  <si>
    <t>0988755907</t>
  </si>
  <si>
    <t>P308, tập thể Kho 205, ngõ 66, Vũ Xuân Thiều, Sài Đồng, Long Biên, Hà Nội.</t>
  </si>
  <si>
    <t>SV11.1.26</t>
  </si>
  <si>
    <t>19/09/2008</t>
  </si>
  <si>
    <t>0905869696</t>
  </si>
  <si>
    <t>Trần Văn Sùng</t>
  </si>
  <si>
    <t>0904063636</t>
  </si>
  <si>
    <t>Hà Lan Phượng</t>
  </si>
  <si>
    <t>104/C12, Tổ dân phố số 27, Phường Đức Giang, Quận Long Biên, Thành phố Hà Nội</t>
  </si>
  <si>
    <t>SV11.1.27</t>
  </si>
  <si>
    <t>0983247168</t>
  </si>
  <si>
    <t>Lại Văn Dương</t>
  </si>
  <si>
    <t>Nguyễn Thị Nhung</t>
  </si>
  <si>
    <t>0981049186</t>
  </si>
  <si>
    <t>Tổ dân phố số 20, Phường Ngọc Thụy, Quận Long Biên, Thành phố Hà Nội</t>
  </si>
  <si>
    <t>SV11.1.28</t>
  </si>
  <si>
    <t>15/03/2008</t>
  </si>
  <si>
    <t>0366677204</t>
  </si>
  <si>
    <t>Hoàng Ngọc Doanh</t>
  </si>
  <si>
    <t>0917338584</t>
  </si>
  <si>
    <t>Nguyễn Phương Thanh</t>
  </si>
  <si>
    <t>Tổ dân phố số 34, Phường Ngọc Thụy, Quận Long Biên, Thành phố Hà Nội</t>
  </si>
  <si>
    <t>SV11.1.33</t>
  </si>
  <si>
    <t>26/08/2008</t>
  </si>
  <si>
    <t>0977116859</t>
  </si>
  <si>
    <t>Lê Mạnh Hùng</t>
  </si>
  <si>
    <t>Nguyễn Thị Kim Dung</t>
  </si>
  <si>
    <t>Tổ 12, Phường Long Biên, Quận Long Biên, Thành phố Hà Nội</t>
  </si>
  <si>
    <t>SV11.2.1</t>
  </si>
  <si>
    <t>0983918361</t>
  </si>
  <si>
    <t>Bùi Hồng Quân</t>
  </si>
  <si>
    <t>0983918111</t>
  </si>
  <si>
    <t>Lê Thị Thủy</t>
  </si>
  <si>
    <t>0972715626</t>
  </si>
  <si>
    <t>SV11.2.3</t>
  </si>
  <si>
    <t>15/06/2008</t>
  </si>
  <si>
    <t>0935609466</t>
  </si>
  <si>
    <t>Bùi Trọng Đông</t>
  </si>
  <si>
    <t>Lã Thị Tuyết Hạnh</t>
  </si>
  <si>
    <t>0969592803</t>
  </si>
  <si>
    <t>SV11.2.5</t>
  </si>
  <si>
    <t>07/11/2008</t>
  </si>
  <si>
    <t>0977992225</t>
  </si>
  <si>
    <t>Đỗ Xuân Long</t>
  </si>
  <si>
    <t>0983962256</t>
  </si>
  <si>
    <t>Lê Thị Xiêm</t>
  </si>
  <si>
    <t>Tổ dân phố số 12, Phường Bồ Đề, Quận Long Biên, Thành phố Hà Nội</t>
  </si>
  <si>
    <t>SV11.2.6</t>
  </si>
  <si>
    <t>07/12/2008</t>
  </si>
  <si>
    <t>0904868330</t>
  </si>
  <si>
    <t>Hoàng Minh Thảo</t>
  </si>
  <si>
    <t>0903207284</t>
  </si>
  <si>
    <t>Nguyễn Thanh Hằng</t>
  </si>
  <si>
    <t>Tòa CT2B Tổ 17, Phường Thạch Bàn, Quận Long Biên, Thành phố Hà Nội</t>
  </si>
  <si>
    <t>SV11.2.9</t>
  </si>
  <si>
    <t>26/03/2008</t>
  </si>
  <si>
    <t>0989416118</t>
  </si>
  <si>
    <t>Hoàng Văn Toàn</t>
  </si>
  <si>
    <t>0982071291</t>
  </si>
  <si>
    <t>Nguyễn Thị Phú Hà</t>
  </si>
  <si>
    <t>SV11.2.10</t>
  </si>
  <si>
    <t>06/02/2008</t>
  </si>
  <si>
    <t>0912278226</t>
  </si>
  <si>
    <t>Khuất Duy Trường</t>
  </si>
  <si>
    <t>Nguyễn Thị Thanh Trà</t>
  </si>
  <si>
    <t>0945476630</t>
  </si>
  <si>
    <t>Tổ dân phố số 27, Phường Ngọc Lâm, Quận Long Biên, Thành phố Hà Nội</t>
  </si>
  <si>
    <t>SV11.2.12</t>
  </si>
  <si>
    <t>29/02/2008</t>
  </si>
  <si>
    <t>0903290208</t>
  </si>
  <si>
    <t>Lê Văn Lâm</t>
  </si>
  <si>
    <t>Bùi Thị Dung</t>
  </si>
  <si>
    <t>Phường Cự Khối, Quận Long Biên, Thành phố Hà Nội</t>
  </si>
  <si>
    <t>Lê Mỹ Linh</t>
  </si>
  <si>
    <t>SV11.2.13</t>
  </si>
  <si>
    <t>25/11/2008</t>
  </si>
  <si>
    <t>0976138227</t>
  </si>
  <si>
    <t>Lê Văn Anh</t>
  </si>
  <si>
    <t>Phạm Thị Liên</t>
  </si>
  <si>
    <t>0352684782</t>
  </si>
  <si>
    <t>Tổ dân phố số 4, Phường Cự Khối, Quận Long Biên, Thành phố Hà Nội</t>
  </si>
  <si>
    <t>Mai Huyền Trang</t>
  </si>
  <si>
    <t>SV11.2.14</t>
  </si>
  <si>
    <t>13/09/2008</t>
  </si>
  <si>
    <t>0974602178</t>
  </si>
  <si>
    <t>Mai Nhân Lừng</t>
  </si>
  <si>
    <t>Nguyễn Thị Tằng</t>
  </si>
  <si>
    <t>SV11.2.15</t>
  </si>
  <si>
    <t>09/08/2008</t>
  </si>
  <si>
    <t>0901798885</t>
  </si>
  <si>
    <t>Mao Văn Duy</t>
  </si>
  <si>
    <t>Nguyễn Thị Ngọc</t>
  </si>
  <si>
    <t>Số 315, ngõ 12, tổ 2, khu TT Thạch Bàn, Quận Long Biên, Thành phố Hà Nội</t>
  </si>
  <si>
    <t>SV11.2.17</t>
  </si>
  <si>
    <t>30/01/2008</t>
  </si>
  <si>
    <t>0933051901</t>
  </si>
  <si>
    <t>Ngô Quang Vụ</t>
  </si>
  <si>
    <t>Hà Thị Thu Trang</t>
  </si>
  <si>
    <t>0339805730</t>
  </si>
  <si>
    <t>SV11.2.19</t>
  </si>
  <si>
    <t>24/10/2008</t>
  </si>
  <si>
    <t>0986948787</t>
  </si>
  <si>
    <t>Nguyễn Minh Hoàng</t>
  </si>
  <si>
    <t>Phạm Thị Thanh Thủy</t>
  </si>
  <si>
    <t>SV11.2.22</t>
  </si>
  <si>
    <t>02/12/2008</t>
  </si>
  <si>
    <t>0345672747</t>
  </si>
  <si>
    <t>0912388830</t>
  </si>
  <si>
    <t>Trần Thị Thanh Hoa</t>
  </si>
  <si>
    <t>Phường Chương Dương, Quận Hoàn Kiếm, Thành phố Hà Nội</t>
  </si>
  <si>
    <t>SV11.2.25</t>
  </si>
  <si>
    <t>24/06/2008</t>
  </si>
  <si>
    <t>0983568828</t>
  </si>
  <si>
    <t>Nguyễn Toàn Thắng</t>
  </si>
  <si>
    <t>Nguyễn Huyền Nhung</t>
  </si>
  <si>
    <t>P708A, chung cư Bình Minh Garden, 93 Đức Giang, Quận Long Biên, Thành phố Hà Nội</t>
  </si>
  <si>
    <t>SV11.2.26</t>
  </si>
  <si>
    <t>27/11/2008</t>
  </si>
  <si>
    <t>0976473779</t>
  </si>
  <si>
    <t>0988823988</t>
  </si>
  <si>
    <t>Nguyễn Thị Xuân Hương</t>
  </si>
  <si>
    <t>Tổ dân phố số 1, Phường Long Biên, Quận Long Biên, Thành phố Hà Nội</t>
  </si>
  <si>
    <t>SV11.2.27</t>
  </si>
  <si>
    <t>23/10/2008</t>
  </si>
  <si>
    <t>0983328480</t>
  </si>
  <si>
    <t>Nguyễn Ngọc Linh</t>
  </si>
  <si>
    <t>0906272930</t>
  </si>
  <si>
    <t>Tổ dân phố số 7, Phường Ngọc Lâm, Quận Long Biên, Thành phố Hà Nội</t>
  </si>
  <si>
    <t>SV11.2.28</t>
  </si>
  <si>
    <t>11/07/2008</t>
  </si>
  <si>
    <t>0916220983</t>
  </si>
  <si>
    <t>Nguyễn Đào Giáp</t>
  </si>
  <si>
    <t>SV11.2.30</t>
  </si>
  <si>
    <t>0982919572</t>
  </si>
  <si>
    <t>Nguyễn Quang Đồng</t>
  </si>
  <si>
    <t>0346133997</t>
  </si>
  <si>
    <t>Lê Thị Hải</t>
  </si>
  <si>
    <t>SV11.2.31</t>
  </si>
  <si>
    <t>02/10/2008</t>
  </si>
  <si>
    <t>0986198171</t>
  </si>
  <si>
    <t>Nguyễn Quang Đoán</t>
  </si>
  <si>
    <t>0359994451</t>
  </si>
  <si>
    <t>Nguyễn Thị Phương</t>
  </si>
  <si>
    <t>Tổ dân phố số 10, Phường Giang Biên, Quận Long Biên, Thành phố Hà Nội</t>
  </si>
  <si>
    <t>SV11.2.33</t>
  </si>
  <si>
    <t>04/08/2008</t>
  </si>
  <si>
    <t>0961464888</t>
  </si>
  <si>
    <t>Nguyễn Thanh Dũng</t>
  </si>
  <si>
    <t>Nguyễn Thị Kim Cúc</t>
  </si>
  <si>
    <t>Nguyễn Thanh Vân</t>
  </si>
  <si>
    <t>SV11.2.34</t>
  </si>
  <si>
    <t>0936747787</t>
  </si>
  <si>
    <t>Nguyễn Duy Thanh</t>
  </si>
  <si>
    <t>0905557828</t>
  </si>
  <si>
    <t>Lã Thị Thành Vững</t>
  </si>
  <si>
    <t>Tổ dân phố số 14, Phường Long Biên, Quận Long Biên, Thành phố Hà Nội</t>
  </si>
  <si>
    <t>SV11.2.37</t>
  </si>
  <si>
    <t>29/03/2008</t>
  </si>
  <si>
    <t>0948182938</t>
  </si>
  <si>
    <t>0968282955</t>
  </si>
  <si>
    <t>Đặng Thị Huyền Trâm</t>
  </si>
  <si>
    <t>SV11.2.40</t>
  </si>
  <si>
    <t>09/11/2008</t>
  </si>
  <si>
    <t>0867549995</t>
  </si>
  <si>
    <t>Nguyễn Xuân Hải</t>
  </si>
  <si>
    <t>0982765183</t>
  </si>
  <si>
    <t>Nguyễn Thị Hường</t>
  </si>
  <si>
    <t>Tổ 9, Phường Thạch Bàn, Quận Long Biên, Thành phố Hà Nội</t>
  </si>
  <si>
    <t>SV11.2.41</t>
  </si>
  <si>
    <t>0988870711</t>
  </si>
  <si>
    <t>Phan Hồng Sơn</t>
  </si>
  <si>
    <t>0983340037</t>
  </si>
  <si>
    <t>Nguyễn Huyền Nga</t>
  </si>
  <si>
    <t>SV11.2.42</t>
  </si>
  <si>
    <t>01/02/2008</t>
  </si>
  <si>
    <t>0707335568</t>
  </si>
  <si>
    <t>P1005-CT1B-Phường Thạch Bàn, Quận Long Biên, Thành phố Hà Nội</t>
  </si>
  <si>
    <t>SV11.2.43</t>
  </si>
  <si>
    <t>0985697708</t>
  </si>
  <si>
    <t>Phan Văn Thặng</t>
  </si>
  <si>
    <t>Nguyễn Thị Hồng Thắm</t>
  </si>
  <si>
    <t>Tổ 10, Ngọc Thụy, Long Biên, Hà Nội</t>
  </si>
  <si>
    <t>SV11.2.44</t>
  </si>
  <si>
    <t>14/07/2008</t>
  </si>
  <si>
    <t>0904866835</t>
  </si>
  <si>
    <t>Thân Văn Tới</t>
  </si>
  <si>
    <t>Nguyễn Thị Bích Phượng</t>
  </si>
  <si>
    <t>SV11.2.45</t>
  </si>
  <si>
    <t>05/05/2008</t>
  </si>
  <si>
    <t>0705345638</t>
  </si>
  <si>
    <t>Trần Công Dương</t>
  </si>
  <si>
    <t>Đặng Thị Kim Oanh</t>
  </si>
  <si>
    <t>Đội 6, Xóm Giếng, Đào Xuyên,  Đa Tốn, Gia Lâm, Hà Nội</t>
  </si>
  <si>
    <t>SV11.2.46</t>
  </si>
  <si>
    <t>23/07/2008</t>
  </si>
  <si>
    <t>0914379096</t>
  </si>
  <si>
    <t>Trịnh Đặng Quân</t>
  </si>
  <si>
    <t>Lương Thị Luyên</t>
  </si>
  <si>
    <t>Số 9, ngách 541/40 Bát Khối, Tổ 8, P.Thạch Bàn, Q.Long Biên, Hà Nội</t>
  </si>
  <si>
    <t>SV11.2.47</t>
  </si>
  <si>
    <t>11/02/2008</t>
  </si>
  <si>
    <t>0975161568</t>
  </si>
  <si>
    <t>Võ Anh Phương</t>
  </si>
  <si>
    <t>Nguyễn Vân Kiều</t>
  </si>
  <si>
    <t>SV11.2.49</t>
  </si>
  <si>
    <t>06/08/2008</t>
  </si>
  <si>
    <t>0904910644</t>
  </si>
  <si>
    <t>Vũ Xuân Hòa</t>
  </si>
  <si>
    <t>Lê Thị Tâm</t>
  </si>
  <si>
    <t>SV11.2.50</t>
  </si>
  <si>
    <t>08/09/2008</t>
  </si>
  <si>
    <t>0976881041</t>
  </si>
  <si>
    <t>Vũ Ngọc Quang</t>
  </si>
  <si>
    <t>0915959811</t>
  </si>
  <si>
    <t>Trần Thị Duyên</t>
  </si>
  <si>
    <t>P2308-CC CT2B, Phường Thạch Bàn, Quận Long Biên, Thành phố Hà Nội</t>
  </si>
  <si>
    <t>SV11.2.51</t>
  </si>
  <si>
    <t>18/03/2008</t>
  </si>
  <si>
    <t>0975755682</t>
  </si>
  <si>
    <t>Vũ Minh Hiền</t>
  </si>
  <si>
    <t>0988509410</t>
  </si>
  <si>
    <t>Nguyễn Thị Phượng</t>
  </si>
  <si>
    <t>Tổ 6, Phường Thạch Bàn, Quận Long Biên, Thành phố Hà Nội</t>
  </si>
  <si>
    <t>SV11.2.52</t>
  </si>
  <si>
    <t>0974029899</t>
  </si>
  <si>
    <t>Vũ Viết Luận</t>
  </si>
  <si>
    <t>0968092923</t>
  </si>
  <si>
    <t>Bùi Thị Nhiệm</t>
  </si>
  <si>
    <t>SV11.2.54</t>
  </si>
  <si>
    <t>18/07/2008</t>
  </si>
  <si>
    <t>0915732083</t>
  </si>
  <si>
    <t>0914370983</t>
  </si>
  <si>
    <t>Nguyễn Thị Thùy Linh</t>
  </si>
  <si>
    <t>Tổ dân phố số 16, Phường Bồ Đề, Quận Long Biên, Thành phố Hà Nội</t>
  </si>
  <si>
    <t>SV11.2.55</t>
  </si>
  <si>
    <t>10/06/2008</t>
  </si>
  <si>
    <t>0901762323</t>
  </si>
  <si>
    <t>0974603489</t>
  </si>
  <si>
    <t>Trần Thị Hương</t>
  </si>
  <si>
    <t>Tổ dân phố số 8, Phường Việt Hưng, Quận Long Biên, Thành phố Hà Nội</t>
  </si>
  <si>
    <t>SV11.3.1</t>
  </si>
  <si>
    <t>16/03/2008</t>
  </si>
  <si>
    <t>0352900271</t>
  </si>
  <si>
    <t>Đinh Văn Luyến</t>
  </si>
  <si>
    <t>0387698217</t>
  </si>
  <si>
    <t>Phạm Thị Loan</t>
  </si>
  <si>
    <t>SV11.3.2</t>
  </si>
  <si>
    <t>Trần Minh Anh</t>
  </si>
  <si>
    <t>SV11.3.3</t>
  </si>
  <si>
    <t>0903636467</t>
  </si>
  <si>
    <t>Trần Trung Kiên</t>
  </si>
  <si>
    <t>0903292929</t>
  </si>
  <si>
    <t>Nguyễn Thu Hương</t>
  </si>
  <si>
    <t>Tổ dân phố số 12, Phường Gia Thụy, Quận Long Biên, Thành phố Hà Nội</t>
  </si>
  <si>
    <t>SV11.3.4</t>
  </si>
  <si>
    <t>30/08/2008</t>
  </si>
  <si>
    <t>0989792080</t>
  </si>
  <si>
    <t>Lê Hoàng Anh</t>
  </si>
  <si>
    <t>0902200116</t>
  </si>
  <si>
    <t>Phạm Thị Hồng Quế</t>
  </si>
  <si>
    <t>Tổ dân phố số 14, Phường Gia Thụy, Quận Long Biên, Thành phố Hà Nội</t>
  </si>
  <si>
    <t>SV11.3.5</t>
  </si>
  <si>
    <t>10/04/2008</t>
  </si>
  <si>
    <t>0904938319</t>
  </si>
  <si>
    <t>Lê Văn Biển</t>
  </si>
  <si>
    <t>0918732889</t>
  </si>
  <si>
    <t>Bùi Thị Hồng Thơm</t>
  </si>
  <si>
    <t>Tổ dân phố số 18, Phường Đức Giang, Quận Long Biên, Thành phố Hà Nội</t>
  </si>
  <si>
    <t>SV11.3.6</t>
  </si>
  <si>
    <t>02/09/2008</t>
  </si>
  <si>
    <t>0364825839</t>
  </si>
  <si>
    <t>Trần Văn Sơn</t>
  </si>
  <si>
    <t>0347853866</t>
  </si>
  <si>
    <t>Nguyễn Thị Lành</t>
  </si>
  <si>
    <t>SV11.3.7</t>
  </si>
  <si>
    <t>22/10/2008</t>
  </si>
  <si>
    <t>0916123668</t>
  </si>
  <si>
    <t>Nguyễn Văn Quang</t>
  </si>
  <si>
    <t>Lê Thị Thu Hà</t>
  </si>
  <si>
    <t>0906011399</t>
  </si>
  <si>
    <t>SV11.3.8</t>
  </si>
  <si>
    <t>24/11/2008</t>
  </si>
  <si>
    <t>0979560515</t>
  </si>
  <si>
    <t>Nguyễn Phú Tiến</t>
  </si>
  <si>
    <t>0368649242</t>
  </si>
  <si>
    <t>Nguyễn Thị Chiến</t>
  </si>
  <si>
    <t>SV11.3.10</t>
  </si>
  <si>
    <t>29/12/2008</t>
  </si>
  <si>
    <t>0387080355</t>
  </si>
  <si>
    <t>Lê Việt Cường</t>
  </si>
  <si>
    <t>Nguyễn Thị Đang</t>
  </si>
  <si>
    <t>Tổ dân phố số 6, Phường Đức Giang, Quận Long Biên, Thành phố Hà Nội</t>
  </si>
  <si>
    <t>SV11.3.11</t>
  </si>
  <si>
    <t>22/12/2008</t>
  </si>
  <si>
    <t>0983932905</t>
  </si>
  <si>
    <t>Nguyễn Nghĩa Diệm</t>
  </si>
  <si>
    <t>0978717668</t>
  </si>
  <si>
    <t>Nguyễn Thị Hương</t>
  </si>
  <si>
    <t>SV11.3.12</t>
  </si>
  <si>
    <t>0946244715</t>
  </si>
  <si>
    <t>Mai Khánh Hà</t>
  </si>
  <si>
    <t>0912548959</t>
  </si>
  <si>
    <t>Nguyễn Thị Hồng Yến</t>
  </si>
  <si>
    <t>SV11.3.13</t>
  </si>
  <si>
    <t>31/07/2008</t>
  </si>
  <si>
    <t>0965583118</t>
  </si>
  <si>
    <t>Phạm Quyết Tiến</t>
  </si>
  <si>
    <t>0869992339</t>
  </si>
  <si>
    <t>Nguyễn Thị Minh Phương</t>
  </si>
  <si>
    <t>Tổ dân phố Vườn Dâu, Thị trấn Trâu Quỳ, Huyện Gia Lâm, Thành phố Hà Nội</t>
  </si>
  <si>
    <t>SV11.3.14</t>
  </si>
  <si>
    <t>01/12/2008</t>
  </si>
  <si>
    <t>0983492568</t>
  </si>
  <si>
    <t>Vũ Đức Thuật</t>
  </si>
  <si>
    <t>Hoàng Thị Thu Thủy</t>
  </si>
  <si>
    <t>0825258884</t>
  </si>
  <si>
    <t>Tổ dân phố số 3, Phường Thượng Thanh, Quận Long Biên, Thành phố Hà Nội</t>
  </si>
  <si>
    <t>SV11.3.15</t>
  </si>
  <si>
    <t>0986382834</t>
  </si>
  <si>
    <t>Nguyễn Thanh Hiển</t>
  </si>
  <si>
    <t>0986969543</t>
  </si>
  <si>
    <t>Lê Thị Bình</t>
  </si>
  <si>
    <t>SV11.3.16</t>
  </si>
  <si>
    <t>0912045061</t>
  </si>
  <si>
    <t>Trương Anh Dũng</t>
  </si>
  <si>
    <t>0849256668</t>
  </si>
  <si>
    <t>Phạm Thị Hường</t>
  </si>
  <si>
    <t>Tổ dân phố số 18, Phường Gia Thụy, Quận Long Biên, Thành phố Hà Nội</t>
  </si>
  <si>
    <t>SV11.3.17</t>
  </si>
  <si>
    <t>11/10/2008</t>
  </si>
  <si>
    <t>0978418344</t>
  </si>
  <si>
    <t>Lê Hồng Mạnh</t>
  </si>
  <si>
    <t>0965471979</t>
  </si>
  <si>
    <t>Đinh Thị Ngọc</t>
  </si>
  <si>
    <t>SV11.3.18</t>
  </si>
  <si>
    <t>01/07/2008</t>
  </si>
  <si>
    <t>0984696026</t>
  </si>
  <si>
    <t>Đào Văn Hùng</t>
  </si>
  <si>
    <t>Nguyễn Thị Thu Hường</t>
  </si>
  <si>
    <t>SV11.3.19</t>
  </si>
  <si>
    <t>23/02/2008</t>
  </si>
  <si>
    <t>0358832572</t>
  </si>
  <si>
    <t>Nguyễn Văn Dũng</t>
  </si>
  <si>
    <t>0977551827</t>
  </si>
  <si>
    <t>Nguyễn Ngọc Lan</t>
  </si>
  <si>
    <t>Tổ dân phố số 1A, Phường Thanh Nhàn, Quận Hai Bà Trưng, Thành phố Hà Nội</t>
  </si>
  <si>
    <t>SV11.3.20</t>
  </si>
  <si>
    <t>19/02/2008</t>
  </si>
  <si>
    <t>0981072310</t>
  </si>
  <si>
    <t>Trương Quốc Vinh</t>
  </si>
  <si>
    <t>0914825989</t>
  </si>
  <si>
    <t>Tạ Thị Tiến</t>
  </si>
  <si>
    <t>SV11.3.21</t>
  </si>
  <si>
    <t>14/10/2008</t>
  </si>
  <si>
    <t>0986568986</t>
  </si>
  <si>
    <t>Nguyễn Dũng Thanh</t>
  </si>
  <si>
    <t>0983242206</t>
  </si>
  <si>
    <t>Ngô Thị Phương Nhung</t>
  </si>
  <si>
    <t>Tổ dân phố số 3, Phường Gia Thụy, Quận Long Biên, Thành phố Hà Nội</t>
  </si>
  <si>
    <t>SV11.3.22</t>
  </si>
  <si>
    <t>07/08/2008</t>
  </si>
  <si>
    <t>0387079576</t>
  </si>
  <si>
    <t>Nguyễn Văn Nam</t>
  </si>
  <si>
    <t>Trần Thị Hồng Thanh</t>
  </si>
  <si>
    <t>Tổ dân phố số 10, Phường Ngọc Thụy, Quận Long Biên, Thành phố Hà Nội</t>
  </si>
  <si>
    <t>SV11.3.23</t>
  </si>
  <si>
    <t>16/01/2008</t>
  </si>
  <si>
    <t>0975566923</t>
  </si>
  <si>
    <t>Nguyễn Trọng Quyền</t>
  </si>
  <si>
    <t>Nguyễn Thị Thủy</t>
  </si>
  <si>
    <t>SV11.3.24</t>
  </si>
  <si>
    <t>11/09/2008</t>
  </si>
  <si>
    <t>0912105471</t>
  </si>
  <si>
    <t>Lê Ngọc Anh</t>
  </si>
  <si>
    <t>0916681927</t>
  </si>
  <si>
    <t>Trần Thị Tuyết Mai</t>
  </si>
  <si>
    <t>101/99/2 Nguyễn Sơn, Phường Gia Thuỵ, Quận Long Biên,Thành phố Hà Nội.</t>
  </si>
  <si>
    <t>SV11.3.25</t>
  </si>
  <si>
    <t>19/11/2008</t>
  </si>
  <si>
    <t>0913503677</t>
  </si>
  <si>
    <t>Dương Tiến Thủy</t>
  </si>
  <si>
    <t>Lê Thị Lợi</t>
  </si>
  <si>
    <t>0916887471</t>
  </si>
  <si>
    <t>SV11.3.26</t>
  </si>
  <si>
    <t>04/09/2008</t>
  </si>
  <si>
    <t>0985318536</t>
  </si>
  <si>
    <t>Cao Văn Kỳ</t>
  </si>
  <si>
    <t>0965549606</t>
  </si>
  <si>
    <t>Nguyễn Thị Thanh</t>
  </si>
  <si>
    <t>Phường Phúc Lợi, Quận Long Biên, Thành phố Hà Nội</t>
  </si>
  <si>
    <t>SV11.3.27</t>
  </si>
  <si>
    <t>08/12/2008</t>
  </si>
  <si>
    <t>0982741046</t>
  </si>
  <si>
    <t>Lê Kiên Cường</t>
  </si>
  <si>
    <t>Nguyễn Thị Liên</t>
  </si>
  <si>
    <t>0902214717</t>
  </si>
  <si>
    <t>SV11.3.28</t>
  </si>
  <si>
    <t>25/08/2008</t>
  </si>
  <si>
    <t>0869201408</t>
  </si>
  <si>
    <t>Tạ Văn Bân</t>
  </si>
  <si>
    <t>Phạm Thị Nga</t>
  </si>
  <si>
    <t>Tổ dân phố số 12, Phường Thạch Bàn, Quận Long Biên, Thành phố Hà Nội</t>
  </si>
  <si>
    <t>SV11.3.29</t>
  </si>
  <si>
    <t>0906046699</t>
  </si>
  <si>
    <t>Vũ Văn Hán</t>
  </si>
  <si>
    <t>Tào Như Lan</t>
  </si>
  <si>
    <t>0916164899</t>
  </si>
  <si>
    <t>Tổ dân phố 5, Phường Phúc Xá, Quận Ba Đình, Thành phố Hà Nội</t>
  </si>
  <si>
    <t>SV11.3.30</t>
  </si>
  <si>
    <t>30/10/2008</t>
  </si>
  <si>
    <t>0398216261</t>
  </si>
  <si>
    <t>0982398833</t>
  </si>
  <si>
    <t>Nguyễn Thị Thắm</t>
  </si>
  <si>
    <t>Tổ dân phố 4, Phường Phúc Xá, Quận Ba Đình, Thành phố Hà Nội</t>
  </si>
  <si>
    <t>SV11.3.31</t>
  </si>
  <si>
    <t>0977198699</t>
  </si>
  <si>
    <t>Trần Quốc Tuấn</t>
  </si>
  <si>
    <t>Ngô Thị Thúy Mây</t>
  </si>
  <si>
    <t>0985322627</t>
  </si>
  <si>
    <t>Phòng 2604, chung cư CT2B, phường Thạch Bàn, quận Long Biên, Hà Nội</t>
  </si>
  <si>
    <t>SV11.3.34</t>
  </si>
  <si>
    <t>01/11/2008</t>
  </si>
  <si>
    <t>0984306179</t>
  </si>
  <si>
    <t>Lưu Hồng Kì</t>
  </si>
  <si>
    <t>0975134236</t>
  </si>
  <si>
    <t>Nguyễn Thị Phương Nhung</t>
  </si>
  <si>
    <t>Thôn Phù Dực 2, Xã Phù Đổng, Huyện Gia Lâm, Thành phố Hà Nội</t>
  </si>
  <si>
    <t>SV11.3.35</t>
  </si>
  <si>
    <t>0916319762</t>
  </si>
  <si>
    <t>Vũ Văn Lợi</t>
  </si>
  <si>
    <t>Trịnh Thị Hà</t>
  </si>
  <si>
    <t>Tổ dân phố số 1, Phường Lê Đại Hành, Quận Hai Bà Trưng, Thành phố Hà Nội</t>
  </si>
  <si>
    <t>SV11.3.37</t>
  </si>
  <si>
    <t>17/06/2008</t>
  </si>
  <si>
    <t>0948829198</t>
  </si>
  <si>
    <t>Nguyễn Văn Hỡi</t>
  </si>
  <si>
    <t>0987039937</t>
  </si>
  <si>
    <t>Hoàng Thị Xuyến</t>
  </si>
  <si>
    <t>Phường Liễu Giai, Quận Ba Đình, Thành phố Hà Nội</t>
  </si>
  <si>
    <t>SV11.3.38</t>
  </si>
  <si>
    <t>23/01/2008</t>
  </si>
  <si>
    <t>0964356875</t>
  </si>
  <si>
    <t>Dương Văn Kiêu</t>
  </si>
  <si>
    <t>Nguyễn Thị Lanh</t>
  </si>
  <si>
    <t>Tổ dân phố số 10, Phường Thạch Bàn, Quận Long Biên, Thành phố Hà Nội</t>
  </si>
  <si>
    <t>SV11.3.39</t>
  </si>
  <si>
    <t>0378482408</t>
  </si>
  <si>
    <t>Vũ Phi Hoàn</t>
  </si>
  <si>
    <t>0981057500</t>
  </si>
  <si>
    <t>Nguyễn Thị Ngàn</t>
  </si>
  <si>
    <t>Phạm Minh Tùng</t>
  </si>
  <si>
    <t>SV11.3.40</t>
  </si>
  <si>
    <t>22/06/2008</t>
  </si>
  <si>
    <t>0904106193</t>
  </si>
  <si>
    <t>Phạm Quốc Thụ</t>
  </si>
  <si>
    <t>Nguyễn Thúy Lệ</t>
  </si>
  <si>
    <t>Phường Bạch Đằng, Quận Hai Bà Trưng, Thành phố Hà Nội</t>
  </si>
  <si>
    <t>SV11.4.1</t>
  </si>
  <si>
    <t>0915979021</t>
  </si>
  <si>
    <t>Hồ Xuân Phong</t>
  </si>
  <si>
    <t>0834469056</t>
  </si>
  <si>
    <t>Lưu Thị Hằng</t>
  </si>
  <si>
    <t>Căn hộ A2-412 CC Ruby Ct3, Phường Phúc Lợi, Quận Long Biên, Thành phố Hà Nội</t>
  </si>
  <si>
    <t>SV11.4.2</t>
  </si>
  <si>
    <t>14/11/2008</t>
  </si>
  <si>
    <t>0982188683</t>
  </si>
  <si>
    <t>Ma Quốc Hiệp</t>
  </si>
  <si>
    <t>0912288833</t>
  </si>
  <si>
    <t>Trần Thị Tuyết Nhung</t>
  </si>
  <si>
    <t>Tổ dân phố số 13, Phường Thượng Thanh, Quận Long Biên, Thành phố Hà Nội</t>
  </si>
  <si>
    <t>SV11.4.3</t>
  </si>
  <si>
    <t>05/12/2008</t>
  </si>
  <si>
    <t>0981914921</t>
  </si>
  <si>
    <t>Hồ Xuân Tùng</t>
  </si>
  <si>
    <t>0915088375</t>
  </si>
  <si>
    <t>Đặng Thị Vẻ</t>
  </si>
  <si>
    <t>Tổ dân phố số 11, Phường Cự Khối, Quận Long Biên, Thành phố Hà Nội</t>
  </si>
  <si>
    <t>SV11.4.4</t>
  </si>
  <si>
    <t>0982828699</t>
  </si>
  <si>
    <t>0989660737</t>
  </si>
  <si>
    <t>Vũ Thị Thanh Tuyền</t>
  </si>
  <si>
    <t>Tổ dân phố số 12B, Phường Thanh Lương, Quận Hai Bà Trưng, Thành phố Hà Nội</t>
  </si>
  <si>
    <t>SV11.4.5</t>
  </si>
  <si>
    <t>23/08/2008</t>
  </si>
  <si>
    <t>0964393859</t>
  </si>
  <si>
    <t>Nguyễn Văn Quyết</t>
  </si>
  <si>
    <t>0910811980</t>
  </si>
  <si>
    <t>Nguyễn Thị Hòa</t>
  </si>
  <si>
    <t>Ngõ 53 Vũ Xuân Thiều, Phường Sài Đồng, Quận Long Biên, Thành phố Hà Nội</t>
  </si>
  <si>
    <t>SV11.4.6</t>
  </si>
  <si>
    <t>16/04/2008</t>
  </si>
  <si>
    <t>0865097940</t>
  </si>
  <si>
    <t>Nguyễn Chiến Thằng</t>
  </si>
  <si>
    <t>Hoàng Thị Hạnh</t>
  </si>
  <si>
    <t>Tổ 03, Phường Hàng Trống, Quận Hoàn Kiếm, Thành phố Hà Nội</t>
  </si>
  <si>
    <t>SV11.4.7</t>
  </si>
  <si>
    <t>27/03/2008</t>
  </si>
  <si>
    <t>0978840815</t>
  </si>
  <si>
    <t>Trần Tuấn Thành</t>
  </si>
  <si>
    <t>Nguyễn Thị Kim Bích</t>
  </si>
  <si>
    <t>SV11.4.8</t>
  </si>
  <si>
    <t>10/03/2008</t>
  </si>
  <si>
    <t>0934629606</t>
  </si>
  <si>
    <t>Trần Tiến Đạt</t>
  </si>
  <si>
    <t>Phạm Hương Giang</t>
  </si>
  <si>
    <t>219A Đường Long Biên, Phường Ngọc Lâm, Quận Long Biên, Thành phố Hà Nội</t>
  </si>
  <si>
    <t>Trần Tùng Lâm B</t>
  </si>
  <si>
    <t>SV11.4.9</t>
  </si>
  <si>
    <t>19/07/2008</t>
  </si>
  <si>
    <t>0989376185</t>
  </si>
  <si>
    <t>Trần Văn Núi</t>
  </si>
  <si>
    <t>0971944185</t>
  </si>
  <si>
    <t>Lã Thị Tho</t>
  </si>
  <si>
    <t>SV11.4.10</t>
  </si>
  <si>
    <t>0988501376</t>
  </si>
  <si>
    <t>Hoàng Minh Tuấn</t>
  </si>
  <si>
    <t>0912572103</t>
  </si>
  <si>
    <t>Lại Thị Thanh Xuân</t>
  </si>
  <si>
    <t>Tổ dân phố số 6, Phường Gia Thụy, Quận Long Biên, Thành phố Hà Nội</t>
  </si>
  <si>
    <t>SV11.4.11</t>
  </si>
  <si>
    <t>27/08/2007</t>
  </si>
  <si>
    <t>0349261728</t>
  </si>
  <si>
    <t>Đỗ Tuấn Magdalena</t>
  </si>
  <si>
    <t>Tổ dân phố số 17, Phường Thạch Bàn, Quận Long Biên, Thành phố Hà Nội</t>
  </si>
  <si>
    <t>SV11.4.12</t>
  </si>
  <si>
    <t>0963036599</t>
  </si>
  <si>
    <t>Đỗ Đình Sơn</t>
  </si>
  <si>
    <t>0983016761</t>
  </si>
  <si>
    <t>Hà Thị Phượng</t>
  </si>
  <si>
    <t>Tổ dân phố số 1, Phường Thượng Thanh, Quận Long Biên, Thành phố Hà Nội</t>
  </si>
  <si>
    <t>SV11.4.13</t>
  </si>
  <si>
    <t>24/07/2008</t>
  </si>
  <si>
    <t>0976885663</t>
  </si>
  <si>
    <t>Trần Ngọc Đàm Khoa</t>
  </si>
  <si>
    <t>0912063816</t>
  </si>
  <si>
    <t>Trương Thị Thu Trang</t>
  </si>
  <si>
    <t>Số 72 Phố Trạm, Phường Long Biên, Quận Long Biên, Thành phố Hà Nội</t>
  </si>
  <si>
    <t>SV11.4.14</t>
  </si>
  <si>
    <t>25/02/2008</t>
  </si>
  <si>
    <t>0968188118</t>
  </si>
  <si>
    <t>Đinh Đức Thọ</t>
  </si>
  <si>
    <t>0975128870</t>
  </si>
  <si>
    <t>Trần Thị Thu Phượng</t>
  </si>
  <si>
    <t>Tổ dân phố số 22, Phường Ngọc Thụy, Quận Long Biên, Thành phố Hà Nội</t>
  </si>
  <si>
    <t>SV11.4.15</t>
  </si>
  <si>
    <t>30/11/2008</t>
  </si>
  <si>
    <t>0936654754</t>
  </si>
  <si>
    <t>Nguyễn Duy Cường</t>
  </si>
  <si>
    <t>0979713385</t>
  </si>
  <si>
    <t>Tổ dân phố số 9, Phường Long Biên, Quận Long Biên, Thành phố Hà Nội</t>
  </si>
  <si>
    <t>SV11.4.16</t>
  </si>
  <si>
    <t>12/08/2008</t>
  </si>
  <si>
    <t>0772378988</t>
  </si>
  <si>
    <t>Nguyễn Song Toàn</t>
  </si>
  <si>
    <t>0934261199</t>
  </si>
  <si>
    <t>Phan Thị Minh Nguyệt</t>
  </si>
  <si>
    <t>0977237988</t>
  </si>
  <si>
    <t>Tổ 02, Phường Chương Dương, Quận Hoàn Kiếm, Thành phố Hà Nội</t>
  </si>
  <si>
    <t>SV11.4.17</t>
  </si>
  <si>
    <t>22/08/2008</t>
  </si>
  <si>
    <t>0983918481</t>
  </si>
  <si>
    <t>Nguyễn Văn San</t>
  </si>
  <si>
    <t>0983023486</t>
  </si>
  <si>
    <t>Trần Thị Phương Thúy</t>
  </si>
  <si>
    <t>Tổ dân phố số 14, Phường Thạch Bàn, Quận Long Biên, Thành phố Hà Nội</t>
  </si>
  <si>
    <t>SV11.4.18</t>
  </si>
  <si>
    <t>11/08/2008</t>
  </si>
  <si>
    <t>0904598272</t>
  </si>
  <si>
    <t>Dương Anh Tiến</t>
  </si>
  <si>
    <t>Trịnh Thị Lài</t>
  </si>
  <si>
    <t>0978754373</t>
  </si>
  <si>
    <t>SV11.4.19</t>
  </si>
  <si>
    <t>18/08/2008</t>
  </si>
  <si>
    <t>0355008639</t>
  </si>
  <si>
    <t>Trần Văn Vỹ</t>
  </si>
  <si>
    <t>0982440916</t>
  </si>
  <si>
    <t>Trần Thị Thanh Nga</t>
  </si>
  <si>
    <t>SV11.4.20</t>
  </si>
  <si>
    <t>08/08/2008</t>
  </si>
  <si>
    <t>0936883003</t>
  </si>
  <si>
    <t>Hoàng Ngọc Linh</t>
  </si>
  <si>
    <t>Ngô Ánh Nguyệt</t>
  </si>
  <si>
    <t>0966230481</t>
  </si>
  <si>
    <t>Số 9, Ngõ 57, Phố Phúc Tân, Quận Hoàn Kiếm, Thành phố Hà Nội</t>
  </si>
  <si>
    <t>SV11.4.21</t>
  </si>
  <si>
    <t>0912985568</t>
  </si>
  <si>
    <t>Đoàn Mạnh Hùng</t>
  </si>
  <si>
    <t>Nguyễn Hồng Nga</t>
  </si>
  <si>
    <t>0913545998</t>
  </si>
  <si>
    <t>Nguyễn Hải Đăng</t>
  </si>
  <si>
    <t>SV11.4.22</t>
  </si>
  <si>
    <t>Đỗ Tuấn</t>
  </si>
  <si>
    <t>SV11.4.23</t>
  </si>
  <si>
    <t>SV11.5.1</t>
  </si>
  <si>
    <t>28/06/2008</t>
  </si>
  <si>
    <t>0385383543</t>
  </si>
  <si>
    <t>Âu Ngọc Thắng</t>
  </si>
  <si>
    <t>Trần Thị Tuyết Lan</t>
  </si>
  <si>
    <t>Tổ dân phố số 3, Phường Việt Hưng, Quận Long Biên, Thành phố Hà Nội</t>
  </si>
  <si>
    <t>SV11.5.2</t>
  </si>
  <si>
    <t>11/01/2008</t>
  </si>
  <si>
    <t>0986569829</t>
  </si>
  <si>
    <t>Bùi Anh Sơn</t>
  </si>
  <si>
    <t>0915551223</t>
  </si>
  <si>
    <t>SV11.5.3</t>
  </si>
  <si>
    <t>0988817890</t>
  </si>
  <si>
    <t>Cung Mạnh Tiến</t>
  </si>
  <si>
    <t>0915343232</t>
  </si>
  <si>
    <t>Trương Thị Dung</t>
  </si>
  <si>
    <t>Tổ dân phố số 5, Phường Đức Giang, Quận Long Biên, Thành phố Hà Nội</t>
  </si>
  <si>
    <t>Đào Nhật Linh</t>
  </si>
  <si>
    <t>SV11.5.4</t>
  </si>
  <si>
    <t>13/11/2008</t>
  </si>
  <si>
    <t>0944058222</t>
  </si>
  <si>
    <t>Đào Ngọc Tuất</t>
  </si>
  <si>
    <t>0985101809</t>
  </si>
  <si>
    <t>Phùng Thị Lan</t>
  </si>
  <si>
    <t>Phường Long Biên, Quận Long Biên, Thành phố Hà Nội</t>
  </si>
  <si>
    <t>SV11.5.6</t>
  </si>
  <si>
    <t>0972543537</t>
  </si>
  <si>
    <t>Đào Công Điềm</t>
  </si>
  <si>
    <t>0976175856</t>
  </si>
  <si>
    <t>Đàm Thị Bích Ngọc</t>
  </si>
  <si>
    <t>SV11.5.7</t>
  </si>
  <si>
    <t>13/01/2008</t>
  </si>
  <si>
    <t>0912516825</t>
  </si>
  <si>
    <t>Đinh Văn Thăng</t>
  </si>
  <si>
    <t>0373708888</t>
  </si>
  <si>
    <t>Phạm Thị Kim Chi</t>
  </si>
  <si>
    <t>Tổ dân phố số 21, Phường Thượng Thanh, Quận Long Biên, Thành phố Hà Nội</t>
  </si>
  <si>
    <t>SV11.5.8</t>
  </si>
  <si>
    <t>19/06/2008</t>
  </si>
  <si>
    <t>0973759969</t>
  </si>
  <si>
    <t>Đỗ Mạnh Tấn</t>
  </si>
  <si>
    <t>0989809263</t>
  </si>
  <si>
    <t>Lương Thị Nga</t>
  </si>
  <si>
    <t>SV11.5.9</t>
  </si>
  <si>
    <t>18/09/2008</t>
  </si>
  <si>
    <t>0352514882</t>
  </si>
  <si>
    <t>Đông Văn Trường</t>
  </si>
  <si>
    <t>0974199926</t>
  </si>
  <si>
    <t>Khúc Thị Thu Huyền</t>
  </si>
  <si>
    <t>SV11.5.10</t>
  </si>
  <si>
    <t>0946958369</t>
  </si>
  <si>
    <t>Hoàng Văn Thỏa</t>
  </si>
  <si>
    <t>0982552486</t>
  </si>
  <si>
    <t>Trần Thị Thảo</t>
  </si>
  <si>
    <t>Tổ dân phố số 7, Phường Giang Biên, Quận Long Biên, Thành phố Hà Nội</t>
  </si>
  <si>
    <t>SV11.5.11</t>
  </si>
  <si>
    <t>31/08/2008</t>
  </si>
  <si>
    <t>0987523576</t>
  </si>
  <si>
    <t>Hoàng Công Minh</t>
  </si>
  <si>
    <t>0947599073</t>
  </si>
  <si>
    <t>Phạm Thúy Hà</t>
  </si>
  <si>
    <t>Tổ dân phố số 13, Phường Thạch Bàn, Quận Long Biên, Thành phố Hà Nội</t>
  </si>
  <si>
    <t>SV11.5.12</t>
  </si>
  <si>
    <t>0382139617</t>
  </si>
  <si>
    <t>Lê Huy Thường</t>
  </si>
  <si>
    <t>0912627376</t>
  </si>
  <si>
    <t>Lê Thị Mai</t>
  </si>
  <si>
    <t>Tổ dân phố số 15, Phường Phúc Lợi, Quận Long Biên, Thành phố Hà Nội</t>
  </si>
  <si>
    <t>SV11.5.13</t>
  </si>
  <si>
    <t>14/01/2008</t>
  </si>
  <si>
    <t>0914787869</t>
  </si>
  <si>
    <t>Lê Thanh Vĩ</t>
  </si>
  <si>
    <t>Đinh Thị Nga</t>
  </si>
  <si>
    <t>SV11.5.14</t>
  </si>
  <si>
    <t>0984085550</t>
  </si>
  <si>
    <t>Lê Ngọc Minh</t>
  </si>
  <si>
    <t>0914612982</t>
  </si>
  <si>
    <t>Đặng Thị Huyền</t>
  </si>
  <si>
    <t>SV11.5.15</t>
  </si>
  <si>
    <t>10/05/2008</t>
  </si>
  <si>
    <t>0912985246</t>
  </si>
  <si>
    <t>Lê Hùng Hậu</t>
  </si>
  <si>
    <t>Phạm Thị Minh Nghĩa</t>
  </si>
  <si>
    <t>SV11.5.16</t>
  </si>
  <si>
    <t>19/12/2008</t>
  </si>
  <si>
    <t>0904399500</t>
  </si>
  <si>
    <t>Lê Hồng Thân</t>
  </si>
  <si>
    <t>0979586885</t>
  </si>
  <si>
    <t>Nguyễn Thị Thùy</t>
  </si>
  <si>
    <t>SV11.5.17</t>
  </si>
  <si>
    <t>28/07/2008</t>
  </si>
  <si>
    <t>0982876146</t>
  </si>
  <si>
    <t>Lê Văn Khoa</t>
  </si>
  <si>
    <t>0912185489</t>
  </si>
  <si>
    <t>Nguyễn Thị Hồng</t>
  </si>
  <si>
    <t>Phường Lê Đại Hành, Quận Hai Bà Trưng, Thành phố Hà Nội</t>
  </si>
  <si>
    <t>SV11.5.18</t>
  </si>
  <si>
    <t>29/01/2008</t>
  </si>
  <si>
    <t>0973751499</t>
  </si>
  <si>
    <t>Lưu Thành Trung</t>
  </si>
  <si>
    <t>Nguyễn Thị Khoa</t>
  </si>
  <si>
    <t>0974343560</t>
  </si>
  <si>
    <t>SV11.5.19</t>
  </si>
  <si>
    <t>0982027882</t>
  </si>
  <si>
    <t>Lý Sỹ Thắng</t>
  </si>
  <si>
    <t>0983471678</t>
  </si>
  <si>
    <t>Trần Thị Hồng Thu</t>
  </si>
  <si>
    <t>SV11.5.20</t>
  </si>
  <si>
    <t>22/02/2008</t>
  </si>
  <si>
    <t>0936963033</t>
  </si>
  <si>
    <t>Ngô Đình Tuấn</t>
  </si>
  <si>
    <t>0984823738</t>
  </si>
  <si>
    <t>Tổ dân phố số 1, Phường Ngọc Lâm, Quận Long Biên, Thành phố Hà Nội</t>
  </si>
  <si>
    <t>SV11.5.23</t>
  </si>
  <si>
    <t>21/02/2008</t>
  </si>
  <si>
    <t>0979292165</t>
  </si>
  <si>
    <t>Ngô Xuân Phong</t>
  </si>
  <si>
    <t>0941073557</t>
  </si>
  <si>
    <t>Vũ Thị Hải Yến</t>
  </si>
  <si>
    <t>Thôn Du Nội, Xã Mai Lâm, Huyện Đông Anh, Thành phố Hà Nội</t>
  </si>
  <si>
    <t>SV11.5.24</t>
  </si>
  <si>
    <t>03/02/2008</t>
  </si>
  <si>
    <t>0915041111</t>
  </si>
  <si>
    <t>Nguyễn Văn Hưng</t>
  </si>
  <si>
    <t>Nguyễn Thanh Thủy</t>
  </si>
  <si>
    <t>Xã Đa Tốn, Huyện Gia Lâm, Thành phố Hà Nội</t>
  </si>
  <si>
    <t>SV11.5.25</t>
  </si>
  <si>
    <t>10/10/2008</t>
  </si>
  <si>
    <t>0869808289</t>
  </si>
  <si>
    <t>Nguyễn Thế Bộ</t>
  </si>
  <si>
    <t>0968921822</t>
  </si>
  <si>
    <t>SV11.5.26</t>
  </si>
  <si>
    <t>08/02/2008</t>
  </si>
  <si>
    <t>0912401547</t>
  </si>
  <si>
    <t>Nguyễn Thế Tuân</t>
  </si>
  <si>
    <t>0947694277</t>
  </si>
  <si>
    <t>Tổ dân phố số 23, Phường Bồ Đề, Quận Long Biên, Thành phố Hà Nội</t>
  </si>
  <si>
    <t>SV11.5.27</t>
  </si>
  <si>
    <t>22/07/2008</t>
  </si>
  <si>
    <t>0987242968</t>
  </si>
  <si>
    <t>Nguyễn Mạnh Hùng</t>
  </si>
  <si>
    <t>Nguyễn Thị Thanh Hằng</t>
  </si>
  <si>
    <t>Tổ dân phố số 4, Phường Thạch Bàn, Quận Long Biên, Thành phố Hà Nội</t>
  </si>
  <si>
    <t>SV11.5.28</t>
  </si>
  <si>
    <t>29/10/2008</t>
  </si>
  <si>
    <t>0904566581</t>
  </si>
  <si>
    <t>Nguyễn Hồng Hải</t>
  </si>
  <si>
    <t>0915969595</t>
  </si>
  <si>
    <t>Phùng Thị Hương</t>
  </si>
  <si>
    <t>SV11.5.29</t>
  </si>
  <si>
    <t>25/03/2008</t>
  </si>
  <si>
    <t>0979988517</t>
  </si>
  <si>
    <t>Nguyễn Tiến Hưng</t>
  </si>
  <si>
    <t>0913025458</t>
  </si>
  <si>
    <t>Hoàng Thị Huyền</t>
  </si>
  <si>
    <t>Nguyễn Minh Khôi</t>
  </si>
  <si>
    <t>SV11.5.31</t>
  </si>
  <si>
    <t>18/02/2008</t>
  </si>
  <si>
    <t>0983726283</t>
  </si>
  <si>
    <t>0986725812</t>
  </si>
  <si>
    <t>Nguyễn Thị Hương Giang</t>
  </si>
  <si>
    <t>SV11.5.33</t>
  </si>
  <si>
    <t>13/03/2008</t>
  </si>
  <si>
    <t>0384285220</t>
  </si>
  <si>
    <t>Nguyễn Xuân Hoàng</t>
  </si>
  <si>
    <t>0972714901</t>
  </si>
  <si>
    <t>Nguyễn Thục Linh</t>
  </si>
  <si>
    <t>SV11.5.34</t>
  </si>
  <si>
    <t>0985985989</t>
  </si>
  <si>
    <t>Nguyễn Văn Thảo</t>
  </si>
  <si>
    <t>0912043267</t>
  </si>
  <si>
    <t>SV11.5.35</t>
  </si>
  <si>
    <t>06/01/2008</t>
  </si>
  <si>
    <t>0912591018</t>
  </si>
  <si>
    <t>Nguyễn Hữu Toàn</t>
  </si>
  <si>
    <t>0915350989</t>
  </si>
  <si>
    <t>Hoàng Thị Anh</t>
  </si>
  <si>
    <t>Tổ dân phố số 11, Phường Thượng Thanh, Quận Long Biên, Thành phố Hà Nội</t>
  </si>
  <si>
    <t>SV11.5.40</t>
  </si>
  <si>
    <t>15/11/2008</t>
  </si>
  <si>
    <t>0987666861</t>
  </si>
  <si>
    <t>0966399595</t>
  </si>
  <si>
    <t>Đỗ Thị Hải Yến</t>
  </si>
  <si>
    <t>Phạm Hoàng An</t>
  </si>
  <si>
    <t>SV11.5.41</t>
  </si>
  <si>
    <t>21/09/2008</t>
  </si>
  <si>
    <t>0902466658</t>
  </si>
  <si>
    <t>Phạm Thái Việt</t>
  </si>
  <si>
    <t>SV11.5.42</t>
  </si>
  <si>
    <t>0965664226</t>
  </si>
  <si>
    <t>Phạm Quang Định</t>
  </si>
  <si>
    <t>0915268747</t>
  </si>
  <si>
    <t>Phạm Thị Tuyết</t>
  </si>
  <si>
    <t>SV11.5.44</t>
  </si>
  <si>
    <t>07/07/2008</t>
  </si>
  <si>
    <t>0375648956</t>
  </si>
  <si>
    <t>Tạ Bá Nghĩa</t>
  </si>
  <si>
    <t>Hoàng Thị Quý</t>
  </si>
  <si>
    <t>SV11.5.46</t>
  </si>
  <si>
    <t>17/03/2008</t>
  </si>
  <si>
    <t>0936268221</t>
  </si>
  <si>
    <t>Vũ Khắc Hùng</t>
  </si>
  <si>
    <t>0983206208</t>
  </si>
  <si>
    <t>Vương Toàn Gia Huy</t>
  </si>
  <si>
    <t>SV11.5.47</t>
  </si>
  <si>
    <t>20/09/2008</t>
  </si>
  <si>
    <t>0913159985</t>
  </si>
  <si>
    <t>Vương Minh Tới</t>
  </si>
  <si>
    <t>0916669985</t>
  </si>
  <si>
    <t>Nguyễn Thị Lệ Thúy</t>
  </si>
  <si>
    <t>SV11.5.48</t>
  </si>
  <si>
    <t>0912046964</t>
  </si>
  <si>
    <t>Đào Mạnh Trường</t>
  </si>
  <si>
    <t>Hoàng Thị Lê Lan</t>
  </si>
  <si>
    <t>Phường Thanh Lương, Quận Hai Bà Trưng, Thành phố Hà Nội</t>
  </si>
  <si>
    <t>SV11.5.49</t>
  </si>
  <si>
    <t>27/09/2008</t>
  </si>
  <si>
    <t>0914131808</t>
  </si>
  <si>
    <t>Nguyễn Đức Bình</t>
  </si>
  <si>
    <t>Phùng Thị Thanh Thủy</t>
  </si>
  <si>
    <t>0912289898</t>
  </si>
  <si>
    <t>Tổ dân phố số 3, Phường Đức Giang, Quận Long Biên, Thành phố Hà Nội</t>
  </si>
  <si>
    <t>SV11.5.50</t>
  </si>
  <si>
    <t>Đinh Nguyễn Thúy An</t>
  </si>
  <si>
    <t>SV11.5.51</t>
  </si>
  <si>
    <t>Nguyễn Đức Hải Tùng</t>
  </si>
  <si>
    <t>SV11.5.52</t>
  </si>
  <si>
    <t>SV11.6.1</t>
  </si>
  <si>
    <t>Bùi Quốc Tuấn 1968</t>
  </si>
  <si>
    <t>Hoàng Thị Hiền 1979</t>
  </si>
  <si>
    <t>Số 6 ngõ 76VXT, Tổ 22, Sài Đồng, LB</t>
  </si>
  <si>
    <t>SV11.6.2</t>
  </si>
  <si>
    <t>Bùi Minh Quang 76</t>
  </si>
  <si>
    <t>Phan Thị Thuý 80</t>
  </si>
  <si>
    <t>SV11.6.3</t>
  </si>
  <si>
    <t>Bùi Ngọc Dũng 64</t>
  </si>
  <si>
    <t>Nguyễn Thị Hà 72</t>
  </si>
  <si>
    <t>SV11.6.4</t>
  </si>
  <si>
    <t>Đàm Hồng Nhật 1977</t>
  </si>
  <si>
    <t>TrầnTXuân Nhạn1982</t>
  </si>
  <si>
    <t>Tổ 12, Thạch Bàn, LB</t>
  </si>
  <si>
    <t>SV11.6.5</t>
  </si>
  <si>
    <t>Đặng Văn Năm 1966</t>
  </si>
  <si>
    <t>Ngô Thị Bột 1975</t>
  </si>
  <si>
    <t>Số 19/9/1 Nguyễn Văn Linh, Gia Thụỵ, LB</t>
  </si>
  <si>
    <t>SV11.6.6</t>
  </si>
  <si>
    <t>Đinh Xuân Hùng 82</t>
  </si>
  <si>
    <t>Nguyễn Thị Mừng 82</t>
  </si>
  <si>
    <t>D2 Rừng Cọ Ecopark , xã Xuân Quan, Huyện Văn Giang, Tỉnh Hưng Yên</t>
  </si>
  <si>
    <t>SV11.6.7</t>
  </si>
  <si>
    <t>Đỗ Trần Lâm78</t>
  </si>
  <si>
    <t>Đỗ Ánh Hồng 77</t>
  </si>
  <si>
    <t>137 Hàng Bông Hàng Bông, Hoàn Kiếm</t>
  </si>
  <si>
    <t>SV11.6.8</t>
  </si>
  <si>
    <t>Đỗ Trung Kiên 75</t>
  </si>
  <si>
    <t>Nguyễn T Hồng Xiêm 82</t>
  </si>
  <si>
    <t>Tổ 14, Thạch Bàn, LB</t>
  </si>
  <si>
    <t>Đỗ Thảo Vân</t>
  </si>
  <si>
    <t>SV11.6.9</t>
  </si>
  <si>
    <t>SV11.6.10</t>
  </si>
  <si>
    <t>Hồ Đức Long</t>
  </si>
  <si>
    <t>Lê Thị Thuỳ Dương 81</t>
  </si>
  <si>
    <t>Hiện nay: Số 21 hẻm 32/15/23 phố An Dương, Phường Yên Phụ, Tây Hồ, HN</t>
  </si>
  <si>
    <t>SV11.6.11</t>
  </si>
  <si>
    <t>SV11.6.12</t>
  </si>
  <si>
    <t>SV11.6.13</t>
  </si>
  <si>
    <t>Khúc Thanh Tùng 69</t>
  </si>
  <si>
    <t>Ngô Kim Thư 73</t>
  </si>
  <si>
    <t>Tổ 9, Thạch Bàn, LB</t>
  </si>
  <si>
    <t>SV11.6.15</t>
  </si>
  <si>
    <t>Lê Huy Hải 75</t>
  </si>
  <si>
    <t>Nguyễn Thị Thuý Hà 79</t>
  </si>
  <si>
    <t>Tổ 3, Thạch Bàn, LB</t>
  </si>
  <si>
    <t>SV11.6.16</t>
  </si>
  <si>
    <t>Lê Văn Tiến 79</t>
  </si>
  <si>
    <t>Lý Thanh Huyền 76</t>
  </si>
  <si>
    <t>Tổ 17, Ngọc Thuỵ, LB</t>
  </si>
  <si>
    <t>SV11.6.17</t>
  </si>
  <si>
    <t>Lê Hồng Hiếu1984</t>
  </si>
  <si>
    <t>Ngô Thị Kim Đào1981</t>
  </si>
  <si>
    <t>P3r4 cc Happy Star No10, Giang Biên, LB</t>
  </si>
  <si>
    <t>SV11.6.18</t>
  </si>
  <si>
    <t>Lê Đình Dũng 1970</t>
  </si>
  <si>
    <t>Vương Thị Thảo 1978</t>
  </si>
  <si>
    <t>Tổ 7, Ngọc Thuỵ, LB</t>
  </si>
  <si>
    <t>SV11.6.19</t>
  </si>
  <si>
    <t>Mai Kiên Cường 82</t>
  </si>
  <si>
    <t>Nguyễn Thị Sen 85</t>
  </si>
  <si>
    <t>Tổ 10, Thạch Bàn, LB</t>
  </si>
  <si>
    <t>SV11.6.20</t>
  </si>
  <si>
    <t>Ngô Gia Lĩnh 73</t>
  </si>
  <si>
    <t>Trần Thị Xuân 79</t>
  </si>
  <si>
    <t>Tổ 1, Phường Long Biên, Quận Long Biên, Thành phố Hà Nội</t>
  </si>
  <si>
    <t>Nguyễn  Khánh Linh</t>
  </si>
  <si>
    <t>SV11.6.21</t>
  </si>
  <si>
    <t>SV11.6.22</t>
  </si>
  <si>
    <t>Nguyễn Khúc Lương1972</t>
  </si>
  <si>
    <t>Nguyễn Thị Thu Hà 77</t>
  </si>
  <si>
    <t>Tổ 18, Thượng Thanh, LB</t>
  </si>
  <si>
    <t>SV11.6.23</t>
  </si>
  <si>
    <t>Nguyễn Văn Yên 79</t>
  </si>
  <si>
    <t>Phạm Thị Thu81</t>
  </si>
  <si>
    <t>5/366/36/4, Ngọc Lâm, LB</t>
  </si>
  <si>
    <t>SV11.6.24</t>
  </si>
  <si>
    <t>Nguyễn Đức Mong 75</t>
  </si>
  <si>
    <t>Nguyễn Thị Phượng 78</t>
  </si>
  <si>
    <t>SV11.6.25</t>
  </si>
  <si>
    <t>Nguyễn Tất Thắng 1984</t>
  </si>
  <si>
    <t>Vũ Thị Thu Huyền 83</t>
  </si>
  <si>
    <t>Tổ 7, Giang Biên, LB</t>
  </si>
  <si>
    <t>SV11.6.26</t>
  </si>
  <si>
    <t>Nguyễn Văn Liệu 1971</t>
  </si>
  <si>
    <t>Phạm Thị Hồng Thuý 1976</t>
  </si>
  <si>
    <t>Hiện nay: Tổ 12, Thạch Bàn, LB</t>
  </si>
  <si>
    <t>SV11.6.27</t>
  </si>
  <si>
    <t>Nguyễn Minh Hải 83</t>
  </si>
  <si>
    <t>Phạm Thị Oanh 83</t>
  </si>
  <si>
    <t>Số 77 Gia Quất, Thượng Thanh, LB</t>
  </si>
  <si>
    <t>SV11.6.28</t>
  </si>
  <si>
    <t>SV11.6.29</t>
  </si>
  <si>
    <t>SV11.6.30</t>
  </si>
  <si>
    <t>SV11.6.31</t>
  </si>
  <si>
    <t>SV11.6.32</t>
  </si>
  <si>
    <t>SV11.6.33</t>
  </si>
  <si>
    <t>SV11.6.34</t>
  </si>
  <si>
    <t>SV11.6.35</t>
  </si>
  <si>
    <t>SV11.6.36</t>
  </si>
  <si>
    <t>SV11.6.37</t>
  </si>
  <si>
    <t>SV11.6.38</t>
  </si>
  <si>
    <t>SV11.6.39</t>
  </si>
  <si>
    <t>SV11.6.40</t>
  </si>
  <si>
    <t>SV11.6.41</t>
  </si>
  <si>
    <t>SV11.6.42</t>
  </si>
  <si>
    <t>SV11.6.43</t>
  </si>
  <si>
    <t>SV11.6.44</t>
  </si>
  <si>
    <t xml:space="preserve">Nguyễn Văn Tuấn </t>
  </si>
  <si>
    <t>SV11.8.3</t>
  </si>
  <si>
    <t>SV11.8.4</t>
  </si>
  <si>
    <t>SV11.9.1</t>
  </si>
  <si>
    <t>24/08/2008</t>
  </si>
  <si>
    <t>0904173113</t>
  </si>
  <si>
    <t>Nguyễn Văn Huấn</t>
  </si>
  <si>
    <t>Trịnh Vân Anh</t>
  </si>
  <si>
    <t>Thị trấn Trâu Quỳ, Huyện Gia Lâm, Thành phố Hà Nội</t>
  </si>
  <si>
    <t>SV11.9.2</t>
  </si>
  <si>
    <t>08/11/2008</t>
  </si>
  <si>
    <t>0915505089</t>
  </si>
  <si>
    <t>Nguyễn Quang Ngọc</t>
  </si>
  <si>
    <t>0913223872</t>
  </si>
  <si>
    <t>Phạm Thị Lan</t>
  </si>
  <si>
    <t>SV11.9.3</t>
  </si>
  <si>
    <t>12/11/2008</t>
  </si>
  <si>
    <t>0372358580</t>
  </si>
  <si>
    <t>Hoàng Văn Đức</t>
  </si>
  <si>
    <t>Nguyễn Thị Chinh</t>
  </si>
  <si>
    <t>0974352772</t>
  </si>
  <si>
    <t>SV11.9.4</t>
  </si>
  <si>
    <t>03/09/2008</t>
  </si>
  <si>
    <t>0966746504</t>
  </si>
  <si>
    <t>0972059465</t>
  </si>
  <si>
    <t>Hoàng Thị Vân Nga</t>
  </si>
  <si>
    <t>SV11.9.5</t>
  </si>
  <si>
    <t>0978289755</t>
  </si>
  <si>
    <t>Ngô Tiến Tuyến</t>
  </si>
  <si>
    <t>0975422872</t>
  </si>
  <si>
    <t>Ngô Thị Ái Vân</t>
  </si>
  <si>
    <t>Tổ dân phố số 29, Phường Ngọc Thụy, Quận Long Biên, Thành phố Hà Nội</t>
  </si>
  <si>
    <t>SV11.9.6</t>
  </si>
  <si>
    <t>0363624537</t>
  </si>
  <si>
    <t>Nguyễn Chí Song</t>
  </si>
  <si>
    <t>0976094050</t>
  </si>
  <si>
    <t>Bùi Thị Thu Hiền</t>
  </si>
  <si>
    <t>0906190323</t>
  </si>
  <si>
    <t>SV11.9.7</t>
  </si>
  <si>
    <t>17/08/2008</t>
  </si>
  <si>
    <t>0979336120</t>
  </si>
  <si>
    <t>Nguyễn Trường Giang</t>
  </si>
  <si>
    <t>Trần Thu Hiền</t>
  </si>
  <si>
    <t>0973637203</t>
  </si>
  <si>
    <t>Xã Mai Lâm, Huyện Đông Anh, Thành phố Hà Nội</t>
  </si>
  <si>
    <t>SV11.9.8</t>
  </si>
  <si>
    <t>27/06/2008</t>
  </si>
  <si>
    <t>0982800980</t>
  </si>
  <si>
    <t>Đào Thanh Phong</t>
  </si>
  <si>
    <t>0904993476</t>
  </si>
  <si>
    <t>Vũ Thanh Hằng</t>
  </si>
  <si>
    <t>SV11.10.2</t>
  </si>
  <si>
    <t>0915681598</t>
  </si>
  <si>
    <t>Lê Anh Xuân</t>
  </si>
  <si>
    <t>SV11.10.3</t>
  </si>
  <si>
    <t>17/01/2008</t>
  </si>
  <si>
    <t>0987804172</t>
  </si>
  <si>
    <t>Nguyễn Phú Triệu</t>
  </si>
  <si>
    <t>Nguyễn Thị Mây</t>
  </si>
  <si>
    <t>0988024359</t>
  </si>
  <si>
    <t>Tổ dân phố số 15, Phường Đức Giang, Quận Long Biên, Thành phố Hà Nội</t>
  </si>
  <si>
    <t>Nguyễn Hà Ngọc Anh</t>
  </si>
  <si>
    <t>SV11.11.1</t>
  </si>
  <si>
    <t>09/01/2008</t>
  </si>
  <si>
    <t>0904155130</t>
  </si>
  <si>
    <t>Nguyễn Giang Nam</t>
  </si>
  <si>
    <t>Hạ Thị Hồng Hạnh</t>
  </si>
  <si>
    <t>SV11.11.2</t>
  </si>
  <si>
    <t>30/07/2008</t>
  </si>
  <si>
    <t>0362820368</t>
  </si>
  <si>
    <t>Nguyễn Trọng Giáp</t>
  </si>
  <si>
    <t>Nguyễn Thị Kiều Hoa</t>
  </si>
  <si>
    <t>0363670048</t>
  </si>
  <si>
    <t>SV11.11.3</t>
  </si>
  <si>
    <t>11/11/2008</t>
  </si>
  <si>
    <t>0943443281</t>
  </si>
  <si>
    <t>0946592154</t>
  </si>
  <si>
    <t>0943444281</t>
  </si>
  <si>
    <t>SV11.11.4</t>
  </si>
  <si>
    <t>11/04/2008</t>
  </si>
  <si>
    <t>0912660485</t>
  </si>
  <si>
    <t>Phạm Văn Hùng</t>
  </si>
  <si>
    <t>Vũ Thị Hòa</t>
  </si>
  <si>
    <t>SV11.11.5</t>
  </si>
  <si>
    <t>0982128786</t>
  </si>
  <si>
    <t>Ngô Đức Thọ</t>
  </si>
  <si>
    <t>0976768130</t>
  </si>
  <si>
    <t>Trương Thị Loan</t>
  </si>
  <si>
    <t>SV11.11.6</t>
  </si>
  <si>
    <t>20/11/2008</t>
  </si>
  <si>
    <t>0367481978</t>
  </si>
  <si>
    <t>Nguyễn Văn Bảo</t>
  </si>
  <si>
    <t>0912778991</t>
  </si>
  <si>
    <t>Đào Thị Oanh</t>
  </si>
  <si>
    <t>Số 4A, Ngõ 199 Long Biên, P. Ngọc Lâm, Quận Long Biên, Thành phố Hà Nội</t>
  </si>
  <si>
    <t>SV11.11.7</t>
  </si>
  <si>
    <t>22/11/2008</t>
  </si>
  <si>
    <t>0976314533</t>
  </si>
  <si>
    <t>Đỗ Đức Hiệp</t>
  </si>
  <si>
    <t>Nguyễn Thị Cúc</t>
  </si>
  <si>
    <t>SV11.11.8</t>
  </si>
  <si>
    <t>20/02/2008</t>
  </si>
  <si>
    <t>0976715989</t>
  </si>
  <si>
    <t>Phạm Viết Dũng</t>
  </si>
  <si>
    <t>Lê Thị Thanh Thủy</t>
  </si>
  <si>
    <t>0903235358</t>
  </si>
  <si>
    <t>Thôn Hội, Xã Cổ Bi, Huyện Gia Lâm, Thành phố Hà Nội</t>
  </si>
  <si>
    <t>SV11.11.9</t>
  </si>
  <si>
    <t>0987861471</t>
  </si>
  <si>
    <t>Nguyễn Văn Xuân</t>
  </si>
  <si>
    <t>0912087279</t>
  </si>
  <si>
    <t>Phùng Thị Phú</t>
  </si>
  <si>
    <t>0976413693</t>
  </si>
  <si>
    <t>SV11.11.10</t>
  </si>
  <si>
    <t>13/02/2008</t>
  </si>
  <si>
    <t>0983340861</t>
  </si>
  <si>
    <t>Nguyễn Văn Thọ</t>
  </si>
  <si>
    <t>0988682198</t>
  </si>
  <si>
    <t>Tổ dân phố Cửu Việt, Thị trấn Trâu Quỳ, Huyện Gia Lâm, Thành phố Hà Nội</t>
  </si>
  <si>
    <t>SV11.11.11</t>
  </si>
  <si>
    <t>06/11/2008</t>
  </si>
  <si>
    <t>0982040020</t>
  </si>
  <si>
    <t>Bùi Ngọc Cương</t>
  </si>
  <si>
    <t>Chu Thị Hải Ninh</t>
  </si>
  <si>
    <t>Tổ dân phố số 19, Phường Ngọc Thụy, Quận Long Biên, Thành phố Hà Nội</t>
  </si>
  <si>
    <t>SV11.11.13</t>
  </si>
  <si>
    <t>26/09/2008</t>
  </si>
  <si>
    <t>0904340838</t>
  </si>
  <si>
    <t>Trần Thế Quân</t>
  </si>
  <si>
    <t>Bùi Thị Thanh Khuyên</t>
  </si>
  <si>
    <t>0915528811</t>
  </si>
  <si>
    <t>Tổ dân phố số 13, Phường Gia Thụy, Quận Long Biên, Thành phố Hà Nội</t>
  </si>
  <si>
    <t>Lê Hoàng Minh</t>
  </si>
  <si>
    <t>SV11.11.15</t>
  </si>
  <si>
    <t>0989655576</t>
  </si>
  <si>
    <t>Lê Văn Nhì</t>
  </si>
  <si>
    <t>Trần Thị Kim Dung</t>
  </si>
  <si>
    <t>0915838379</t>
  </si>
  <si>
    <t>Tổ dân phố số 26B, Phường Vĩnh Tuy, Quận Hai Bà Trưng, Thành phố Hà Nội</t>
  </si>
  <si>
    <t>SV11.11.16</t>
  </si>
  <si>
    <t>27/08/2008</t>
  </si>
  <si>
    <t>0916482486</t>
  </si>
  <si>
    <t>Nguyễn Đức Thịnh</t>
  </si>
  <si>
    <t>Vũ Thị Vân Thu</t>
  </si>
  <si>
    <t>TDP số 6, Phố Hồng Phúc, P. Nguyễn Trung Trực, Q. Ba Đình, Thành phố Hà Nội</t>
  </si>
  <si>
    <t>SV11.11.17</t>
  </si>
  <si>
    <t>27/01/2008</t>
  </si>
  <si>
    <t>0912955345</t>
  </si>
  <si>
    <t>0918188822</t>
  </si>
  <si>
    <t>Đỗ Thị Hương Sim</t>
  </si>
  <si>
    <t>Phòng 804A, CT1A Thạch Bàn, Quận Long Biên, Thành phố Hà Nội</t>
  </si>
  <si>
    <t>Trần Hà Phương</t>
  </si>
  <si>
    <t>SV11.11.18</t>
  </si>
  <si>
    <t>21/10/2008</t>
  </si>
  <si>
    <t>0982515108</t>
  </si>
  <si>
    <t>Trần Hữu Quân</t>
  </si>
  <si>
    <t>Lê Thị Thanh Bình</t>
  </si>
  <si>
    <t>0914332488</t>
  </si>
  <si>
    <t>Tổ dân phố số 1, Phường Bồ Đề, Quận Long Biên, Thành phố Hà Nội</t>
  </si>
  <si>
    <t>SV11.11.19</t>
  </si>
  <si>
    <t>0974418828</t>
  </si>
  <si>
    <t>Nguyễn Tiến Tùng</t>
  </si>
  <si>
    <t>Trần Thị Bích Hiên</t>
  </si>
  <si>
    <t>Mai Thị Thủy Tiên</t>
  </si>
  <si>
    <t>SV11.11.20</t>
  </si>
  <si>
    <t>20/03/2008</t>
  </si>
  <si>
    <t>0394459176</t>
  </si>
  <si>
    <t>Mai Xuân Hà</t>
  </si>
  <si>
    <t>Kiều Thị Thúy Tâm</t>
  </si>
  <si>
    <t>SV11.11.21</t>
  </si>
  <si>
    <t>04/03/2008</t>
  </si>
  <si>
    <t>0382865948</t>
  </si>
  <si>
    <t>Vũ Văn Nghiên</t>
  </si>
  <si>
    <t>Nguyễn Thị Thìn</t>
  </si>
  <si>
    <t>Vũ Thị Vân Hạ</t>
  </si>
  <si>
    <t>SV11.11.22</t>
  </si>
  <si>
    <t>10/07/2008</t>
  </si>
  <si>
    <t>0983785550</t>
  </si>
  <si>
    <t>Vũ Quốc Vũ</t>
  </si>
  <si>
    <t>0977981125</t>
  </si>
  <si>
    <t>Vũ Thu Hường</t>
  </si>
  <si>
    <t>Nguyễn Hà Linh</t>
  </si>
  <si>
    <t>SV11.11.23</t>
  </si>
  <si>
    <t>0977098989</t>
  </si>
  <si>
    <t>Nguyễn Mạnh Cường</t>
  </si>
  <si>
    <t>0982829669</t>
  </si>
  <si>
    <t>Nguyễn Thị Thảo</t>
  </si>
  <si>
    <t>Dương Thanh Tâm</t>
  </si>
  <si>
    <t>SV11.11.24</t>
  </si>
  <si>
    <t>0947767202</t>
  </si>
  <si>
    <t>Dương Mạnh Cường</t>
  </si>
  <si>
    <t>Trần Thu Hà</t>
  </si>
  <si>
    <t>Tổ 14, Phường Mai Động, Quận Hoàng Mai, Thành phố Hà Nội</t>
  </si>
  <si>
    <t>Trần Phạm Vân Khanh</t>
  </si>
  <si>
    <t>SV11.11.25</t>
  </si>
  <si>
    <t>20/12/2008</t>
  </si>
  <si>
    <t>0912016558</t>
  </si>
  <si>
    <t>Trần Phương</t>
  </si>
  <si>
    <t>0943241786</t>
  </si>
  <si>
    <t>Phạm Thị Hồng Hạnh</t>
  </si>
  <si>
    <t>SV11.11.26</t>
  </si>
  <si>
    <t>0989348756</t>
  </si>
  <si>
    <t>Nguyễn Thế Phương</t>
  </si>
  <si>
    <t>0985852976</t>
  </si>
  <si>
    <t>Ngọ Thị Liên</t>
  </si>
  <si>
    <t>Tổ dân phố số 17, Phường Sài Đồng, Quận Long Biên, Thành phố Hà Nội</t>
  </si>
  <si>
    <t>SV11.11.27</t>
  </si>
  <si>
    <t>01/09/2008</t>
  </si>
  <si>
    <t>0368272145</t>
  </si>
  <si>
    <t>Nguyễn Xuân Hoàn</t>
  </si>
  <si>
    <t>Nguyễn Thị Nhài</t>
  </si>
  <si>
    <t>SV11.11.28</t>
  </si>
  <si>
    <t>18/05/2008</t>
  </si>
  <si>
    <t>0372709344</t>
  </si>
  <si>
    <t>Nguyễn Thế Phách</t>
  </si>
  <si>
    <t>0972444912</t>
  </si>
  <si>
    <t>Phạm Thị Yến</t>
  </si>
  <si>
    <t>Tổ 18, Phường Ngọc Thụy, Quận Long Biên, Thành phố Hà Nội</t>
  </si>
  <si>
    <t>Đỗ Duy An</t>
  </si>
  <si>
    <t>SV11.12.1</t>
  </si>
  <si>
    <t>17/05/2008</t>
  </si>
  <si>
    <t>0989643978</t>
  </si>
  <si>
    <t>Đỗ Duy Phái</t>
  </si>
  <si>
    <t>0779986688</t>
  </si>
  <si>
    <t>Đỗ Thị Thảo</t>
  </si>
  <si>
    <t>SV11.12.2</t>
  </si>
  <si>
    <t>0976245325</t>
  </si>
  <si>
    <t>Đinh Văn Tú</t>
  </si>
  <si>
    <t>SV11.12.3</t>
  </si>
  <si>
    <t>0912359339</t>
  </si>
  <si>
    <t>Lê Văn Huyên</t>
  </si>
  <si>
    <t>Nguyễn Thị Thanh Hương</t>
  </si>
  <si>
    <t>SV11.12.4</t>
  </si>
  <si>
    <t>03/08/2008</t>
  </si>
  <si>
    <t>0983469588</t>
  </si>
  <si>
    <t>Lê Văn Duy</t>
  </si>
  <si>
    <t>0982632822</t>
  </si>
  <si>
    <t>Tạ Thanh Hải</t>
  </si>
  <si>
    <t>Lương Đức Duy Anh</t>
  </si>
  <si>
    <t>SV11.12.5</t>
  </si>
  <si>
    <t>10/11/2008</t>
  </si>
  <si>
    <t>0984886828</t>
  </si>
  <si>
    <t>Lương Xuân Hải</t>
  </si>
  <si>
    <t>0989860571</t>
  </si>
  <si>
    <t>Đinh Thị Thu Linh</t>
  </si>
  <si>
    <t>Nguyễn Diệp Anh</t>
  </si>
  <si>
    <t>SV11.12.6</t>
  </si>
  <si>
    <t>0945199777</t>
  </si>
  <si>
    <t>Nguyễn Văn Tá</t>
  </si>
  <si>
    <t>Chu Thị Thu Yến</t>
  </si>
  <si>
    <t>0819050169</t>
  </si>
  <si>
    <t>Tổ dân phố số 3, Phường Bồ Đề, Quận Long Biên, Thành phố Hà Nội</t>
  </si>
  <si>
    <t>SV11.12.7</t>
  </si>
  <si>
    <t>18/06/2008</t>
  </si>
  <si>
    <t>0988290178</t>
  </si>
  <si>
    <t>Nguyễn Xuân Thụ</t>
  </si>
  <si>
    <t>0912816768</t>
  </si>
  <si>
    <t>Nguyễn Thị Thơm</t>
  </si>
  <si>
    <t>Tổ 13, Khu Đô thị Việt Hưng, Phường Giang Biên, Quận Long Biên.</t>
  </si>
  <si>
    <t>SV11.12.10</t>
  </si>
  <si>
    <t>29/08/2008</t>
  </si>
  <si>
    <t>0916131245</t>
  </si>
  <si>
    <t>Nguyễn Văn Kiên</t>
  </si>
  <si>
    <t>Nguyễn Thị Soạn</t>
  </si>
  <si>
    <t>SV11.12.12</t>
  </si>
  <si>
    <t>0989311377</t>
  </si>
  <si>
    <t>Nguyễn Dương Toàn</t>
  </si>
  <si>
    <t>Nguyễn Thị Ngọc Bích</t>
  </si>
  <si>
    <t>Tổ dân phố số 15, Phường Việt Hưng, Quận Long Biên, Thành phố Hà Nội</t>
  </si>
  <si>
    <t>Nguyễn Lê Hương Giang</t>
  </si>
  <si>
    <t>SV11.12.13</t>
  </si>
  <si>
    <t>0982668218</t>
  </si>
  <si>
    <t>Nguyễn Viết Khải</t>
  </si>
  <si>
    <t>Lê Thị Thu Hằng</t>
  </si>
  <si>
    <t>Tổ dân phố số 5, Phường Cự Khối, Quận Long Biên, Thành phố Hà Nội</t>
  </si>
  <si>
    <t>Nguyễn Thu Hoài</t>
  </si>
  <si>
    <t>SV11.12.14</t>
  </si>
  <si>
    <t>24/02/2008</t>
  </si>
  <si>
    <t>0363109399</t>
  </si>
  <si>
    <t>0325289214</t>
  </si>
  <si>
    <t>Đỗ Thị Nhiên</t>
  </si>
  <si>
    <t>Hoàng Lan Hương</t>
  </si>
  <si>
    <t>SV11.12.16</t>
  </si>
  <si>
    <t>0982145640</t>
  </si>
  <si>
    <t>Hoàng Công Định</t>
  </si>
  <si>
    <t>SV11.12.17</t>
  </si>
  <si>
    <t>22/04/2008</t>
  </si>
  <si>
    <t>0347998901</t>
  </si>
  <si>
    <t>Nguyễn Văn Khôi</t>
  </si>
  <si>
    <t>Dương Thị Giang Thanh</t>
  </si>
  <si>
    <t>SV11.12.18</t>
  </si>
  <si>
    <t>0392899380</t>
  </si>
  <si>
    <t>Trần Văn Công</t>
  </si>
  <si>
    <t>0974407264</t>
  </si>
  <si>
    <t>Nguyễn Mỹ Lan</t>
  </si>
  <si>
    <t>SV11.12.19</t>
  </si>
  <si>
    <t>0977001182</t>
  </si>
  <si>
    <t>Phạm Hồng Giang</t>
  </si>
  <si>
    <t>0853884382</t>
  </si>
  <si>
    <t>Dương Thị Quỳnh Hoa</t>
  </si>
  <si>
    <t>Tổ dân phố số 11, Phường Sài Đồng, Quận Long Biên, Thành phố Hà Nội</t>
  </si>
  <si>
    <t>Nguyễn Trần Bảo Linh</t>
  </si>
  <si>
    <t>SV11.12.20</t>
  </si>
  <si>
    <t>0988128797</t>
  </si>
  <si>
    <t>Nguyễn Trung Thông</t>
  </si>
  <si>
    <t>0989568588</t>
  </si>
  <si>
    <t>Trần Thị Bình</t>
  </si>
  <si>
    <t>SV11.12.21</t>
  </si>
  <si>
    <t>07/06/2008</t>
  </si>
  <si>
    <t>0989819068</t>
  </si>
  <si>
    <t>Lê Chánh Thi</t>
  </si>
  <si>
    <t>0902190977</t>
  </si>
  <si>
    <t>Lương Thị Nguyệt</t>
  </si>
  <si>
    <t>Phường Trúc Bạch, Quận Ba Đình, Thành phố Hà Nội</t>
  </si>
  <si>
    <t>SV11.12.26</t>
  </si>
  <si>
    <t>04/11/2008</t>
  </si>
  <si>
    <t>0359536255</t>
  </si>
  <si>
    <t>Vũ Văn Thanh</t>
  </si>
  <si>
    <t>0936343242</t>
  </si>
  <si>
    <t>Đàm Thị Nhường</t>
  </si>
  <si>
    <t>SV11.12.27</t>
  </si>
  <si>
    <t>08/10/2008</t>
  </si>
  <si>
    <t>0353697016</t>
  </si>
  <si>
    <t>Hoàng Hữu Phê</t>
  </si>
  <si>
    <t>Chu Thị Hồng</t>
  </si>
  <si>
    <t>SV11.12.29</t>
  </si>
  <si>
    <t>0332507824</t>
  </si>
  <si>
    <t>Nguyễn Tuấn Hùng</t>
  </si>
  <si>
    <t>0984975077</t>
  </si>
  <si>
    <t>SV11.12.30</t>
  </si>
  <si>
    <t>0847764260</t>
  </si>
  <si>
    <t>Nguyễn Trọng Quang</t>
  </si>
  <si>
    <t>SV11.12.31</t>
  </si>
  <si>
    <t>15/12/2008</t>
  </si>
  <si>
    <t>0977907054</t>
  </si>
  <si>
    <t>Vũ Văn Giáp</t>
  </si>
  <si>
    <t>0944486368</t>
  </si>
  <si>
    <t>Nguyễn Thúy Hà</t>
  </si>
  <si>
    <t>SV11.12.32</t>
  </si>
  <si>
    <t>19/03/2008</t>
  </si>
  <si>
    <t>0372919405</t>
  </si>
  <si>
    <t>Hà Văn Viện</t>
  </si>
  <si>
    <t>0333087393</t>
  </si>
  <si>
    <t>Hữu Thị Phượng</t>
  </si>
  <si>
    <t>0392817460</t>
  </si>
  <si>
    <t>Tổ dân phố số 6, Phường Phúc Lợi, Quận Long Biên, Thành phố Hà Nội</t>
  </si>
  <si>
    <t>Quách Hải Yến</t>
  </si>
  <si>
    <t>SV11.12.33</t>
  </si>
  <si>
    <t>0359243468</t>
  </si>
  <si>
    <t>Quách Mạnh Hiệp</t>
  </si>
  <si>
    <t>Nguyễn Thị Phúc</t>
  </si>
  <si>
    <t>Tổ dân phố số 18, Phường Bồ Đề, Quận Long Biên, Thành phố Hà Nội</t>
  </si>
  <si>
    <t>Hoàng Quỳnh chi</t>
  </si>
  <si>
    <t>SV11.12.34</t>
  </si>
  <si>
    <t>Bùi Thanh Huệ</t>
  </si>
  <si>
    <t>SV11.12.36</t>
  </si>
  <si>
    <t>28/02/2008</t>
  </si>
  <si>
    <t>0976173942</t>
  </si>
  <si>
    <t>Bùi Thế Chiến</t>
  </si>
  <si>
    <t>SV11.13.1</t>
  </si>
  <si>
    <t>0394926289</t>
  </si>
  <si>
    <t>Đặng Văn Thương</t>
  </si>
  <si>
    <t>0912788996</t>
  </si>
  <si>
    <t>SV11.13.2</t>
  </si>
  <si>
    <t>0912621857</t>
  </si>
  <si>
    <t>Đặng Thanh Tùng</t>
  </si>
  <si>
    <t>Bùi Thị An</t>
  </si>
  <si>
    <t>Tổ dân phố số 21, Phường Đức Giang, Quận Long Biên, Thành phố Hà Nội</t>
  </si>
  <si>
    <t>SV11.14.1</t>
  </si>
  <si>
    <t>26/06/2008</t>
  </si>
  <si>
    <t>0986577638</t>
  </si>
  <si>
    <t>Phan Văn Đoàn</t>
  </si>
  <si>
    <t>0977445508</t>
  </si>
  <si>
    <t>Trần Thị Hợi</t>
  </si>
  <si>
    <t>SV11.14.2</t>
  </si>
  <si>
    <t>0986263358</t>
  </si>
  <si>
    <t>Lương Văn Giang</t>
  </si>
  <si>
    <t>0984051512</t>
  </si>
  <si>
    <t>Cao Thị Liền</t>
  </si>
  <si>
    <t>Tổ dân phố số 8, Phường Phúc Đồng, Quận Long Biên, Thành phố Hà Nội</t>
  </si>
  <si>
    <t>SV11.16.2</t>
  </si>
  <si>
    <t>12/09/2008</t>
  </si>
  <si>
    <t>0349973229</t>
  </si>
  <si>
    <t>SV11.16.5</t>
  </si>
  <si>
    <t>0983770512</t>
  </si>
  <si>
    <t>SV11.16.6</t>
  </si>
  <si>
    <t>31/10/2008</t>
  </si>
  <si>
    <t>0982416810</t>
  </si>
  <si>
    <t>SV11.16.7</t>
  </si>
  <si>
    <t>17/11/2008</t>
  </si>
  <si>
    <t>0969561275</t>
  </si>
  <si>
    <t>SV11.16.8</t>
  </si>
  <si>
    <t>13/10/2008</t>
  </si>
  <si>
    <t>0986626800</t>
  </si>
  <si>
    <t>SV11.16.9</t>
  </si>
  <si>
    <t>0976885665</t>
  </si>
  <si>
    <t>Tổ dân phố 1, Phường Ngọc Hà, Quận Ba Đình, Thành phố Hà Nội</t>
  </si>
  <si>
    <t>SV11.16.11</t>
  </si>
  <si>
    <t>29/09/2008</t>
  </si>
  <si>
    <t>0934488156</t>
  </si>
  <si>
    <t>Tổ dân phố số 7, Phường Bồ Đề, Quận Long Biên, Thành phố Hà Nội</t>
  </si>
  <si>
    <t>SV11.16.13</t>
  </si>
  <si>
    <t>0916122001</t>
  </si>
  <si>
    <t>Tổ dân phố số 16, Phường Gia Thụy, Quận Long Biên, Thành phố Hà Nội</t>
  </si>
  <si>
    <t>SV11.16.15</t>
  </si>
  <si>
    <t>0983618198</t>
  </si>
  <si>
    <t>SV11.16.16</t>
  </si>
  <si>
    <t>18/01/2008</t>
  </si>
  <si>
    <t>0386869898</t>
  </si>
  <si>
    <t>SV11.16.17</t>
  </si>
  <si>
    <t>12/05/2008</t>
  </si>
  <si>
    <t>0346617768</t>
  </si>
  <si>
    <t>Tổ dân phố số 18, Phường Sài Đồng, Quận Long Biên, Thành phố Hà Nội</t>
  </si>
  <si>
    <t>SV11.16.18</t>
  </si>
  <si>
    <t>0974794748</t>
  </si>
  <si>
    <t>Trần Bảo Ngân</t>
  </si>
  <si>
    <t>SV11.16.20</t>
  </si>
  <si>
    <t>0913435132</t>
  </si>
  <si>
    <t>Phường Hàng Bột, Quận Đống Đa, Thành phố Hà Nội</t>
  </si>
  <si>
    <t>Đỗ Như Nguyệt</t>
  </si>
  <si>
    <t>SV11.16.21</t>
  </si>
  <si>
    <t>0385385917</t>
  </si>
  <si>
    <t>Tổ dân phố số 7, Phường Việt Hưng, Quận Long Biên, Thành phố Hà Nội</t>
  </si>
  <si>
    <t>Lê Hạnh Nguyên</t>
  </si>
  <si>
    <t>SV11.16.22</t>
  </si>
  <si>
    <t>05/03/2008</t>
  </si>
  <si>
    <t>0915032911</t>
  </si>
  <si>
    <t>SV11.16.24</t>
  </si>
  <si>
    <t>0969889456</t>
  </si>
  <si>
    <t>Nguyễn Tuyết Nhi</t>
  </si>
  <si>
    <t>SV11.16.25</t>
  </si>
  <si>
    <t>08/05/2008</t>
  </si>
  <si>
    <t>0902226689</t>
  </si>
  <si>
    <t>SV11.16.26</t>
  </si>
  <si>
    <t>09/05/2008</t>
  </si>
  <si>
    <t>0396207706</t>
  </si>
  <si>
    <t>Đào Ngọc Bích</t>
  </si>
  <si>
    <t>SV11.16.27</t>
  </si>
  <si>
    <t>0904398408</t>
  </si>
  <si>
    <t>Vũ Khánh Linh</t>
  </si>
  <si>
    <t>SV11.16.28</t>
  </si>
  <si>
    <t>0912597874</t>
  </si>
  <si>
    <t>SV11.16.30</t>
  </si>
  <si>
    <t>09/10/2008</t>
  </si>
  <si>
    <t>0975019744</t>
  </si>
  <si>
    <t>Tổ dân phố số 20, Phường Thượng Thanh, Quận Long Biên, Thành phố Hà Nội</t>
  </si>
  <si>
    <t>SV11.16.31</t>
  </si>
  <si>
    <t>0915595186</t>
  </si>
  <si>
    <t>Nguyễn Hoàng An</t>
  </si>
  <si>
    <t>SV11.16.32</t>
  </si>
  <si>
    <t>23/09/2008</t>
  </si>
  <si>
    <t>0975504738</t>
  </si>
  <si>
    <t>Tổ dân phố số 25, Phường Ngọc Thụy, Quận Long Biên, Thành phố Hà Nội</t>
  </si>
  <si>
    <t>Ngô Đức Minh</t>
  </si>
  <si>
    <t>SV11.16.33</t>
  </si>
  <si>
    <t>0986829587</t>
  </si>
  <si>
    <t>SV11.16.34</t>
  </si>
  <si>
    <t>12/12/2008</t>
  </si>
  <si>
    <t>0906109754</t>
  </si>
  <si>
    <t>Thôn 8, Xã Đông Dư, Huyện Gia Lâm, Thành phố Hà Nội</t>
  </si>
  <si>
    <t>Nguyễn Tuấn Tú</t>
  </si>
  <si>
    <t>SV11.16.35</t>
  </si>
  <si>
    <t>0919906686</t>
  </si>
  <si>
    <t>Tổ dân phố số 10, Phường Đức Giang, Quận Long Biên, Thành phố Hà Nội</t>
  </si>
  <si>
    <t>SV11.16.36</t>
  </si>
  <si>
    <t>Đào Quốc Khánh</t>
  </si>
  <si>
    <t>SV11.16.37</t>
  </si>
  <si>
    <t>0812288721</t>
  </si>
  <si>
    <t>Tổ dân phố 21, Phường Phúc Xá, Quận Ba Đình, Thành phố Hà Nội</t>
  </si>
  <si>
    <t>SV12.2.1</t>
  </si>
  <si>
    <t>SV12.2.2</t>
  </si>
  <si>
    <t>SV12.2.3</t>
  </si>
  <si>
    <t>SV12.2.5</t>
  </si>
  <si>
    <t>SV12.2.6</t>
  </si>
  <si>
    <t>SV12.2.7</t>
  </si>
  <si>
    <t>SV12.2.8</t>
  </si>
  <si>
    <t>SV12.2.10</t>
  </si>
  <si>
    <t>SV12.2.11</t>
  </si>
  <si>
    <t>SV12.2.12</t>
  </si>
  <si>
    <t>SV12.2.16</t>
  </si>
  <si>
    <t>SV12.2.17</t>
  </si>
  <si>
    <t>SV12.2.18</t>
  </si>
  <si>
    <t>SV12.2.19</t>
  </si>
  <si>
    <t>SV12.2.20</t>
  </si>
  <si>
    <t>SV12.2.21</t>
  </si>
  <si>
    <t>SV12.2.22</t>
  </si>
  <si>
    <t>SV12.2.23</t>
  </si>
  <si>
    <t>SV12.2.25</t>
  </si>
  <si>
    <t>SV12.2.26</t>
  </si>
  <si>
    <t>SV12.2.27</t>
  </si>
  <si>
    <t>SV12.2.28</t>
  </si>
  <si>
    <t>SV12.2.29</t>
  </si>
  <si>
    <t>SV12.2.30</t>
  </si>
  <si>
    <t>SV12.2.31</t>
  </si>
  <si>
    <t>SV12.2.32</t>
  </si>
  <si>
    <t>SV12.2.33</t>
  </si>
  <si>
    <t>SV12.2.34</t>
  </si>
  <si>
    <t>SV12.2.35</t>
  </si>
  <si>
    <t>SV12.2.36</t>
  </si>
  <si>
    <t>SV12.2.37</t>
  </si>
  <si>
    <t>SV12.2.38</t>
  </si>
  <si>
    <t>SV12.2.39</t>
  </si>
  <si>
    <t>SV12.2.40</t>
  </si>
  <si>
    <t>SV12.2.41</t>
  </si>
  <si>
    <t>Tổ dân phố số 16, Phường Ngọc Thụy, Quận Long Biên, Thành phố Hà Nội</t>
  </si>
  <si>
    <t>SV12.3.1</t>
  </si>
  <si>
    <t>SV12.3.2</t>
  </si>
  <si>
    <t>SV12.3.3</t>
  </si>
  <si>
    <t>SV12.3.4</t>
  </si>
  <si>
    <t>SV12.3.5</t>
  </si>
  <si>
    <t>SV12.3.6</t>
  </si>
  <si>
    <t>SV12.3.7</t>
  </si>
  <si>
    <t>SV12.3.8</t>
  </si>
  <si>
    <t>SV12.3.9</t>
  </si>
  <si>
    <t>SV12.3.11</t>
  </si>
  <si>
    <t>SV12.3.12</t>
  </si>
  <si>
    <t>SV12.3.13</t>
  </si>
  <si>
    <t>SV12.3.14</t>
  </si>
  <si>
    <t>SV12.3.15</t>
  </si>
  <si>
    <t>SV12.3.16</t>
  </si>
  <si>
    <t>SV12.3.17</t>
  </si>
  <si>
    <t>SV12.3.18</t>
  </si>
  <si>
    <t>SV12.3.19</t>
  </si>
  <si>
    <t>SV12.3.21</t>
  </si>
  <si>
    <t>SV12.3.22</t>
  </si>
  <si>
    <t>SV12.4.1</t>
  </si>
  <si>
    <t>Tổ 11, Phường Thạch Bàn, Quận Long Biên, Thành phố Hà Nội</t>
  </si>
  <si>
    <t>SV12.4.2</t>
  </si>
  <si>
    <t>SV12.4.3</t>
  </si>
  <si>
    <t>SV12.4.4</t>
  </si>
  <si>
    <t>SV12.4.5</t>
  </si>
  <si>
    <t>Tổ 2, Phường Phúc Đồng, Quận Long Biên, Thành phố Hà Nội</t>
  </si>
  <si>
    <t>SV12.4.6</t>
  </si>
  <si>
    <t>SV12.4.7</t>
  </si>
  <si>
    <t>SV12.4.9</t>
  </si>
  <si>
    <t>SV12.4.11</t>
  </si>
  <si>
    <t>SV12.4.12</t>
  </si>
  <si>
    <t>SV12.4.13</t>
  </si>
  <si>
    <t>SV12.4.14</t>
  </si>
  <si>
    <t>SV12.4.15</t>
  </si>
  <si>
    <t>SV12.4.16</t>
  </si>
  <si>
    <t>SV12.4.17</t>
  </si>
  <si>
    <t>SV12.4.18</t>
  </si>
  <si>
    <t>SV12.4.19</t>
  </si>
  <si>
    <t>SV12.4.21</t>
  </si>
  <si>
    <t>SV12.5.1</t>
  </si>
  <si>
    <t>SV12.5.2</t>
  </si>
  <si>
    <t>SV12.5.3</t>
  </si>
  <si>
    <t>SV12.5.4</t>
  </si>
  <si>
    <t>SV12.5.5</t>
  </si>
  <si>
    <t>SV12.5.6</t>
  </si>
  <si>
    <t>SV12.5.7</t>
  </si>
  <si>
    <t>SV12.5.8</t>
  </si>
  <si>
    <t>SV12.5.9</t>
  </si>
  <si>
    <t>SV12.5.10</t>
  </si>
  <si>
    <t>SV12.5.11</t>
  </si>
  <si>
    <t>SV12.5.12</t>
  </si>
  <si>
    <t>SV12.5.13</t>
  </si>
  <si>
    <t>SV12.6.1</t>
  </si>
  <si>
    <t>SV12.6.2</t>
  </si>
  <si>
    <t>SV12.6.3</t>
  </si>
  <si>
    <t>SV12.6.4</t>
  </si>
  <si>
    <t>SV12.6.5</t>
  </si>
  <si>
    <t>SV12.6.6</t>
  </si>
  <si>
    <t>SV12.6.7</t>
  </si>
  <si>
    <t>SV12.6.8</t>
  </si>
  <si>
    <t>SV12.6.9</t>
  </si>
  <si>
    <t>SV12.6.10</t>
  </si>
  <si>
    <t>SV12.6.11</t>
  </si>
  <si>
    <t>SV12.6.12</t>
  </si>
  <si>
    <t>SV12.6.13</t>
  </si>
  <si>
    <t>SV12.6.14</t>
  </si>
  <si>
    <t>SV12.6.15</t>
  </si>
  <si>
    <t>SV12.6.16</t>
  </si>
  <si>
    <t>SV12.6.17</t>
  </si>
  <si>
    <t>SV12.6.18</t>
  </si>
  <si>
    <t>SV12.6.19</t>
  </si>
  <si>
    <t>SV12.6.20</t>
  </si>
  <si>
    <t>Tổ dân phố số 1, Phường Thạch Bàn, Quận Long Biên, Thành phố Hà Nội</t>
  </si>
  <si>
    <t>Trần Thị Phương Thảo</t>
  </si>
  <si>
    <t>Nguyễn Thu Huyền</t>
  </si>
  <si>
    <t>SV12.8.5</t>
  </si>
  <si>
    <t>SV12.8.6</t>
  </si>
  <si>
    <t>SV12.8.7</t>
  </si>
  <si>
    <t>SV12.8.8</t>
  </si>
  <si>
    <t>SV12.8.9</t>
  </si>
  <si>
    <t>SV12.8.10</t>
  </si>
  <si>
    <t>SV12.8.11</t>
  </si>
  <si>
    <t>SV12.8.12</t>
  </si>
  <si>
    <t>SV12.8.13</t>
  </si>
  <si>
    <t>Nguyễn Lan Phương</t>
  </si>
  <si>
    <t>SV12.9.1</t>
  </si>
  <si>
    <t>SV12.9.2</t>
  </si>
  <si>
    <t>SV12.9.3</t>
  </si>
  <si>
    <t>SV12.9.4</t>
  </si>
  <si>
    <t>SV12.9.5</t>
  </si>
  <si>
    <t>SV12.9.6</t>
  </si>
  <si>
    <t>SV12.9.7</t>
  </si>
  <si>
    <t>SV12.9.8</t>
  </si>
  <si>
    <t>SV12.9.9</t>
  </si>
  <si>
    <t>SV12.9.11</t>
  </si>
  <si>
    <t>SV12.9.12</t>
  </si>
  <si>
    <t>SV12.9.14</t>
  </si>
  <si>
    <t>SV12.9.15</t>
  </si>
  <si>
    <t>SV12.11.1</t>
  </si>
  <si>
    <t>SV12.11.4</t>
  </si>
  <si>
    <t>Tổ 10, Phường Cự Khối, Quận Long Biên, Thành phố Hà Nội</t>
  </si>
  <si>
    <t>SV12.11.6</t>
  </si>
  <si>
    <t>SV12.11.8</t>
  </si>
  <si>
    <t>SV12.11.9</t>
  </si>
  <si>
    <t>SV12.11.15</t>
  </si>
  <si>
    <t>SV12.11.16</t>
  </si>
  <si>
    <t>SV12.11.17</t>
  </si>
  <si>
    <t>SV12.11.18</t>
  </si>
  <si>
    <t>SV12.11.19</t>
  </si>
  <si>
    <t>SV12.11.20</t>
  </si>
  <si>
    <t>SV12.11.21</t>
  </si>
  <si>
    <t>SV12.11.23</t>
  </si>
  <si>
    <t>SV12.11.25</t>
  </si>
  <si>
    <t>SV12.11.26</t>
  </si>
  <si>
    <t>SV12.11.27</t>
  </si>
  <si>
    <t>SV12.11.28</t>
  </si>
  <si>
    <t>SV12.11.30</t>
  </si>
  <si>
    <t>SV12.11.31</t>
  </si>
  <si>
    <t>SV12.11.33</t>
  </si>
  <si>
    <t>SV12.11.35</t>
  </si>
  <si>
    <t>SV12.12.2</t>
  </si>
  <si>
    <t>SV12.14.1</t>
  </si>
  <si>
    <t>Tổ dân phố số 26, Phường Thượng Thanh, Quận Long Biên, Thành phố Hà Nội</t>
  </si>
  <si>
    <t>Nguyễn Cao Cường</t>
  </si>
  <si>
    <t>Đào Diệu Hương</t>
  </si>
  <si>
    <t>Nguyễn Thị Hạnh</t>
  </si>
  <si>
    <t xml:space="preserve">Nguyễn Thị Thu </t>
  </si>
  <si>
    <t>SV12.16.1</t>
  </si>
  <si>
    <t>SV12.16.2</t>
  </si>
  <si>
    <t>SV12.16.3</t>
  </si>
  <si>
    <t>SV12.16.4</t>
  </si>
  <si>
    <t>SV12.16.5</t>
  </si>
  <si>
    <t>SV12.16.6</t>
  </si>
  <si>
    <t>SV12.16.7</t>
  </si>
  <si>
    <t>SV12.16.8</t>
  </si>
  <si>
    <t>SV12.16.9</t>
  </si>
  <si>
    <t>SV12.16.10</t>
  </si>
  <si>
    <t>SV12.16.11</t>
  </si>
  <si>
    <t>SV12.16.13</t>
  </si>
  <si>
    <t>SV12.16.14</t>
  </si>
  <si>
    <t>SV12.16.15</t>
  </si>
  <si>
    <t>SV12.16.16</t>
  </si>
  <si>
    <t>sinh ngày</t>
  </si>
  <si>
    <t>giới tính</t>
  </si>
  <si>
    <t>sdt1</t>
  </si>
  <si>
    <t>Bố</t>
  </si>
  <si>
    <t>SDt2</t>
  </si>
  <si>
    <t>Mẹ</t>
  </si>
  <si>
    <t>sdt 3</t>
  </si>
  <si>
    <t>SV11.1.8</t>
  </si>
  <si>
    <t>0913132268</t>
  </si>
  <si>
    <t>Phạm Anh Đức</t>
  </si>
  <si>
    <t>Nguyễn Thị Loan</t>
  </si>
  <si>
    <t>0368947535</t>
  </si>
  <si>
    <t>Tổ 5, Phường Vĩnh Hưng, Quận Hoàng Mai, Thành phố Hà Nội</t>
  </si>
  <si>
    <t>SV11.2.2</t>
  </si>
  <si>
    <t>SV11.2.4</t>
  </si>
  <si>
    <t>0869702665</t>
  </si>
  <si>
    <t>Lương Ngọc Lân</t>
  </si>
  <si>
    <t>0975278268</t>
  </si>
  <si>
    <t>Vũ Hoàng Anh</t>
  </si>
  <si>
    <t>0977883636</t>
  </si>
  <si>
    <t xml:space="preserve">Số 41A/62 Hoàng Như Tiếp, Bồ Đề, Long Biên, Hà Nội </t>
  </si>
  <si>
    <t>SV11.2.7</t>
  </si>
  <si>
    <t>SV11.2.8</t>
  </si>
  <si>
    <t>SV11.2.11</t>
  </si>
  <si>
    <t>0393486494</t>
  </si>
  <si>
    <t>0936738067</t>
  </si>
  <si>
    <t>Lê Thị Lưu</t>
  </si>
  <si>
    <t>0389252265</t>
  </si>
  <si>
    <t>An Lạc. Trâu Quỳ, Gia Lân, Hà Nội</t>
  </si>
  <si>
    <t>SV11.2.16</t>
  </si>
  <si>
    <t>SV11.2.18</t>
  </si>
  <si>
    <t>0354569962</t>
  </si>
  <si>
    <t>Trần Văn Tĩnh</t>
  </si>
  <si>
    <t>0985103438</t>
  </si>
  <si>
    <t>Bùi Thị Thắm</t>
  </si>
  <si>
    <t xml:space="preserve">P711, CC CT2A, Tổ 17, Thạch Bàn, Long Biên, Hà Nội </t>
  </si>
  <si>
    <t>SV11.2.20</t>
  </si>
  <si>
    <t>SV11.3.9</t>
  </si>
  <si>
    <t>28/03/2009</t>
  </si>
  <si>
    <t>0948394355</t>
  </si>
  <si>
    <t>Nguyễn Văn Thao</t>
  </si>
  <si>
    <t>0346455252</t>
  </si>
  <si>
    <t>Bùi Thị Kim Oanh</t>
  </si>
  <si>
    <t>Tổ dân phố số 5, Phường Gia Thụy, Quận Long Biên, Thành phố Hà Nội</t>
  </si>
  <si>
    <t>19/09/2009</t>
  </si>
  <si>
    <t>0985211911</t>
  </si>
  <si>
    <t>Nguyễn Ngọc Hạ</t>
  </si>
  <si>
    <t>0972488856</t>
  </si>
  <si>
    <t>Tổ dân phố 25, Phường Ngọc Thụy, Quận Long Biên, Thành phố Hà Nội</t>
  </si>
  <si>
    <t>SV11.3.32</t>
  </si>
  <si>
    <t>SV11.3.33</t>
  </si>
  <si>
    <t>SV11.3.36</t>
  </si>
  <si>
    <t>Bùi Việt Hải (NVC)</t>
  </si>
  <si>
    <t>Đào Thị Mai Anh (N.V.Cừ)</t>
  </si>
  <si>
    <t>Đinh Vũ Hà Anh (N.V.Cừ)</t>
  </si>
  <si>
    <t>SV11.3.41</t>
  </si>
  <si>
    <t>Hoàng Thu Thuỷ (N.V.Cừ)</t>
  </si>
  <si>
    <t>SV11.3.42</t>
  </si>
  <si>
    <t>Nguyễn Hoàng Khánh Ngân (N.V.Cừ)</t>
  </si>
  <si>
    <t>SV11.3.43</t>
  </si>
  <si>
    <t>Nguyễn Trà My (Phúc Lợi)</t>
  </si>
  <si>
    <t>SV11.3.44</t>
  </si>
  <si>
    <t>Phạm Hiền Anh (N.V.Cừ)</t>
  </si>
  <si>
    <t>SV11.3.45</t>
  </si>
  <si>
    <t>SV11.3.46</t>
  </si>
  <si>
    <t>SV11.3.47</t>
  </si>
  <si>
    <t>Nguyễn Thị Thu Hiền (11A4)</t>
  </si>
  <si>
    <t>SV11.3.48</t>
  </si>
  <si>
    <t>Nguyễn Thị Mai Anh (11A5)</t>
  </si>
  <si>
    <t>SV11.3.49</t>
  </si>
  <si>
    <t>Trần Thị Trang (11A5)</t>
  </si>
  <si>
    <t>SV11.3.50</t>
  </si>
  <si>
    <t>Nguyễn Thị Thảo Như (11A5)</t>
  </si>
  <si>
    <t>SV11.3.51</t>
  </si>
  <si>
    <t>Nguyễn Vũ Đức (11A6)</t>
  </si>
  <si>
    <t>SV11.3.52</t>
  </si>
  <si>
    <t>13/08/2009</t>
  </si>
  <si>
    <t>0973306174</t>
  </si>
  <si>
    <t>Lê Đức Cường</t>
  </si>
  <si>
    <t>Tổ 7, Phường Phúc Lợi, Quận Long Biên, Thành phố Hà Nội</t>
  </si>
  <si>
    <t>08/04/2009</t>
  </si>
  <si>
    <t>0989802021</t>
  </si>
  <si>
    <t>Khuất Cao Hùng</t>
  </si>
  <si>
    <t>0984887584</t>
  </si>
  <si>
    <t>Lương Thị Thanh Hồng</t>
  </si>
  <si>
    <t>27/06/2009</t>
  </si>
  <si>
    <t>0388371810</t>
  </si>
  <si>
    <t>An Đình Phú</t>
  </si>
  <si>
    <t>0986833986</t>
  </si>
  <si>
    <t>Nguyễn Thị Hoa Lý</t>
  </si>
  <si>
    <t>Tổ 9, Phường Long Biên, Quận Long Biên, Thành phố Hà Nội</t>
  </si>
  <si>
    <t>04/07/2009</t>
  </si>
  <si>
    <t>0936914655</t>
  </si>
  <si>
    <t>Đàm Thế Anh</t>
  </si>
  <si>
    <t>0919135044</t>
  </si>
  <si>
    <t xml:space="preserve">Trương Thị Huyền Trang </t>
  </si>
  <si>
    <t>Tổ 19, Phường Sài Đồng, Quận Long Biên, Thành phố Hà Nội</t>
  </si>
  <si>
    <t>28/09/2009</t>
  </si>
  <si>
    <t>0981717668</t>
  </si>
  <si>
    <t>Đặng Văn Thắng</t>
  </si>
  <si>
    <t>0862965186</t>
  </si>
  <si>
    <t>Thôn Vàng 1, Xã Cổ Bi, Huyện Gia Lâm, Thành phố Hà Nội</t>
  </si>
  <si>
    <t>11/02/2009</t>
  </si>
  <si>
    <t>0989583171</t>
  </si>
  <si>
    <t xml:space="preserve">Nguyễn Xuân Hà </t>
  </si>
  <si>
    <t>0931118376</t>
  </si>
  <si>
    <t>Phường Hoàng Văn Thụ, Quận Hoàng Mai, Thành phố Hà Nội</t>
  </si>
  <si>
    <t>04/06/2009</t>
  </si>
  <si>
    <t>0983503418</t>
  </si>
  <si>
    <t>Đào Thế Thuận</t>
  </si>
  <si>
    <t>0848250784</t>
  </si>
  <si>
    <t>Đào Thị Thu Hương</t>
  </si>
  <si>
    <t>Số nhà 12, ngõ 147, Tổ 12, Phường Cự Khối, Quận Long Biên, Thành phố Hà Nội</t>
  </si>
  <si>
    <t>12/05/2009</t>
  </si>
  <si>
    <t>0339126768</t>
  </si>
  <si>
    <t>Dương Văn Thăng</t>
  </si>
  <si>
    <t>0962434435</t>
  </si>
  <si>
    <t>Phan Thị Hồng</t>
  </si>
  <si>
    <t>0988080724</t>
  </si>
  <si>
    <t>Hoàng Việt Thắng</t>
  </si>
  <si>
    <t>Trần Phương Nhung</t>
  </si>
  <si>
    <t>Phường Khương Mai, Quận Thanh Xuân, Thành phố Hà Nội</t>
  </si>
  <si>
    <t>26/11/2009</t>
  </si>
  <si>
    <t>0988765298</t>
  </si>
  <si>
    <t>Lê Văn Hoàng</t>
  </si>
  <si>
    <t>0977207843</t>
  </si>
  <si>
    <t>Lê Thị Thanh Nghìn</t>
  </si>
  <si>
    <t>Tổ dân phố Kiên Thành, Trâu Quỳ, Gia Lâm, Thành phố Hà Nội</t>
  </si>
  <si>
    <t>05/11/2009</t>
  </si>
  <si>
    <t>0987986631</t>
  </si>
  <si>
    <t>Lê Văn Hiến</t>
  </si>
  <si>
    <t>0988150166</t>
  </si>
  <si>
    <t>Tổ 25, Phường Ngọc Thuỵ, Quận Long Biên, Thành phố Hà Nội</t>
  </si>
  <si>
    <t>15/10/2009</t>
  </si>
  <si>
    <t>0984870784</t>
  </si>
  <si>
    <t>Lê Văn Tá</t>
  </si>
  <si>
    <t>0334424076</t>
  </si>
  <si>
    <t>Vũ Thị Lan</t>
  </si>
  <si>
    <t>0986564452</t>
  </si>
  <si>
    <t>Mai Xuân Đĩnh</t>
  </si>
  <si>
    <t>086 7838389</t>
  </si>
  <si>
    <t>Nhà số 3, Ngõ 88, Tổ 3, Phường Thạch Bàn, Quận Long Biên, Thành phố Hà Nội</t>
  </si>
  <si>
    <t>20/05/2009</t>
  </si>
  <si>
    <t>0949526682</t>
  </si>
  <si>
    <t>Ngô Đại Hải</t>
  </si>
  <si>
    <t>Trần Thanh Hường</t>
  </si>
  <si>
    <t>0902084499</t>
  </si>
  <si>
    <t>Tổ 5, Phường Cự Khối, Quận Long Biên, Thành phố Hà Nội</t>
  </si>
  <si>
    <t>0932291777</t>
  </si>
  <si>
    <t xml:space="preserve">Ngô Quang Danh </t>
  </si>
  <si>
    <t>0932214444</t>
  </si>
  <si>
    <t xml:space="preserve">Nguyễn Thị Viện </t>
  </si>
  <si>
    <t xml:space="preserve">212 ngõ 765 Nguyễn Văn Linh, phường Sài Đồng, Quận Long Biên, Thành phố Hà Nội </t>
  </si>
  <si>
    <t>SV11.6.14</t>
  </si>
  <si>
    <t>08/12/2009</t>
  </si>
  <si>
    <t>0988777929</t>
  </si>
  <si>
    <t>0985578595</t>
  </si>
  <si>
    <t>số 72/548 Nguyễn Văn Cừ, Phường Gia Thuỵ, Quận Long Biên, Thành phố Hà Nội</t>
  </si>
  <si>
    <t>18/02/2009</t>
  </si>
  <si>
    <t>0906037595</t>
  </si>
  <si>
    <t xml:space="preserve">Nguyễn Việt Hà </t>
  </si>
  <si>
    <t>0906565880</t>
  </si>
  <si>
    <t xml:space="preserve">Nguyễn Thanh Thuỷ </t>
  </si>
  <si>
    <t xml:space="preserve">Tổ 16, Phường Long Biên, Quận Long Biên, Thành phố Hà Nội </t>
  </si>
  <si>
    <t>0382443924</t>
  </si>
  <si>
    <t xml:space="preserve">Nguyễn Văn Toản </t>
  </si>
  <si>
    <t>0385756847</t>
  </si>
  <si>
    <t xml:space="preserve">HOÀNG THỊ OANH </t>
  </si>
  <si>
    <t>13/02/2009</t>
  </si>
  <si>
    <t>0919989655</t>
  </si>
  <si>
    <t>NGUYỄN CÔNG TUẤN</t>
  </si>
  <si>
    <t>0936017388</t>
  </si>
  <si>
    <t>PHAN NGỌC ANH</t>
  </si>
  <si>
    <t>Căn 2001, tòa CT2B, Tổ 17, Phường Thạch Bàn, Quận Long Biên, Thành phố Hà Nội</t>
  </si>
  <si>
    <t>0989190308</t>
  </si>
  <si>
    <t>Nguyễn Quốc Vương</t>
  </si>
  <si>
    <t>0977766681</t>
  </si>
  <si>
    <t>Hoàng Thị Thu Huyền</t>
  </si>
  <si>
    <t>17/12/2009</t>
  </si>
  <si>
    <t>0942427965</t>
  </si>
  <si>
    <t xml:space="preserve">Nguyễn Mạnh Hùng </t>
  </si>
  <si>
    <t>0915899368</t>
  </si>
  <si>
    <t xml:space="preserve">Thạch Thị Hường </t>
  </si>
  <si>
    <t>Tổ 11, Phường Sài Đồng, Quận Long Biên, Thành phố Hà Nội</t>
  </si>
  <si>
    <t>24/06/2009</t>
  </si>
  <si>
    <t>0902069663</t>
  </si>
  <si>
    <t>0983855838</t>
  </si>
  <si>
    <t>Cao Tuyết Lan</t>
  </si>
  <si>
    <t>Tổ 9, Phường Ngọc Lâm, Quận Long Biên, Thành phố Hà Nội</t>
  </si>
  <si>
    <t>15/09/2009</t>
  </si>
  <si>
    <t>0366762586</t>
  </si>
  <si>
    <t>0389768011</t>
  </si>
  <si>
    <t>Phạm Thị Mai</t>
  </si>
  <si>
    <t>0366762582</t>
  </si>
  <si>
    <t xml:space="preserve">Số 06, Ngách 367/95 Ngô Xuân Quảng, TDP Cửu Việt, Trâu Quỳ, Gia Lâm, TP Hà Nội </t>
  </si>
  <si>
    <t>0902211005</t>
  </si>
  <si>
    <t>Nguyễn Tiến Lâm</t>
  </si>
  <si>
    <t>0906110077</t>
  </si>
  <si>
    <t>Bùi Nguyễn Hoàn Kiếm</t>
  </si>
  <si>
    <t>3C ngõ 495 Bạch Đằng, Phường Chương Dương, Quận Hoàn Kiếm, Thành phố Hà Nội</t>
  </si>
  <si>
    <t>24/12/2009</t>
  </si>
  <si>
    <t>0988848772</t>
  </si>
  <si>
    <t xml:space="preserve">Nguyễn Hữu Tuệ </t>
  </si>
  <si>
    <t>0989045661</t>
  </si>
  <si>
    <t xml:space="preserve">Lê Thị Tùng Diệp </t>
  </si>
  <si>
    <t xml:space="preserve">Tổ 2 Phường Long Biên, Quận Long Biên, Thành phố Hà Nội </t>
  </si>
  <si>
    <t>25/08/2009</t>
  </si>
  <si>
    <t>0983204494</t>
  </si>
  <si>
    <t>Nguyễn Văn Hùng</t>
  </si>
  <si>
    <t>0982888229</t>
  </si>
  <si>
    <t>Vũ Hà Kim Phượng</t>
  </si>
  <si>
    <t>Số 31 ngõ 377 đường Bát Khối, Phường Long Biên, Quận Long Biên, Hà Nội</t>
  </si>
  <si>
    <t>27/04/2009</t>
  </si>
  <si>
    <t>0975567340</t>
  </si>
  <si>
    <t>0985766845</t>
  </si>
  <si>
    <t>Đoàn Thị Hằng</t>
  </si>
  <si>
    <t>05/01/2009</t>
  </si>
  <si>
    <t>0343954755</t>
  </si>
  <si>
    <t>Tạ Ngọc Phương</t>
  </si>
  <si>
    <t>Tổ 1, Phường Cự Khối, Quận Long Biên, Thành phố Hà Nội</t>
  </si>
  <si>
    <t>13/01/2009</t>
  </si>
  <si>
    <t>0988643545</t>
  </si>
  <si>
    <t xml:space="preserve">Trần Đức Quyền </t>
  </si>
  <si>
    <t>0827614567</t>
  </si>
  <si>
    <t xml:space="preserve">Nguyễn Thị Kim Oanh </t>
  </si>
  <si>
    <t>Số nhà 80, tổ 10, Phường Cự Khối, Quận Long Biên, Thành phố Hà Nội</t>
  </si>
  <si>
    <t>0367291882</t>
  </si>
  <si>
    <t>Trần Văn Duy</t>
  </si>
  <si>
    <t>0945494085</t>
  </si>
  <si>
    <t xml:space="preserve">Trần Thị Hạnh </t>
  </si>
  <si>
    <t>Tổ 1, Phường Thạch Bàn, Quận Long Biên, Thành phố Hà Nội</t>
  </si>
  <si>
    <t>15/02/2009</t>
  </si>
  <si>
    <t>0373789260</t>
  </si>
  <si>
    <t>Tường Duy Ngọc</t>
  </si>
  <si>
    <t>0866 819 935</t>
  </si>
  <si>
    <t xml:space="preserve">Nguyễn Thị Thanh Nhàn </t>
  </si>
  <si>
    <t>Tổ 10, Phường Chương Dương, Quận Hoàn Kiếm, Thành phố Hà Nội</t>
  </si>
  <si>
    <t>11/08/2009</t>
  </si>
  <si>
    <t>0913414488</t>
  </si>
  <si>
    <t>Vũ Hồng Quang</t>
  </si>
  <si>
    <t>099 6556789</t>
  </si>
  <si>
    <t xml:space="preserve">Lưu Hồng Hải </t>
  </si>
  <si>
    <t>Tổ 20, Phường Long Biên, Quận Long Biên, Thành phố Hà Nội</t>
  </si>
  <si>
    <t>16/09/2009</t>
  </si>
  <si>
    <t>0978171977</t>
  </si>
  <si>
    <t>Vũ Văn Hưởng</t>
  </si>
  <si>
    <t>0359824087</t>
  </si>
  <si>
    <t>Nguyễn Thị Trinh</t>
  </si>
  <si>
    <t>Tổ 8, Phường Thượng Thanh, Quận Long Biên, Thành phố Hà Nội</t>
  </si>
  <si>
    <t>Nguyễn Ngọc Thanh (11A7)</t>
  </si>
  <si>
    <t>Đinh Minh Hằng (11A13)</t>
  </si>
  <si>
    <t>0976401969</t>
  </si>
  <si>
    <t>Hà Tuấn Anh</t>
  </si>
  <si>
    <t>0913028795</t>
  </si>
  <si>
    <t>Thôn Hạ, Xã Dương Hà, Huyện Gia Lâm, Thành phố Hà Nội</t>
  </si>
  <si>
    <t>Bùi Việt Hải (11A2)</t>
  </si>
  <si>
    <t>SV11.7.4</t>
  </si>
  <si>
    <t>SV11.7.11</t>
  </si>
  <si>
    <t>SV11.7.13</t>
  </si>
  <si>
    <t>SV11.7.17</t>
  </si>
  <si>
    <t>SV11.8.1</t>
  </si>
  <si>
    <t>SV11.8.2</t>
  </si>
  <si>
    <t>29/05/2009</t>
  </si>
  <si>
    <t>0348017422</t>
  </si>
  <si>
    <t>Lưu Khắc Huy</t>
  </si>
  <si>
    <t>0972465028</t>
  </si>
  <si>
    <t>Hoàng Thu Quỳnh</t>
  </si>
  <si>
    <t>Phúc Đồng; Long Biên; Hà Nội</t>
  </si>
  <si>
    <t>SV11.8.5</t>
  </si>
  <si>
    <t>SV11.8.6</t>
  </si>
  <si>
    <t>SV11.8.7</t>
  </si>
  <si>
    <t>SV11.8.8</t>
  </si>
  <si>
    <t>SV11.8.9</t>
  </si>
  <si>
    <t>Lê Trần Minh Nhân</t>
  </si>
  <si>
    <t>SV11.8.10</t>
  </si>
  <si>
    <t>SV11.8.11</t>
  </si>
  <si>
    <t>SV11.15.1</t>
  </si>
  <si>
    <t>SV11.15.2</t>
  </si>
  <si>
    <t>0563097487</t>
  </si>
  <si>
    <t>Đỗ Tuấn Đạt</t>
  </si>
  <si>
    <t>0942945656</t>
  </si>
  <si>
    <t>Nhữ Thị Quyên</t>
  </si>
  <si>
    <t>0984075802</t>
  </si>
  <si>
    <t>Số 3, ngách 162/34/9 Nguyễn Văn Cừ- Phường Bồ Đề- Q. Long Biên- HN</t>
  </si>
  <si>
    <t>SV11.15.3</t>
  </si>
  <si>
    <t>SV11.15.4</t>
  </si>
  <si>
    <t>SV11.15.5</t>
  </si>
  <si>
    <t>SV11.15.6</t>
  </si>
  <si>
    <t>SV11.15.7</t>
  </si>
  <si>
    <t>SV11.15.8</t>
  </si>
  <si>
    <t>SV11.15.9</t>
  </si>
  <si>
    <t>SV11.15.10</t>
  </si>
  <si>
    <t>SV11.15.11</t>
  </si>
  <si>
    <t>SV11.15.12</t>
  </si>
  <si>
    <t>SV11.15.14</t>
  </si>
  <si>
    <t>SV11.15.15</t>
  </si>
  <si>
    <t>SV11.15.16</t>
  </si>
  <si>
    <t>SV11.15.17</t>
  </si>
  <si>
    <t>SV11.15.18</t>
  </si>
  <si>
    <t>SV11.15.19</t>
  </si>
  <si>
    <t>SV11.15.20</t>
  </si>
  <si>
    <t>SV11.15.21</t>
  </si>
  <si>
    <t>SV12.1.1</t>
  </si>
  <si>
    <t>SV12.1.2</t>
  </si>
  <si>
    <t>SV12.1.3</t>
  </si>
  <si>
    <t>SV12.1.4</t>
  </si>
  <si>
    <t>SV12.1.5</t>
  </si>
  <si>
    <t>SV12.1.6</t>
  </si>
  <si>
    <t>SV12.1.7</t>
  </si>
  <si>
    <t>SV12.1.8</t>
  </si>
  <si>
    <t>SV12.1.9</t>
  </si>
  <si>
    <t>SV12.1.10</t>
  </si>
  <si>
    <t>SV12.1.11</t>
  </si>
  <si>
    <t>SV12.1.12</t>
  </si>
  <si>
    <t>SV12.1.13</t>
  </si>
  <si>
    <t>SV12.1.14</t>
  </si>
  <si>
    <t>SV12.1.15</t>
  </si>
  <si>
    <t>SV12.1.16</t>
  </si>
  <si>
    <t>SV12.1.17</t>
  </si>
  <si>
    <t>SV12.1.18</t>
  </si>
  <si>
    <t>SV12.1.19</t>
  </si>
  <si>
    <t>SV12.1.20</t>
  </si>
  <si>
    <t>SV12.1.21</t>
  </si>
  <si>
    <t>SV12.1.22</t>
  </si>
  <si>
    <t>SV12.1.23</t>
  </si>
  <si>
    <t>SV12.1.24</t>
  </si>
  <si>
    <t>SV12.1.25</t>
  </si>
  <si>
    <t>SV12.1.26</t>
  </si>
  <si>
    <t>Nguyễn Ngọc Sơn</t>
  </si>
  <si>
    <t>0977428837</t>
  </si>
  <si>
    <t>Nguyễn Ngọc Sạn</t>
  </si>
  <si>
    <t>0912620565</t>
  </si>
  <si>
    <t>Đinh Thị Đoài</t>
  </si>
  <si>
    <t>SV12.2.24</t>
  </si>
  <si>
    <t>0912292540</t>
  </si>
  <si>
    <t>Nguyễn Trường Sơn</t>
  </si>
  <si>
    <t>Trịnh Kim Thúy</t>
  </si>
  <si>
    <t>0984887224</t>
  </si>
  <si>
    <t>0942226000</t>
  </si>
  <si>
    <t>Nguyễn Hùng Hải</t>
  </si>
  <si>
    <t>Nguyễn Thùy An</t>
  </si>
  <si>
    <t>702-CT2 KĐT Đặng Xá - Gia Lâm - Hà Nội</t>
  </si>
  <si>
    <t>SV12.3.10</t>
  </si>
  <si>
    <t>07/10/2008</t>
  </si>
  <si>
    <t>0947867266</t>
  </si>
  <si>
    <t>Lê Đình Phước</t>
  </si>
  <si>
    <t>0912096615</t>
  </si>
  <si>
    <t>SV12.3.23</t>
  </si>
  <si>
    <t>SV12.3.24</t>
  </si>
  <si>
    <t>SV12.3.25</t>
  </si>
  <si>
    <t>SV12.3.26</t>
  </si>
  <si>
    <t>SV12.3.27</t>
  </si>
  <si>
    <t>SV12.3.28</t>
  </si>
  <si>
    <t>SV12.3.29</t>
  </si>
  <si>
    <t>SV12.3.30</t>
  </si>
  <si>
    <t>SV12.3.31</t>
  </si>
  <si>
    <t>SV12.3.32</t>
  </si>
  <si>
    <t>SV12.3.33</t>
  </si>
  <si>
    <t>SV12.3.34</t>
  </si>
  <si>
    <t>SV12.3.35</t>
  </si>
  <si>
    <t>SV12.3.36</t>
  </si>
  <si>
    <t>SV12.3.37</t>
  </si>
  <si>
    <t>0962141212</t>
  </si>
  <si>
    <t>Mậu Ngọc Sơn</t>
  </si>
  <si>
    <t>0352925469</t>
  </si>
  <si>
    <t>Vương Thị Hồng Vân</t>
  </si>
  <si>
    <t>0972538881</t>
  </si>
  <si>
    <t>SV12.4.8</t>
  </si>
  <si>
    <t>SV12.4.10</t>
  </si>
  <si>
    <t>SV12.4.20</t>
  </si>
  <si>
    <t>SV12.4.22</t>
  </si>
  <si>
    <t>SV12.4.24</t>
  </si>
  <si>
    <t>SV12.5.14</t>
  </si>
  <si>
    <t>SV12.5.15</t>
  </si>
  <si>
    <t>SV12.5.16</t>
  </si>
  <si>
    <t>SV12.5.17</t>
  </si>
  <si>
    <t>SV12.5.18</t>
  </si>
  <si>
    <t>SV12.5.19</t>
  </si>
  <si>
    <t>SV12.5.20</t>
  </si>
  <si>
    <t>SV12.5.21</t>
  </si>
  <si>
    <t>SV12.5.22</t>
  </si>
  <si>
    <t>SV12.5.23</t>
  </si>
  <si>
    <t>SV12.5.24</t>
  </si>
  <si>
    <t>SV12.5.25</t>
  </si>
  <si>
    <t>SV12.5.26</t>
  </si>
  <si>
    <t>SV12.5.27</t>
  </si>
  <si>
    <t>SV12.5.28</t>
  </si>
  <si>
    <t>SV12.5.29</t>
  </si>
  <si>
    <t>SV12.5.30</t>
  </si>
  <si>
    <t>SV12.5.33</t>
  </si>
  <si>
    <t>SV12.5.34</t>
  </si>
  <si>
    <t>SV12.5.35</t>
  </si>
  <si>
    <t>Lại Đức Thuận 82</t>
  </si>
  <si>
    <t>Lương Hà Thanh 83</t>
  </si>
  <si>
    <t>Tổ 12, Long Biên, LB</t>
  </si>
  <si>
    <t>Minh Thái</t>
  </si>
  <si>
    <t>SV12.6.21</t>
  </si>
  <si>
    <t>SV12.6.22</t>
  </si>
  <si>
    <t>SV12.6.23</t>
  </si>
  <si>
    <t>SV12.6.24</t>
  </si>
  <si>
    <t>SV12.6.25</t>
  </si>
  <si>
    <t>SV12.6.26</t>
  </si>
  <si>
    <t>SV12.6.28</t>
  </si>
  <si>
    <t>SV12.6.29</t>
  </si>
  <si>
    <t>SV12.6.30</t>
  </si>
  <si>
    <t>SV12.6.31</t>
  </si>
  <si>
    <t>SV12.6.32</t>
  </si>
  <si>
    <t>SV12.6.33</t>
  </si>
  <si>
    <t>SV12.6.34</t>
  </si>
  <si>
    <t>SV12.6.35</t>
  </si>
  <si>
    <t>SV12.6.36</t>
  </si>
  <si>
    <t>SV12.6.37</t>
  </si>
  <si>
    <t>SV12.6.38</t>
  </si>
  <si>
    <t>SV12.6.39</t>
  </si>
  <si>
    <t>SV12.6.40</t>
  </si>
  <si>
    <t>SV12.6.41</t>
  </si>
  <si>
    <t>SV12.6.42</t>
  </si>
  <si>
    <t>SV12.6.43</t>
  </si>
  <si>
    <t>Trường Lâm (N.V.Cừ)</t>
  </si>
  <si>
    <t>SV12.6.44</t>
  </si>
  <si>
    <t>SV12.6.45</t>
  </si>
  <si>
    <t>SV12.6.46</t>
  </si>
  <si>
    <t>0947705332</t>
  </si>
  <si>
    <t>Bùi Quang Hưng</t>
  </si>
  <si>
    <t>0919570389</t>
  </si>
  <si>
    <t>10/12/2008</t>
  </si>
  <si>
    <t>0942705885</t>
  </si>
  <si>
    <t>Danh Khánh Thành</t>
  </si>
  <si>
    <t>0377198687</t>
  </si>
  <si>
    <t>Cao Thị Khuyến</t>
  </si>
  <si>
    <t>SV12.9.10</t>
  </si>
  <si>
    <t>16/09/2008</t>
  </si>
  <si>
    <t>0985085218</t>
  </si>
  <si>
    <t>Nguyễn Anh Long</t>
  </si>
  <si>
    <t>Tạ Thị Chi</t>
  </si>
  <si>
    <t>Tổ dân phố số 14, Phường Đức Giang, Quận Long Biên, Thành phố Hà Nội</t>
  </si>
  <si>
    <t>0988677322</t>
  </si>
  <si>
    <t>Hà Văn Tám</t>
  </si>
  <si>
    <t>0988088874</t>
  </si>
  <si>
    <t>Bùi Thị Mai</t>
  </si>
  <si>
    <t>05/11/2008</t>
  </si>
  <si>
    <t>0986020220</t>
  </si>
  <si>
    <t>Nguyễn Việt Hùng</t>
  </si>
  <si>
    <t>0977698696</t>
  </si>
  <si>
    <t>Lê Thị Lan</t>
  </si>
  <si>
    <t>SV12.9.13</t>
  </si>
  <si>
    <t>24/01/2008</t>
  </si>
  <si>
    <t>0865021971</t>
  </si>
  <si>
    <t>Nguyễn Thế Hùng</t>
  </si>
  <si>
    <t>0982176249</t>
  </si>
  <si>
    <t>Lại Thị Thắm</t>
  </si>
  <si>
    <t>0978446493</t>
  </si>
  <si>
    <t>Tổ 3, Phường Mai Động, Quận Hoàng Mai, Thành phố Hà Nội</t>
  </si>
  <si>
    <t>0902958686</t>
  </si>
  <si>
    <t>Trần Ngọc Cường</t>
  </si>
  <si>
    <t>0936189883</t>
  </si>
  <si>
    <t>25/05/2008</t>
  </si>
  <si>
    <t>0966241111</t>
  </si>
  <si>
    <t>Đỗ Minh Tuấn</t>
  </si>
  <si>
    <t>0969458555</t>
  </si>
  <si>
    <t>Phạm Thị Kim Hoa</t>
  </si>
  <si>
    <t>SV12.10.1</t>
  </si>
  <si>
    <t>SV12.10.2</t>
  </si>
  <si>
    <t>SV12.11.2</t>
  </si>
  <si>
    <t>Đỗ Đức Anh</t>
  </si>
  <si>
    <t>SV12.11.3</t>
  </si>
  <si>
    <t>SV12.11.5</t>
  </si>
  <si>
    <t>Lê Minh Hiếu (12A8)</t>
  </si>
  <si>
    <t>Lương Cao Thảo Linh (11A14)</t>
  </si>
  <si>
    <t>SV12.11.11</t>
  </si>
  <si>
    <t>SV12.11.12</t>
  </si>
  <si>
    <t>SV12.11.13</t>
  </si>
  <si>
    <t>SV12.11.24</t>
  </si>
  <si>
    <t>SV12.11.34</t>
  </si>
  <si>
    <t>SV12.11.36</t>
  </si>
  <si>
    <t>SV12.11.37</t>
  </si>
  <si>
    <t>SV12.11.38</t>
  </si>
  <si>
    <t>SV12.12.3</t>
  </si>
  <si>
    <t>SV12.12.6</t>
  </si>
  <si>
    <t>SV12.12.7</t>
  </si>
  <si>
    <t>31/03/2008</t>
  </si>
  <si>
    <t>0868711834</t>
  </si>
  <si>
    <t>Ngô Tiến Thắng</t>
  </si>
  <si>
    <t>0932691980</t>
  </si>
  <si>
    <t>Vũ Phương Thảo</t>
  </si>
  <si>
    <t>0981398782</t>
  </si>
  <si>
    <t>SV12.12.10</t>
  </si>
  <si>
    <t>SV12.12.11</t>
  </si>
  <si>
    <t>SV12.12.12</t>
  </si>
  <si>
    <t>SV12.12.13</t>
  </si>
  <si>
    <t>SV12.12.14</t>
  </si>
  <si>
    <t>SV12.12.15</t>
  </si>
  <si>
    <t>SV12.12.16</t>
  </si>
  <si>
    <t>SV12.12.17</t>
  </si>
  <si>
    <t>SV12.12.18</t>
  </si>
  <si>
    <t>SV12.12.19</t>
  </si>
  <si>
    <t>03/06/2008</t>
  </si>
  <si>
    <t>0989383199</t>
  </si>
  <si>
    <t>Vũ Xuân Quyền</t>
  </si>
  <si>
    <t>Nguyễn Hoài Thương</t>
  </si>
  <si>
    <t>SV12.12.20</t>
  </si>
  <si>
    <t>SV12.12.21</t>
  </si>
  <si>
    <t>0966170301</t>
  </si>
  <si>
    <t>Vũ Văn Tuấn</t>
  </si>
  <si>
    <t>Hoàng Thị Hường</t>
  </si>
  <si>
    <t>SV12.12.22</t>
  </si>
  <si>
    <t>SV12.12.23</t>
  </si>
  <si>
    <t>0396304475</t>
  </si>
  <si>
    <t>Nguyễn Huy Tú</t>
  </si>
  <si>
    <t>0983661416</t>
  </si>
  <si>
    <t>Quách Lan Phương</t>
  </si>
  <si>
    <t>SV12.12.24</t>
  </si>
  <si>
    <t xml:space="preserve">Đặng Việt Bách </t>
  </si>
  <si>
    <t>13/08/2008</t>
  </si>
  <si>
    <t>0987772254</t>
  </si>
  <si>
    <t>Tổ dân phố số 11, Phường Gia Thụy, Quận Long Biên, Thành phố Hà Nội</t>
  </si>
  <si>
    <t>0375747129</t>
  </si>
  <si>
    <t>SV12.16.17</t>
  </si>
  <si>
    <t>SV12.16.19</t>
  </si>
  <si>
    <t>14/04/2008</t>
  </si>
  <si>
    <t>0963323586</t>
  </si>
  <si>
    <t>Tổ dân phố số 5, Phường Ngọc Lâm, Quận Long Biên, Thành phố Hà Nội</t>
  </si>
  <si>
    <t>SV12.16.20</t>
  </si>
  <si>
    <t>SV12.16.21</t>
  </si>
  <si>
    <t>SV12.16.22</t>
  </si>
  <si>
    <r>
      <rPr>
        <sz val="8"/>
        <rFont val="Times New Roman"/>
        <family val="1"/>
      </rPr>
      <t>29/10/2025 06:05</t>
    </r>
  </si>
  <si>
    <r>
      <rPr>
        <sz val="8"/>
        <rFont val="Times New Roman"/>
        <family val="1"/>
      </rPr>
      <t>NGUYEN THI THAO NONG NGUYEN PHUONG ANH SV10X3X4 THA NG 10- Ma GD ACSP/ zu620416</t>
    </r>
  </si>
  <si>
    <r>
      <rPr>
        <sz val="8"/>
        <rFont val="Times New Roman"/>
        <family val="1"/>
      </rPr>
      <t>29/10/2025 00:14</t>
    </r>
  </si>
  <si>
    <r>
      <rPr>
        <sz val="8"/>
        <rFont val="Times New Roman"/>
        <family val="1"/>
      </rPr>
      <t xml:space="preserve">DINH THI THUY MBVCB.11494767361.790237.Hoang Khan
</t>
    </r>
    <r>
      <rPr>
        <sz val="8"/>
        <rFont val="Times New Roman"/>
        <family val="1"/>
      </rPr>
      <t xml:space="preserve">h Vy SV12x8x24 thang 10.CT tu 09310 04205194 DINH THI THUY toi 06701909 97777 NGUYEN THI HUYEN tai MB-
</t>
    </r>
    <r>
      <rPr>
        <sz val="8"/>
        <rFont val="Times New Roman"/>
        <family val="1"/>
      </rPr>
      <t>Ma G</t>
    </r>
  </si>
  <si>
    <r>
      <rPr>
        <sz val="8"/>
        <rFont val="Times New Roman"/>
        <family val="1"/>
      </rPr>
      <t>28/10/2025 23:47</t>
    </r>
  </si>
  <si>
    <r>
      <rPr>
        <sz val="8"/>
        <rFont val="Times New Roman"/>
        <family val="1"/>
      </rPr>
      <t>CUSTOMER Tran Tung Lam B SV12x4x23 thang 10. TU: LA THI THO#LA THI THO</t>
    </r>
  </si>
  <si>
    <r>
      <rPr>
        <sz val="8"/>
        <rFont val="Times New Roman"/>
        <family val="1"/>
      </rPr>
      <t>28/10/2025 22:47</t>
    </r>
  </si>
  <si>
    <r>
      <rPr>
        <sz val="8"/>
        <rFont val="Times New Roman"/>
        <family val="1"/>
      </rPr>
      <t>CUSTOMER Duong Bao Khanh SV11x6x26 thang 10. TU: DUONG VAN THANG</t>
    </r>
  </si>
  <si>
    <r>
      <rPr>
        <sz val="8"/>
        <rFont val="Times New Roman"/>
        <family val="1"/>
      </rPr>
      <t>28/10/2025 22:22</t>
    </r>
  </si>
  <si>
    <r>
      <rPr>
        <sz val="8"/>
        <rFont val="Times New Roman"/>
        <family val="1"/>
      </rPr>
      <t xml:space="preserve">PHAM THAI HA MBVCB.11494280847.457590.Tran Dinh
</t>
    </r>
    <r>
      <rPr>
        <sz val="8"/>
        <rFont val="Times New Roman"/>
        <family val="1"/>
      </rPr>
      <t xml:space="preserve">Bach SV12x11x27 thang 10.CT tu 0011 004270034 PHAM THAI HA toi 06701909 97777 NGUYEN THI HUYEN tai MB-
</t>
    </r>
    <r>
      <rPr>
        <sz val="8"/>
        <rFont val="Times New Roman"/>
        <family val="1"/>
      </rPr>
      <t>Ma G</t>
    </r>
  </si>
  <si>
    <r>
      <rPr>
        <sz val="8"/>
        <rFont val="Times New Roman"/>
        <family val="1"/>
      </rPr>
      <t>28/10/2025 22:18</t>
    </r>
  </si>
  <si>
    <r>
      <rPr>
        <sz val="8"/>
        <rFont val="Times New Roman"/>
        <family val="1"/>
      </rPr>
      <t>LAI VAN DUONG QADHEX8475  APPMB1 1  LAI THI TU UY EN 12a1 nop tien ht t10. TU: LAI VAN DUONG#LAI VAN DUONG</t>
    </r>
  </si>
  <si>
    <r>
      <rPr>
        <sz val="8"/>
        <rFont val="Times New Roman"/>
        <family val="1"/>
      </rPr>
      <t>28/10/2025 21:45</t>
    </r>
  </si>
  <si>
    <r>
      <rPr>
        <sz val="8"/>
        <rFont val="Times New Roman"/>
        <family val="1"/>
      </rPr>
      <t>TRAN THI THUY NGUYEN THU HIEN SV10X16X7 THANG 10-  Ma GD ACSP/ WD023715</t>
    </r>
  </si>
  <si>
    <r>
      <rPr>
        <sz val="8"/>
        <rFont val="Times New Roman"/>
        <family val="1"/>
      </rPr>
      <t>28/10/2025 21:19</t>
    </r>
  </si>
  <si>
    <r>
      <rPr>
        <sz val="8"/>
        <rFont val="Times New Roman"/>
        <family val="1"/>
      </rPr>
      <t>NGO THI CHINH NGO THUY CHI SV10X8X5 THANG 10- Ma GD ACSP/ ho894746</t>
    </r>
  </si>
  <si>
    <r>
      <rPr>
        <sz val="8"/>
        <rFont val="Times New Roman"/>
        <family val="1"/>
      </rPr>
      <t>28/10/2025 21:03</t>
    </r>
  </si>
  <si>
    <r>
      <rPr>
        <sz val="8"/>
        <rFont val="Times New Roman"/>
        <family val="1"/>
      </rPr>
      <t>CUSTOMER Dinh Le Phuong Linh SV10x14x6 thang  10. TU: TRAN THI DUNG</t>
    </r>
  </si>
  <si>
    <r>
      <rPr>
        <sz val="8"/>
        <rFont val="Times New Roman"/>
        <family val="1"/>
      </rPr>
      <t>28/10/2025 20:06</t>
    </r>
  </si>
  <si>
    <r>
      <rPr>
        <sz val="8"/>
        <rFont val="Times New Roman"/>
        <family val="1"/>
      </rPr>
      <t>DUONG VU HOA DUONG HONG HANH SV12X7X2 THANG 10- Ma GD ACSP/ Hb449540</t>
    </r>
  </si>
  <si>
    <r>
      <rPr>
        <sz val="8"/>
        <rFont val="Times New Roman"/>
        <family val="1"/>
      </rPr>
      <t>28/10/2025 19:47</t>
    </r>
  </si>
  <si>
    <r>
      <rPr>
        <sz val="8"/>
        <rFont val="Times New Roman"/>
        <family val="1"/>
      </rPr>
      <t>CUSTOMER Nguyen Bao Linh SV12x11x18 thang 10    Ma giao dich  Trace588660 Trace  588660</t>
    </r>
  </si>
  <si>
    <r>
      <rPr>
        <sz val="8"/>
        <rFont val="Times New Roman"/>
        <family val="1"/>
      </rPr>
      <t>28/10/2025 19:03</t>
    </r>
  </si>
  <si>
    <r>
      <rPr>
        <sz val="8"/>
        <rFont val="Times New Roman"/>
        <family val="1"/>
      </rPr>
      <t xml:space="preserve">NGUYEN THANH HOA MBVCB.11491936831.902792.Le
</t>
    </r>
    <r>
      <rPr>
        <sz val="8"/>
        <rFont val="Times New Roman"/>
        <family val="1"/>
      </rPr>
      <t xml:space="preserve">Quang M inh SV10x9x9 thang 10.CT tu 0541000 201726 NGUYEN THANH HOA toi 0670190 997777 NGUYEN THI
</t>
    </r>
    <r>
      <rPr>
        <sz val="8"/>
        <rFont val="Times New Roman"/>
        <family val="1"/>
      </rPr>
      <t>HUYEN tai MB- Ma</t>
    </r>
  </si>
  <si>
    <t>FT25301555400506</t>
  </si>
  <si>
    <t>FT25301964540142</t>
  </si>
  <si>
    <t>FT25301771104446</t>
  </si>
  <si>
    <t>FT25301090001507</t>
  </si>
  <si>
    <t>FT25301531038319</t>
  </si>
  <si>
    <t>FT25301610107740</t>
  </si>
  <si>
    <t>FT25301820869051</t>
  </si>
  <si>
    <t>FT25301100284680</t>
  </si>
  <si>
    <t>FT25302473048293</t>
  </si>
  <si>
    <t>FT25302322560682</t>
  </si>
  <si>
    <t>thiếu 100k</t>
  </si>
  <si>
    <t>FT25301829647047</t>
  </si>
  <si>
    <t>Hóa đơn 29</t>
  </si>
  <si>
    <t>FT25302883109344</t>
  </si>
  <si>
    <t>FT25302218850334</t>
  </si>
  <si>
    <t>29/10/2025 11:04:27</t>
  </si>
  <si>
    <t>29/10/2025</t>
  </si>
  <si>
    <t>2,200,000</t>
  </si>
  <si>
    <t>193,048,381</t>
  </si>
  <si>
    <t>VND-TGTT-DO THI HAI YEN</t>
  </si>
  <si>
    <t xml:space="preserve">Pham Anh Vu SV12x5x13 thang 10 FT25 302790756070   Ma giao dich  Trace9 61046 Trace 961046 </t>
  </si>
  <si>
    <t>FT25302047179677</t>
  </si>
  <si>
    <t>28/10/2025 22:14:47</t>
  </si>
  <si>
    <t>1,800,000</t>
  </si>
  <si>
    <t>190,848,381</t>
  </si>
  <si>
    <t xml:space="preserve">IBFT Ngo Quang Tung SV12x2x15 thang   10   Ma giao dich  Trace932763 Tra  ce 932763 </t>
  </si>
  <si>
    <t>30/10/2025 13:01:14</t>
  </si>
  <si>
    <t>30/10/2025</t>
  </si>
  <si>
    <t>1,300,000</t>
  </si>
  <si>
    <t>207,948,381</t>
  </si>
  <si>
    <t>LE VAN KHOA</t>
  </si>
  <si>
    <t>MBVCB.11511851679.229561.LE  Thai D uy SV12x5x5 thang 10.CT tu 00210010 29533 LE VAN KHOA toi 2588666868 CO NG TY TNHH TRI THUC SAO VIET tai MB - Ma GD ACSP/ ce229561</t>
  </si>
  <si>
    <t>FT25303430012344</t>
  </si>
  <si>
    <t>30/10/2025 11:07:53</t>
  </si>
  <si>
    <t>1,400,000</t>
  </si>
  <si>
    <t>206,648,381</t>
  </si>
  <si>
    <t>DINH HA ANH</t>
  </si>
  <si>
    <t xml:space="preserve">Dinh Ha Anh SV12x6x3 thang 10 </t>
  </si>
  <si>
    <t>FT25303249088520</t>
  </si>
  <si>
    <t>30/10/2025 10:32:29</t>
  </si>
  <si>
    <t>205,248,381</t>
  </si>
  <si>
    <t xml:space="preserve">NGUYEN DAN THU SV12x5x11 thang 10    Ma giao dich  Trace423008 Trace 42 3008 </t>
  </si>
  <si>
    <t>FT25303943908805</t>
  </si>
  <si>
    <t>30/10/2025 05:38:04</t>
  </si>
  <si>
    <t>1,000,000</t>
  </si>
  <si>
    <t>203,048,381</t>
  </si>
  <si>
    <t>TRAN THANH HUNG</t>
  </si>
  <si>
    <t>MBVCB.11507485097.298870.tran duc a nh nop  tien hoc t10/2025.CT tu 001 1000507585 TRAN THANH HUNG toi 2588 666868 CONG TY TNHH TRI THUC SAO VI ET tai MB- Ma GD ACSP/ df298870</t>
  </si>
  <si>
    <t>FT25303302379944</t>
  </si>
  <si>
    <t>30/10/2025 01:34:33</t>
  </si>
  <si>
    <t>900,000</t>
  </si>
  <si>
    <t>202,048,381</t>
  </si>
  <si>
    <t>NGUYEN HUYEN NGA</t>
  </si>
  <si>
    <t xml:space="preserve">Phan Ngoc Ha SV12x2x4 thang 10   Ma  giao dich  Trace451177 Trace 45117 </t>
  </si>
  <si>
    <t>FT25303574185251</t>
  </si>
  <si>
    <t>29/10/2025 22:31:32</t>
  </si>
  <si>
    <t>1,500,000</t>
  </si>
  <si>
    <t>201,148,381</t>
  </si>
  <si>
    <t>PHAM THI THUY HANG</t>
  </si>
  <si>
    <t>MBVCB.11506704851.761721.Phan Quoc  Tri SV12x2x22 thang 10.CT tu 001100  3661439 PHAM THI THUY HANG toi 2588  666868 CONG TY TNHH TRI THUC SAO VI ET tai MB- Ma GD ACSP/ nv761721</t>
  </si>
  <si>
    <t>FT25302036202464</t>
  </si>
  <si>
    <t>29/10/2025 19:35:07</t>
  </si>
  <si>
    <t>199,648,381</t>
  </si>
  <si>
    <t>NGUYEN THI KIM DUNG</t>
  </si>
  <si>
    <t xml:space="preserve">Le Duc Anh SV12x1x3 thang 10 291025   19 35 06 414377   Ma giao dich  Tr  ace414377 Trace 414377 </t>
  </si>
  <si>
    <t>FT25302395191088</t>
  </si>
  <si>
    <t>29/10/2025 18:43:11</t>
  </si>
  <si>
    <t>198,748,381</t>
  </si>
  <si>
    <t>VU THU NGA</t>
  </si>
  <si>
    <t xml:space="preserve">Thai Thanh Thu SV12x6x17 thang 10 </t>
  </si>
  <si>
    <t>FT25302510844003</t>
  </si>
  <si>
    <t>29/10/2025 18:25:06</t>
  </si>
  <si>
    <t>800,000</t>
  </si>
  <si>
    <t>197,348,381</t>
  </si>
  <si>
    <t>VND-TGTT-TRAN THI HAU</t>
  </si>
  <si>
    <t xml:space="preserve">Tran Minh Quang  12A6  Thang 10 FT2  5302638538700   Ma giao dich  Trace  610886 Trace 610886 </t>
  </si>
  <si>
    <t>FT25302567440772</t>
  </si>
  <si>
    <t>29/10/2025 17:39:35</t>
  </si>
  <si>
    <t>196,548,381</t>
  </si>
  <si>
    <t>TRAN THI THANH HOA</t>
  </si>
  <si>
    <t xml:space="preserve">NGUYEN GIA NAM SV12X2X9 THANG 10- M  a GD ACSP/ fz595972 </t>
  </si>
  <si>
    <t>FT25302023061045</t>
  </si>
  <si>
    <t>29/10/2025 17:39:18</t>
  </si>
  <si>
    <t>1,700,000</t>
  </si>
  <si>
    <t>194,748,381</t>
  </si>
  <si>
    <t>DONG THI NHUNG</t>
  </si>
  <si>
    <t xml:space="preserve">Dong Thi Nhung SV12x5x25 thang 10 </t>
  </si>
  <si>
    <t>FT25302224972728</t>
  </si>
  <si>
    <t>Đỗ Trang Anh</t>
  </si>
  <si>
    <t>Đỗ Thị Quế Phương</t>
  </si>
  <si>
    <r>
      <rPr>
        <sz val="8"/>
        <rFont val="Times New Roman"/>
        <family val="1"/>
      </rPr>
      <t>30/10/2025 15:41</t>
    </r>
  </si>
  <si>
    <r>
      <rPr>
        <sz val="8"/>
        <rFont val="Times New Roman"/>
        <family val="1"/>
      </rPr>
      <t>CUSTOMER DANG XUAN HAI chuyen tien hoc them  hoc sinh dang phu thai lop 11 a3 FT 25303505365763   Ma giao dich  Trac e166864 Trace 166864</t>
    </r>
  </si>
  <si>
    <r>
      <rPr>
        <sz val="8"/>
        <rFont val="Times New Roman"/>
        <family val="1"/>
      </rPr>
      <t>30/10/2025 14:42</t>
    </r>
  </si>
  <si>
    <r>
      <rPr>
        <sz val="8"/>
        <rFont val="Times New Roman"/>
        <family val="1"/>
      </rPr>
      <t>CUSTOMER Phan Thanh Gia Linh SV11x7x12 thang  10. TU: LUU BICH THUY</t>
    </r>
  </si>
  <si>
    <r>
      <rPr>
        <sz val="8"/>
        <rFont val="Times New Roman"/>
        <family val="1"/>
      </rPr>
      <t>30/10/2025 12:02</t>
    </r>
  </si>
  <si>
    <r>
      <rPr>
        <sz val="8"/>
        <rFont val="Times New Roman"/>
        <family val="1"/>
      </rPr>
      <t>CUSTOMER DANG THI TUYET chuyen khoan. TU: DANG THI TUYET</t>
    </r>
  </si>
  <si>
    <r>
      <rPr>
        <sz val="8"/>
        <rFont val="Times New Roman"/>
        <family val="1"/>
      </rPr>
      <t>30/10/2025 11:46</t>
    </r>
  </si>
  <si>
    <r>
      <rPr>
        <sz val="8"/>
        <rFont val="Times New Roman"/>
        <family val="1"/>
      </rPr>
      <t>CUSTOMER Nguyen Nhu Quynh SV12x11x7 thang 10. TU: NGUYEN NHU QUYNH</t>
    </r>
  </si>
  <si>
    <r>
      <rPr>
        <sz val="8"/>
        <rFont val="Times New Roman"/>
        <family val="1"/>
      </rPr>
      <t>30/10/2025 09:57</t>
    </r>
  </si>
  <si>
    <r>
      <rPr>
        <sz val="8"/>
        <rFont val="Times New Roman"/>
        <family val="1"/>
      </rPr>
      <t>CUSTOMER Dang Viet Bach SV12x13x2 thang 10. TU: DANG VIET BACH</t>
    </r>
  </si>
  <si>
    <r>
      <rPr>
        <sz val="8"/>
        <rFont val="Times New Roman"/>
        <family val="1"/>
      </rPr>
      <t>30/10/2025 09:29</t>
    </r>
  </si>
  <si>
    <r>
      <rPr>
        <sz val="8"/>
        <rFont val="Times New Roman"/>
        <family val="1"/>
      </rPr>
      <t>CUSTOMER Tran Hong Linh SV10x1x19 thang 10    Ma giao dich  Trace102235 Trace 10 2235</t>
    </r>
  </si>
  <si>
    <r>
      <rPr>
        <sz val="8"/>
        <rFont val="Times New Roman"/>
        <family val="1"/>
      </rPr>
      <t>30/10/2025 08:12</t>
    </r>
  </si>
  <si>
    <r>
      <rPr>
        <sz val="8"/>
        <rFont val="Times New Roman"/>
        <family val="1"/>
      </rPr>
      <t xml:space="preserve">SAM THI THU THUY MBVCB.11508535278.020936.Hoang
</t>
    </r>
    <r>
      <rPr>
        <sz val="8"/>
        <rFont val="Times New Roman"/>
        <family val="1"/>
      </rPr>
      <t xml:space="preserve">Thi Ngoc Ha SV10x2x12 thang 10.CT tu 10 18976285 SAM THI THU THUY toi 06701 90997777 NGUYEN THI HUYEN
</t>
    </r>
    <r>
      <rPr>
        <sz val="8"/>
        <rFont val="Times New Roman"/>
        <family val="1"/>
      </rPr>
      <t>tai MB- M</t>
    </r>
  </si>
  <si>
    <r>
      <rPr>
        <sz val="8"/>
        <rFont val="Times New Roman"/>
        <family val="1"/>
      </rPr>
      <t>30/10/2025 07:50</t>
    </r>
  </si>
  <si>
    <r>
      <rPr>
        <sz val="8"/>
        <rFont val="Times New Roman"/>
        <family val="1"/>
      </rPr>
      <t>CUSTOMER BUI THI HUE chuyen au mai linh SV10 x7x5 thang 10 FT25303940947090   Ma  giao dich  Trace641551 Trace 64155</t>
    </r>
  </si>
  <si>
    <r>
      <rPr>
        <sz val="8"/>
        <rFont val="Times New Roman"/>
        <family val="1"/>
      </rPr>
      <t>30/10/2025 07:46</t>
    </r>
  </si>
  <si>
    <r>
      <rPr>
        <sz val="8"/>
        <rFont val="Times New Roman"/>
        <family val="1"/>
      </rPr>
      <t>BUI THI HUONG NGUYEN HOANG ANH SV11X4X7 THANG 10-  Ma GD ACSP/ tp295313</t>
    </r>
  </si>
  <si>
    <r>
      <rPr>
        <sz val="8"/>
        <rFont val="Times New Roman"/>
        <family val="1"/>
      </rPr>
      <t>30/10/2025 07:28</t>
    </r>
  </si>
  <si>
    <r>
      <rPr>
        <sz val="8"/>
        <rFont val="Times New Roman"/>
        <family val="1"/>
      </rPr>
      <t>CUSTOMER Le Truong Giang SV10x2x20 thang 10 FT25303805313345   Ma giao dich  Tr ace553298 Trace 553298</t>
    </r>
  </si>
  <si>
    <r>
      <rPr>
        <sz val="8"/>
        <rFont val="Times New Roman"/>
        <family val="1"/>
      </rPr>
      <t>30/10/2025 07:11</t>
    </r>
  </si>
  <si>
    <r>
      <rPr>
        <sz val="8"/>
        <rFont val="Times New Roman"/>
        <family val="1"/>
      </rPr>
      <t>CUSTOMER Thai Hoang Bach SV12x8x6 thang 10 F T25303504819531   Ma giao dich  Tra ce490744 Trace 490744</t>
    </r>
  </si>
  <si>
    <r>
      <rPr>
        <sz val="8"/>
        <rFont val="Times New Roman"/>
        <family val="1"/>
      </rPr>
      <t>30/10/2025 00:27</t>
    </r>
  </si>
  <si>
    <r>
      <rPr>
        <sz val="8"/>
        <rFont val="Times New Roman"/>
        <family val="1"/>
      </rPr>
      <t>CUSTOMER IBFT Tran Minh Khang SV10x2x15 than g 10 Ma giao dich  Trace186382 Tr ace 186382</t>
    </r>
  </si>
  <si>
    <r>
      <rPr>
        <sz val="8"/>
        <rFont val="Times New Roman"/>
        <family val="1"/>
      </rPr>
      <t>30/10/2025 00:07</t>
    </r>
  </si>
  <si>
    <r>
      <rPr>
        <sz val="8"/>
        <rFont val="Times New Roman"/>
        <family val="1"/>
      </rPr>
      <t>NGUYEN THI HA DINH DIEU HA VI SV11X7X13 THANG 10-  Ma GD ACSP/ AK654522</t>
    </r>
  </si>
  <si>
    <r>
      <rPr>
        <sz val="8"/>
        <rFont val="Times New Roman"/>
        <family val="1"/>
      </rPr>
      <t>29/10/2025 22:48</t>
    </r>
  </si>
  <si>
    <r>
      <rPr>
        <sz val="8"/>
        <rFont val="Times New Roman"/>
        <family val="1"/>
      </rPr>
      <t>CUSTOMER Nguyen Gia Huy SV12x4x21 thang 10 F T25303100820987   Ma giao dich  Tra ce967959 Trace 967959</t>
    </r>
  </si>
  <si>
    <r>
      <rPr>
        <sz val="8"/>
        <rFont val="Times New Roman"/>
        <family val="1"/>
      </rPr>
      <t>29/10/2025 22:32</t>
    </r>
  </si>
  <si>
    <r>
      <rPr>
        <sz val="8"/>
        <rFont val="Times New Roman"/>
        <family val="1"/>
      </rPr>
      <t xml:space="preserve">PHAM THI THUY HANG MBVCB.11506708364.767444.
</t>
    </r>
    <r>
      <rPr>
        <sz val="8"/>
        <rFont val="Times New Roman"/>
        <family val="1"/>
      </rPr>
      <t>Phan Quoc Anh SV11x2x15 thang 10.CT tu 001100 3661439 PHAM THI THUY HANG toi 0670 190997777 NGUYEN THI HUYEN tai MB-</t>
    </r>
  </si>
  <si>
    <r>
      <rPr>
        <sz val="8"/>
        <rFont val="Times New Roman"/>
        <family val="1"/>
      </rPr>
      <t>29/10/2025 22:23</t>
    </r>
  </si>
  <si>
    <r>
      <rPr>
        <sz val="8"/>
        <rFont val="Times New Roman"/>
        <family val="1"/>
      </rPr>
      <t>NGUYEN VAN LAN QR   Nguyen Hoang Mai SV11x3x8 than g 10- Ma GD ACSP/ Fy475319</t>
    </r>
  </si>
  <si>
    <r>
      <rPr>
        <sz val="8"/>
        <rFont val="Times New Roman"/>
        <family val="1"/>
      </rPr>
      <t>29/10/2025 22:22</t>
    </r>
  </si>
  <si>
    <r>
      <rPr>
        <sz val="8"/>
        <rFont val="Times New Roman"/>
        <family val="1"/>
      </rPr>
      <t>CUSTOMER Truong Linh Anh SV10x8x3 thang 10    Ma giao dich  Trace358117 Trace 35 8117</t>
    </r>
  </si>
  <si>
    <r>
      <rPr>
        <sz val="8"/>
        <rFont val="Times New Roman"/>
        <family val="1"/>
      </rPr>
      <t>29/10/2025 22:17</t>
    </r>
  </si>
  <si>
    <r>
      <rPr>
        <sz val="8"/>
        <rFont val="Times New Roman"/>
        <family val="1"/>
      </rPr>
      <t>CUSTOMER Nguyen Huong Thuy SV12x11x26 thang  10. TU: NGUYEN HUONG THUY</t>
    </r>
  </si>
  <si>
    <r>
      <rPr>
        <sz val="8"/>
        <rFont val="Times New Roman"/>
        <family val="1"/>
      </rPr>
      <t>29/10/2025 22:12</t>
    </r>
  </si>
  <si>
    <r>
      <rPr>
        <sz val="8"/>
        <rFont val="Times New Roman"/>
        <family val="1"/>
      </rPr>
      <t>CUSTOMER Nguyen Yen Nhi SV12x16x15 thang 10. TU: NGUYEN DUC TUAN</t>
    </r>
  </si>
  <si>
    <r>
      <rPr>
        <sz val="8"/>
        <rFont val="Times New Roman"/>
        <family val="1"/>
      </rPr>
      <t>29/10/2025 21:45</t>
    </r>
  </si>
  <si>
    <r>
      <rPr>
        <sz val="8"/>
        <rFont val="Times New Roman"/>
        <family val="1"/>
      </rPr>
      <t>PHAM THI THUY DUONG NGUYEN MINH QUAN SV10X16X17 THANG 1 0- Ma GD ACSP/ cG262300</t>
    </r>
  </si>
  <si>
    <r>
      <rPr>
        <sz val="8"/>
        <rFont val="Times New Roman"/>
        <family val="1"/>
      </rPr>
      <t>29/10/2025 21:41</t>
    </r>
  </si>
  <si>
    <r>
      <rPr>
        <sz val="8"/>
        <rFont val="Times New Roman"/>
        <family val="1"/>
      </rPr>
      <t xml:space="preserve">NGUYEN THI ANH DAO MBVCB.11506317973.498766.
</t>
    </r>
    <r>
      <rPr>
        <sz val="8"/>
        <rFont val="Times New Roman"/>
        <family val="1"/>
      </rPr>
      <t>Tong Tram Anh SV10x16x21 thang 10.CT tu 00110 01722793 NGUYEN THI ANH DAO toi 067 0190997777 NGUYEN THI HUYEN tai MB-</t>
    </r>
  </si>
  <si>
    <r>
      <rPr>
        <sz val="8"/>
        <rFont val="Times New Roman"/>
        <family val="1"/>
      </rPr>
      <t>29/10/2025 21:23</t>
    </r>
  </si>
  <si>
    <r>
      <rPr>
        <sz val="8"/>
        <rFont val="Times New Roman"/>
        <family val="1"/>
      </rPr>
      <t>CUSTOMER nguyen thi hai van svx3x18 thang 10. TU: NGUYEN THI NGOAN</t>
    </r>
  </si>
  <si>
    <r>
      <rPr>
        <sz val="8"/>
        <rFont val="Times New Roman"/>
        <family val="1"/>
      </rPr>
      <t>29/10/2025 21:10</t>
    </r>
  </si>
  <si>
    <r>
      <rPr>
        <sz val="8"/>
        <rFont val="Times New Roman"/>
        <family val="1"/>
      </rPr>
      <t xml:space="preserve">NGHIEM XUAN KHANH MBVCB.11506007229.290055.
</t>
    </r>
    <r>
      <rPr>
        <sz val="8"/>
        <rFont val="Times New Roman"/>
        <family val="1"/>
      </rPr>
      <t xml:space="preserve">Nghiem Xua n Bao Minh SV11x1x18 thang 10.CT tu 0181003509188 NGHIEM XUAN KHANH to i
</t>
    </r>
    <r>
      <rPr>
        <sz val="8"/>
        <rFont val="Times New Roman"/>
        <family val="1"/>
      </rPr>
      <t>0670190997777 NGUYEN THI HUYEN ta</t>
    </r>
  </si>
  <si>
    <r>
      <rPr>
        <sz val="8"/>
        <rFont val="Times New Roman"/>
        <family val="1"/>
      </rPr>
      <t>29/10/2025 21:05</t>
    </r>
  </si>
  <si>
    <r>
      <rPr>
        <sz val="8"/>
        <rFont val="Times New Roman"/>
        <family val="1"/>
      </rPr>
      <t xml:space="preserve">NGUYEN THI PHUONG MBVCB.11505939447.250014.
</t>
    </r>
    <r>
      <rPr>
        <sz val="8"/>
        <rFont val="Times New Roman"/>
        <family val="1"/>
      </rPr>
      <t>Nguyen Thi  Thao Nhu SV11x5x3 thang 10.CT tu 1 026255580 NGUYEN THI PHUONG toi 067 0190997777 NGUYEN THI HUYEN tai MB-</t>
    </r>
  </si>
  <si>
    <r>
      <rPr>
        <sz val="8"/>
        <rFont val="Times New Roman"/>
        <family val="1"/>
      </rPr>
      <t>29/10/2025 21:02</t>
    </r>
  </si>
  <si>
    <r>
      <rPr>
        <sz val="8"/>
        <rFont val="Times New Roman"/>
        <family val="1"/>
      </rPr>
      <t>CUSTOMER Nguyen Huong Giang SV10x12x16 thang  10 Ma giao dich  Trace253935 Tra ce 253935</t>
    </r>
  </si>
  <si>
    <r>
      <rPr>
        <sz val="8"/>
        <rFont val="Times New Roman"/>
        <family val="1"/>
      </rPr>
      <t>29/10/2025 20:44</t>
    </r>
  </si>
  <si>
    <r>
      <rPr>
        <sz val="8"/>
        <rFont val="Times New Roman"/>
        <family val="1"/>
      </rPr>
      <t>CUSTOMER Phung My Anh SV11x7x7 thang 10. TU: PHUNG MY ANH</t>
    </r>
  </si>
  <si>
    <r>
      <rPr>
        <sz val="8"/>
        <rFont val="Times New Roman"/>
        <family val="1"/>
      </rPr>
      <t>29/10/2025 20:38</t>
    </r>
  </si>
  <si>
    <r>
      <rPr>
        <sz val="8"/>
        <rFont val="Times New Roman"/>
        <family val="1"/>
      </rPr>
      <t xml:space="preserve">DUONG THI BICH ANH MBVCB.11505637636.041805.Pham
</t>
    </r>
    <r>
      <rPr>
        <sz val="8"/>
        <rFont val="Times New Roman"/>
        <family val="1"/>
      </rPr>
      <t xml:space="preserve">Thanh  Dat SV10x7x4 thang 10.CT tu 198945 6672 DUONG THI BICH ANH toi 0670190 997777 NGUYEN THI HUYEN
</t>
    </r>
    <r>
      <rPr>
        <sz val="8"/>
        <rFont val="Times New Roman"/>
        <family val="1"/>
      </rPr>
      <t>tai MB- Ma</t>
    </r>
  </si>
  <si>
    <r>
      <rPr>
        <sz val="8"/>
        <rFont val="Times New Roman"/>
        <family val="1"/>
      </rPr>
      <t>29/10/2025 20:17</t>
    </r>
  </si>
  <si>
    <r>
      <rPr>
        <sz val="8"/>
        <rFont val="Times New Roman"/>
        <family val="1"/>
      </rPr>
      <t xml:space="preserve">TRUONG THI HANH MBVCB.11505358420.860731.Pham
</t>
    </r>
    <r>
      <rPr>
        <sz val="8"/>
        <rFont val="Times New Roman"/>
        <family val="1"/>
      </rPr>
      <t xml:space="preserve">Gia M inh SV10x16x26 thang 10.CT tu 00110 00618858 TRUONG THI HANH toi 067019 0997777 NGUYEN THI
</t>
    </r>
    <r>
      <rPr>
        <sz val="8"/>
        <rFont val="Times New Roman"/>
        <family val="1"/>
      </rPr>
      <t>HUYEN tai MB- Ma</t>
    </r>
  </si>
  <si>
    <r>
      <rPr>
        <sz val="8"/>
        <rFont val="Times New Roman"/>
        <family val="1"/>
      </rPr>
      <t>29/10/2025 20:07</t>
    </r>
  </si>
  <si>
    <r>
      <rPr>
        <sz val="8"/>
        <rFont val="Times New Roman"/>
        <family val="1"/>
      </rPr>
      <t>PHAM THI BICH HA QR   Pham Tu Uyen SV10x8x24 thang 1 0- Ma GD ACSP/ XT140990</t>
    </r>
  </si>
  <si>
    <r>
      <rPr>
        <sz val="8"/>
        <rFont val="Times New Roman"/>
        <family val="1"/>
      </rPr>
      <t>29/10/2025 20:02</t>
    </r>
  </si>
  <si>
    <r>
      <rPr>
        <sz val="8"/>
        <rFont val="Times New Roman"/>
        <family val="1"/>
      </rPr>
      <t>CUSTOMER  Ngo Thanh Duc SV 10x16x6 thang 10. TU: PHAM THI THANH THUY</t>
    </r>
  </si>
  <si>
    <r>
      <rPr>
        <sz val="8"/>
        <rFont val="Times New Roman"/>
        <family val="1"/>
      </rPr>
      <t>29/10/2025 19:56</t>
    </r>
  </si>
  <si>
    <r>
      <rPr>
        <sz val="8"/>
        <rFont val="Times New Roman"/>
        <family val="1"/>
      </rPr>
      <t>CUSTOMER Nguyen Phuong Thao SV12x8x14 thang  10 FT25302078737296   Ma giao dich   Trace180055 Trace 180055</t>
    </r>
  </si>
  <si>
    <r>
      <rPr>
        <sz val="8"/>
        <rFont val="Times New Roman"/>
        <family val="1"/>
      </rPr>
      <t>29/10/2025 19:38</t>
    </r>
  </si>
  <si>
    <r>
      <rPr>
        <sz val="8"/>
        <rFont val="Times New Roman"/>
        <family val="1"/>
      </rPr>
      <t xml:space="preserve">NGUYEN THI HONG MAI MBVCB.11504827312.503700.HS
</t>
    </r>
    <r>
      <rPr>
        <sz val="8"/>
        <rFont val="Times New Roman"/>
        <family val="1"/>
      </rPr>
      <t>Dao Phu ong Linh lop co giao Dich dong tien  hoc thang 10/2025 mon van.CT tu 00 21000255799 NGUYEN THI HONG MAI toi</t>
    </r>
  </si>
  <si>
    <r>
      <rPr>
        <sz val="8"/>
        <rFont val="Times New Roman"/>
        <family val="1"/>
      </rPr>
      <t>29/10/2025 19:31</t>
    </r>
  </si>
  <si>
    <r>
      <rPr>
        <sz val="8"/>
        <rFont val="Times New Roman"/>
        <family val="1"/>
      </rPr>
      <t>CUSTOMER Ngo Gia Loc SV10x16x11 thang 10 FT2 5302602732087   Ma giao dich  Trace 036037 Trace 036037</t>
    </r>
  </si>
  <si>
    <r>
      <rPr>
        <sz val="8"/>
        <rFont val="Times New Roman"/>
        <family val="1"/>
      </rPr>
      <t>29/10/2025 19:04</t>
    </r>
  </si>
  <si>
    <r>
      <rPr>
        <sz val="8"/>
        <rFont val="Times New Roman"/>
        <family val="1"/>
      </rPr>
      <t>CUSTOMER Pham Ba Thang SV10x2x17 thang 10. TU: PHAM BA TOAN</t>
    </r>
  </si>
  <si>
    <r>
      <rPr>
        <sz val="8"/>
        <rFont val="Times New Roman"/>
        <family val="1"/>
      </rPr>
      <t>29/10/2025 18:52</t>
    </r>
  </si>
  <si>
    <r>
      <rPr>
        <sz val="8"/>
        <rFont val="Times New Roman"/>
        <family val="1"/>
      </rPr>
      <t xml:space="preserve">BUI THI THANH HUYEN MBVCB.11504161940.061549.BUI
</t>
    </r>
    <r>
      <rPr>
        <sz val="8"/>
        <rFont val="Times New Roman"/>
        <family val="1"/>
      </rPr>
      <t>THI TH ANH HUYEN chuyen tien.CT tu 0301000 325401 BUI THI THANH HUYEN toi 0670 190997777 NGUYEN THI HUYEN tai MB-</t>
    </r>
  </si>
  <si>
    <r>
      <rPr>
        <sz val="8"/>
        <rFont val="Times New Roman"/>
        <family val="1"/>
      </rPr>
      <t>29/10/2025 18:41</t>
    </r>
  </si>
  <si>
    <r>
      <rPr>
        <sz val="8"/>
        <rFont val="Times New Roman"/>
        <family val="1"/>
      </rPr>
      <t>HO TUAN ANH HO CHAU ANH SV10X10X5 THANG 10- Ma GD ACSP/ fJ080404</t>
    </r>
  </si>
  <si>
    <r>
      <rPr>
        <sz val="8"/>
        <rFont val="Times New Roman"/>
        <family val="1"/>
      </rPr>
      <t>29/10/2025 18:30</t>
    </r>
  </si>
  <si>
    <r>
      <rPr>
        <sz val="8"/>
        <rFont val="Times New Roman"/>
        <family val="1"/>
      </rPr>
      <t xml:space="preserve">PHAN THI NHUNG MBVCB.11503824971.835899.Le Hoang
</t>
    </r>
    <r>
      <rPr>
        <sz val="8"/>
        <rFont val="Times New Roman"/>
        <family val="1"/>
      </rPr>
      <t xml:space="preserve">N am SV10x16x14 thang 10.CT tu 001100 2176514 PHAN THI NHUNG toi 06701909 97777 NGUYEN THI HUYEN tai MB-
</t>
    </r>
    <r>
      <rPr>
        <sz val="8"/>
        <rFont val="Times New Roman"/>
        <family val="1"/>
      </rPr>
      <t>Ma G</t>
    </r>
  </si>
  <si>
    <r>
      <rPr>
        <sz val="8"/>
        <rFont val="Times New Roman"/>
        <family val="1"/>
      </rPr>
      <t>29/10/2025 18:29</t>
    </r>
  </si>
  <si>
    <r>
      <rPr>
        <sz val="8"/>
        <rFont val="Times New Roman"/>
        <family val="1"/>
      </rPr>
      <t>CUSTOMER Nguyen Gia Hien SV10x16x8 thang 10. TU: NGUYEN THANH TRUNG</t>
    </r>
  </si>
  <si>
    <r>
      <rPr>
        <sz val="8"/>
        <rFont val="Times New Roman"/>
        <family val="1"/>
      </rPr>
      <t>29/10/2025 18:18</t>
    </r>
  </si>
  <si>
    <r>
      <rPr>
        <sz val="8"/>
        <rFont val="Times New Roman"/>
        <family val="1"/>
      </rPr>
      <t>TRAN MINH NGHIA QR   Dao Tran Anh Minh SV10x16x25 t hang 10- Ma GD ACSP/ lX678521</t>
    </r>
  </si>
  <si>
    <r>
      <rPr>
        <sz val="8"/>
        <rFont val="Times New Roman"/>
        <family val="1"/>
      </rPr>
      <t>29/10/2025 18:13</t>
    </r>
  </si>
  <si>
    <r>
      <rPr>
        <sz val="8"/>
        <rFont val="Times New Roman"/>
        <family val="1"/>
      </rPr>
      <t>CUSTOMER Tran Quynh Anh SV10x10x11 thang 10    Ma giao dich  Trace382448 Trace 3 82448</t>
    </r>
  </si>
  <si>
    <r>
      <rPr>
        <sz val="8"/>
        <rFont val="Times New Roman"/>
        <family val="1"/>
      </rPr>
      <t>29/10/2025 18:05</t>
    </r>
  </si>
  <si>
    <r>
      <rPr>
        <sz val="8"/>
        <rFont val="Times New Roman"/>
        <family val="1"/>
      </rPr>
      <t>CUSTOMER Nguyen Tuan Phong SV10x14x10 thang  10 FT25302539420339   Ma giao dich   Trace479371 Trace 479371</t>
    </r>
  </si>
  <si>
    <r>
      <rPr>
        <sz val="8"/>
        <rFont val="Times New Roman"/>
        <family val="1"/>
      </rPr>
      <t>29/10/2025 18:04</t>
    </r>
  </si>
  <si>
    <r>
      <rPr>
        <sz val="8"/>
        <rFont val="Times New Roman"/>
        <family val="1"/>
      </rPr>
      <t>NGUYEN THANH TRUNG NGUYEN PHUONG THAO SV10X10X4 THANG 10- Ma GD ACSP/ jz807912</t>
    </r>
  </si>
  <si>
    <r>
      <rPr>
        <sz val="8"/>
        <rFont val="Times New Roman"/>
        <family val="1"/>
      </rPr>
      <t>29/10/2025 17:52</t>
    </r>
  </si>
  <si>
    <r>
      <rPr>
        <sz val="8"/>
        <rFont val="Times New Roman"/>
        <family val="1"/>
      </rPr>
      <t xml:space="preserve">NGUYEN THI DUNG MBVCB.11503242991.453978.Nguyen
</t>
    </r>
    <r>
      <rPr>
        <sz val="8"/>
        <rFont val="Times New Roman"/>
        <family val="1"/>
      </rPr>
      <t>Quy nh Anh SV10x7x1 thang 10.CT tu 0541 000308810 NGUYEN THI DUNG toi 06701 90997777 NGUYEN THI HUYEN tai MB- M</t>
    </r>
  </si>
  <si>
    <r>
      <rPr>
        <sz val="8"/>
        <rFont val="Times New Roman"/>
        <family val="1"/>
      </rPr>
      <t>29/10/2025 17:48</t>
    </r>
  </si>
  <si>
    <r>
      <rPr>
        <sz val="8"/>
        <rFont val="Times New Roman"/>
        <family val="1"/>
      </rPr>
      <t>CUSTOMER Vu Khanh An SV10x16x2 thang 10. TU: DANG VAN ANH</t>
    </r>
  </si>
  <si>
    <r>
      <rPr>
        <sz val="8"/>
        <rFont val="Times New Roman"/>
        <family val="1"/>
      </rPr>
      <t>29/10/2025 17:47</t>
    </r>
  </si>
  <si>
    <r>
      <rPr>
        <sz val="8"/>
        <rFont val="Times New Roman"/>
        <family val="1"/>
      </rPr>
      <t xml:space="preserve">CUSTOMER TRAN NGOC VY 12A9 thang 10 FT253026
</t>
    </r>
    <r>
      <rPr>
        <sz val="8"/>
        <rFont val="Times New Roman"/>
        <family val="1"/>
      </rPr>
      <t>77364255   Ma giao dich  Trace35034 2 Trace 350342</t>
    </r>
  </si>
  <si>
    <r>
      <rPr>
        <sz val="8"/>
        <rFont val="Times New Roman"/>
        <family val="1"/>
      </rPr>
      <t>29/10/2025 17:42</t>
    </r>
  </si>
  <si>
    <r>
      <rPr>
        <sz val="8"/>
        <rFont val="Times New Roman"/>
        <family val="1"/>
      </rPr>
      <t>NGUYEN VAN CHINH QR   Nguyen Tam Anh SV12x8x5 thang 10- Ma GD ACSP/ yv539666</t>
    </r>
  </si>
  <si>
    <r>
      <rPr>
        <sz val="8"/>
        <rFont val="Times New Roman"/>
        <family val="1"/>
      </rPr>
      <t>29/10/2025 17:41</t>
    </r>
  </si>
  <si>
    <r>
      <rPr>
        <sz val="8"/>
        <rFont val="Times New Roman"/>
        <family val="1"/>
      </rPr>
      <t xml:space="preserve">KHUC THI THU THUY MBVCB.11503059101.323673.
</t>
    </r>
    <r>
      <rPr>
        <sz val="8"/>
        <rFont val="Times New Roman"/>
        <family val="1"/>
      </rPr>
      <t>Nguyen Min h Tuan SV11x9x2 thang 10.CT tu 0011 001549407 KHUC THI THU THUY toi 067 0190997777 NGUYEN THI HUYEN tai MB-</t>
    </r>
  </si>
  <si>
    <r>
      <rPr>
        <sz val="8"/>
        <rFont val="Times New Roman"/>
        <family val="1"/>
      </rPr>
      <t>29/10/2025 17:38</t>
    </r>
  </si>
  <si>
    <r>
      <rPr>
        <sz val="8"/>
        <rFont val="Times New Roman"/>
        <family val="1"/>
      </rPr>
      <t xml:space="preserve">KHUC THI THU THUY MBVCB.11503012614.296493.
</t>
    </r>
    <r>
      <rPr>
        <sz val="8"/>
        <rFont val="Times New Roman"/>
        <family val="1"/>
      </rPr>
      <t>Nguyen Min h Tu SV11x9x1 thang 10.CT tu 001100 1549407 KHUC THI THU THUY toi 06701 90997777 NGUYEN THI HUYEN tai MB- M</t>
    </r>
  </si>
  <si>
    <r>
      <rPr>
        <sz val="8"/>
        <rFont val="Times New Roman"/>
        <family val="1"/>
      </rPr>
      <t>29/10/2025 17:24</t>
    </r>
  </si>
  <si>
    <r>
      <rPr>
        <sz val="8"/>
        <rFont val="Times New Roman"/>
        <family val="1"/>
      </rPr>
      <t>VU HUNG DINH VU THANH TUNG . SV11X3X24 THANG 10-  Ma GD ACSP/ LT460014</t>
    </r>
  </si>
  <si>
    <r>
      <rPr>
        <sz val="8"/>
        <rFont val="Times New Roman"/>
        <family val="1"/>
      </rPr>
      <t>29/10/2025 16:16</t>
    </r>
  </si>
  <si>
    <r>
      <rPr>
        <sz val="8"/>
        <rFont val="Times New Roman"/>
        <family val="1"/>
      </rPr>
      <t xml:space="preserve">NGUYEN THI NET MBVCB.11501763615.445349.NGUYEN
</t>
    </r>
    <r>
      <rPr>
        <sz val="8"/>
        <rFont val="Times New Roman"/>
        <family val="1"/>
      </rPr>
      <t xml:space="preserve">THI  Ngoc Khanh SV10x14x5thang 10.CT tu  0021000633611 NGUYEN THI NET toi 0 670190997777 NGUYEN THI
</t>
    </r>
    <r>
      <rPr>
        <sz val="8"/>
        <rFont val="Times New Roman"/>
        <family val="1"/>
      </rPr>
      <t>HUYEN tai M</t>
    </r>
  </si>
  <si>
    <r>
      <rPr>
        <sz val="8"/>
        <rFont val="Times New Roman"/>
        <family val="1"/>
      </rPr>
      <t>29/10/2025 12:05</t>
    </r>
  </si>
  <si>
    <r>
      <rPr>
        <sz val="8"/>
        <rFont val="Times New Roman"/>
        <family val="1"/>
      </rPr>
      <t>NGUYEN THI HAI YEN PHAM TUAN MINH SV10X12X25 THANG 10-  Ma GD ACSP/ 3M573374</t>
    </r>
  </si>
  <si>
    <r>
      <rPr>
        <sz val="8"/>
        <rFont val="Times New Roman"/>
        <family val="1"/>
      </rPr>
      <t>29/10/2025 11:43</t>
    </r>
  </si>
  <si>
    <r>
      <rPr>
        <sz val="8"/>
        <rFont val="Times New Roman"/>
        <family val="1"/>
      </rPr>
      <t>LE THI YEN QR   Bui Lam Thuy Duong SV10x9x4 th ang 10- Ma GD ACSP/ tp383346</t>
    </r>
  </si>
  <si>
    <r>
      <rPr>
        <sz val="8"/>
        <rFont val="Times New Roman"/>
        <family val="1"/>
      </rPr>
      <t>29/10/2025 11:42</t>
    </r>
  </si>
  <si>
    <r>
      <rPr>
        <sz val="8"/>
        <rFont val="Times New Roman"/>
        <family val="1"/>
      </rPr>
      <t>MAI VAN TOAN MB 0670190997777 Mai Anh Quan SV11x 3x12 thang 10- Ma GD ACSP/ SD071762</t>
    </r>
  </si>
  <si>
    <r>
      <rPr>
        <sz val="8"/>
        <rFont val="Times New Roman"/>
        <family val="1"/>
      </rPr>
      <t>29/10/2025 09:48</t>
    </r>
  </si>
  <si>
    <r>
      <rPr>
        <sz val="8"/>
        <rFont val="Times New Roman"/>
        <family val="1"/>
      </rPr>
      <t>29/10/2025 09:33</t>
    </r>
  </si>
  <si>
    <r>
      <rPr>
        <sz val="8"/>
        <rFont val="Times New Roman"/>
        <family val="1"/>
      </rPr>
      <t>DINH VAN CHUYEN QR   Dinh Vu Thang SV10x1x22 thang 10- Ma GD ACSP/ f3891252</t>
    </r>
  </si>
  <si>
    <r>
      <rPr>
        <sz val="8"/>
        <rFont val="Times New Roman"/>
        <family val="1"/>
      </rPr>
      <t>29/10/2025 09:32</t>
    </r>
  </si>
  <si>
    <r>
      <rPr>
        <sz val="8"/>
        <rFont val="Times New Roman"/>
        <family val="1"/>
      </rPr>
      <t>CUSTOMER Ngo Dieu Linh SV12x11x13 thang 10. TU: TRUONG THI LOAN</t>
    </r>
  </si>
  <si>
    <t>**</t>
  </si>
  <si>
    <t>FT25302712050226</t>
  </si>
  <si>
    <t>FT25302747772030</t>
  </si>
  <si>
    <t>FT25302365060934</t>
  </si>
  <si>
    <t>FT25295244404410
FT25302365060934</t>
  </si>
  <si>
    <t>lần 2</t>
  </si>
  <si>
    <t>FT25302153200130</t>
  </si>
  <si>
    <t>FT25302102860078</t>
  </si>
  <si>
    <t>FT25302216660206</t>
  </si>
  <si>
    <t>FT25302760209762</t>
  </si>
  <si>
    <t>FT25302905220349</t>
  </si>
  <si>
    <t>FT25302154773277</t>
  </si>
  <si>
    <t>FT25302053537331</t>
  </si>
  <si>
    <t>FT25302909441810</t>
  </si>
  <si>
    <t>FT25302403891420</t>
  </si>
  <si>
    <t>FT25302575337536</t>
  </si>
  <si>
    <t>FT25302390333016</t>
  </si>
  <si>
    <t>FT25302917551748</t>
  </si>
  <si>
    <t>FT25302340164202</t>
  </si>
  <si>
    <t>FT25302377371602</t>
  </si>
  <si>
    <t>FT25302815293369</t>
  </si>
  <si>
    <t>FT25302390745009</t>
  </si>
  <si>
    <t>FT25302286120795</t>
  </si>
  <si>
    <t>FT25302335420793</t>
  </si>
  <si>
    <t>FT25302275178230</t>
  </si>
  <si>
    <t>FT25302036929425</t>
  </si>
  <si>
    <t>FT25302118479807</t>
  </si>
  <si>
    <t>FT25302130702557</t>
  </si>
  <si>
    <t>FT25302013250625</t>
  </si>
  <si>
    <t>FT25302559800023</t>
  </si>
  <si>
    <t>FT25296410180800
FT25302559800023</t>
  </si>
  <si>
    <t>Nộp bổ xung</t>
  </si>
  <si>
    <t>FT25302560412570</t>
  </si>
  <si>
    <t>FT25302078342453</t>
  </si>
  <si>
    <t>FT25302020413388</t>
  </si>
  <si>
    <t>FT25302005209081</t>
  </si>
  <si>
    <t>FT25302905129929</t>
  </si>
  <si>
    <t>FT25302009302446</t>
  </si>
  <si>
    <t>FT25302311587994</t>
  </si>
  <si>
    <t>FT25302060945568</t>
  </si>
  <si>
    <t>FT25302937601001</t>
  </si>
  <si>
    <t>FT25302305262776</t>
  </si>
  <si>
    <t>FT25302200200009</t>
  </si>
  <si>
    <t>FT25302341939003</t>
  </si>
  <si>
    <t>FT25302307140732</t>
  </si>
  <si>
    <t>FT25302310142523</t>
  </si>
  <si>
    <t>FT25302074477182</t>
  </si>
  <si>
    <t>FT25303492025620</t>
  </si>
  <si>
    <t>FT25303824906749</t>
  </si>
  <si>
    <t>FT25303384353577</t>
  </si>
  <si>
    <t>FT25303257690667</t>
  </si>
  <si>
    <t>FT25303652418553</t>
  </si>
  <si>
    <t>FT25303624070087</t>
  </si>
  <si>
    <t>FT25303191180645</t>
  </si>
  <si>
    <t>FT25303962154602</t>
  </si>
  <si>
    <t>FT25303004561761</t>
  </si>
  <si>
    <t>FT25303788615162</t>
  </si>
  <si>
    <t>FT25303901801035</t>
  </si>
  <si>
    <t>FT25303080086478</t>
  </si>
  <si>
    <t>FT25303209728357</t>
  </si>
  <si>
    <t>FT25303673070159</t>
  </si>
  <si>
    <r>
      <rPr>
        <sz val="8"/>
        <rFont val="Times New Roman"/>
        <family val="1"/>
      </rPr>
      <t>30/10/2025 20:17</t>
    </r>
  </si>
  <si>
    <r>
      <rPr>
        <sz val="8"/>
        <rFont val="Times New Roman"/>
        <family val="1"/>
      </rPr>
      <t>CUSTOMER Luu Ngoc Long SV10x2x24 thang 10 FT 25303220849370   Ma giao dich  Trac e013381 Trace 013381</t>
    </r>
  </si>
  <si>
    <r>
      <rPr>
        <sz val="8"/>
        <rFont val="Times New Roman"/>
        <family val="1"/>
      </rPr>
      <t>30/10/2025 20:00</t>
    </r>
  </si>
  <si>
    <r>
      <rPr>
        <sz val="8"/>
        <rFont val="Times New Roman"/>
        <family val="1"/>
      </rPr>
      <t>CUSTOMER Ho Hai Nam SV10x16x13 thang 10   Ma  giao dich  Trace979806 Trace 97980</t>
    </r>
  </si>
  <si>
    <r>
      <rPr>
        <sz val="8"/>
        <rFont val="Times New Roman"/>
        <family val="1"/>
      </rPr>
      <t>30/10/2025 19:55</t>
    </r>
  </si>
  <si>
    <r>
      <rPr>
        <sz val="8"/>
        <rFont val="Times New Roman"/>
        <family val="1"/>
      </rPr>
      <t>NGUYEN THI THANH Diem dang Hung SV 12.11.2 nop tien thang 10- Ma GD ACSP/ YY358555</t>
    </r>
  </si>
  <si>
    <r>
      <rPr>
        <sz val="8"/>
        <rFont val="Times New Roman"/>
        <family val="1"/>
      </rPr>
      <t>30/10/2025 19:50</t>
    </r>
  </si>
  <si>
    <r>
      <rPr>
        <sz val="8"/>
        <rFont val="Times New Roman"/>
        <family val="1"/>
      </rPr>
      <t>HA THI THU TRANG PHAN HA BAO CHAU SV10X5X11 THANG 10 - Ma GD ACSP/ NI936443</t>
    </r>
  </si>
  <si>
    <r>
      <rPr>
        <sz val="8"/>
        <rFont val="Times New Roman"/>
        <family val="1"/>
      </rPr>
      <t>30/10/2025 19:37</t>
    </r>
  </si>
  <si>
    <r>
      <rPr>
        <sz val="8"/>
        <rFont val="Times New Roman"/>
        <family val="1"/>
      </rPr>
      <t>CUSTOMER Nguyen Duc Tri SV12x9x5 thang 10. TU: NGUYEN DUC TRI</t>
    </r>
  </si>
  <si>
    <r>
      <rPr>
        <sz val="8"/>
        <rFont val="Times New Roman"/>
        <family val="1"/>
      </rPr>
      <t>30/10/2025 19:08</t>
    </r>
  </si>
  <si>
    <r>
      <rPr>
        <sz val="8"/>
        <rFont val="Times New Roman"/>
        <family val="1"/>
      </rPr>
      <t>CUSTOMER Nguyen Gia Khoa SV11x1x10 thang 10. TU: NGUYEN THANH HUNG</t>
    </r>
  </si>
  <si>
    <r>
      <rPr>
        <sz val="8"/>
        <rFont val="Times New Roman"/>
        <family val="1"/>
      </rPr>
      <t>30/10/2025 19:04</t>
    </r>
  </si>
  <si>
    <r>
      <rPr>
        <sz val="8"/>
        <rFont val="Times New Roman"/>
        <family val="1"/>
      </rPr>
      <t>30/10/2025 18:33</t>
    </r>
  </si>
  <si>
    <r>
      <rPr>
        <sz val="8"/>
        <rFont val="Times New Roman"/>
        <family val="1"/>
      </rPr>
      <t>CUSTOMER BUI THI HUE chuyen  au mai linh dth ta FT25303760087928   Ma giao dich   Trace360795 Trace 360795</t>
    </r>
  </si>
  <si>
    <r>
      <rPr>
        <sz val="8"/>
        <rFont val="Times New Roman"/>
        <family val="1"/>
      </rPr>
      <t>30/10/2025 17:59</t>
    </r>
  </si>
  <si>
    <r>
      <rPr>
        <sz val="8"/>
        <rFont val="Times New Roman"/>
        <family val="1"/>
      </rPr>
      <t>CUSTOMER Vu Duc Thien SV10x14x19 thang 10. TU: PHAN THI KIM HOA</t>
    </r>
  </si>
  <si>
    <r>
      <rPr>
        <sz val="8"/>
        <rFont val="Times New Roman"/>
        <family val="1"/>
      </rPr>
      <t>30/10/2025 17:44</t>
    </r>
  </si>
  <si>
    <r>
      <rPr>
        <sz val="8"/>
        <rFont val="Times New Roman"/>
        <family val="1"/>
      </rPr>
      <t xml:space="preserve">NGUYEN THI THU PHUONG MBVCB.11515401651.559207.
</t>
    </r>
    <r>
      <rPr>
        <sz val="8"/>
        <rFont val="Times New Roman"/>
        <family val="1"/>
      </rPr>
      <t>Nguyen Man h Duy SV11x7x8 thang 10.CT tu 00110 01931119 NGUYEN THI THU PHUONG toi 0670190997777 NGUYEN THI HUYEN tai</t>
    </r>
  </si>
  <si>
    <r>
      <rPr>
        <sz val="8"/>
        <rFont val="Times New Roman"/>
        <family val="1"/>
      </rPr>
      <t>30/10/2025 17:43</t>
    </r>
  </si>
  <si>
    <r>
      <rPr>
        <sz val="8"/>
        <rFont val="Times New Roman"/>
        <family val="1"/>
      </rPr>
      <t xml:space="preserve">NGUYEN THI HONG QR   Ha Thu Thao SV11x6x15 thang 10
</t>
    </r>
    <r>
      <rPr>
        <sz val="8"/>
        <rFont val="Times New Roman"/>
        <family val="1"/>
      </rPr>
      <t>- Ma GD ACSP/ BK795906</t>
    </r>
  </si>
  <si>
    <r>
      <rPr>
        <sz val="8"/>
        <rFont val="Times New Roman"/>
        <family val="1"/>
      </rPr>
      <t>30/10/2025 17:29</t>
    </r>
  </si>
  <si>
    <r>
      <rPr>
        <sz val="8"/>
        <rFont val="Times New Roman"/>
        <family val="1"/>
      </rPr>
      <t xml:space="preserve">VU THI VAN ANH MBVCB.11515146408.380030.Nguyen Vu
</t>
    </r>
    <r>
      <rPr>
        <sz val="8"/>
        <rFont val="Times New Roman"/>
        <family val="1"/>
      </rPr>
      <t xml:space="preserve">Anh Quan SV10x16x18 thang 10.CT tu 0541001595927 VU THI VAN ANH toi 06 70190997777 NGUYEN THI HUYEN
</t>
    </r>
    <r>
      <rPr>
        <sz val="8"/>
        <rFont val="Times New Roman"/>
        <family val="1"/>
      </rPr>
      <t>tai MB</t>
    </r>
  </si>
  <si>
    <r>
      <rPr>
        <sz val="8"/>
        <rFont val="Times New Roman"/>
        <family val="1"/>
      </rPr>
      <t>30/10/2025 17:20</t>
    </r>
  </si>
  <si>
    <r>
      <rPr>
        <sz val="8"/>
        <rFont val="Times New Roman"/>
        <family val="1"/>
      </rPr>
      <t>NGUYEN THI HAI QR   Tran Khoi Nguyen SV11x1x13 tha ng 10- Ma GD ACSP/ ch699342</t>
    </r>
  </si>
  <si>
    <r>
      <rPr>
        <sz val="8"/>
        <rFont val="Times New Roman"/>
        <family val="1"/>
      </rPr>
      <t>30/10/2025 17:16</t>
    </r>
  </si>
  <si>
    <r>
      <rPr>
        <sz val="8"/>
        <rFont val="Times New Roman"/>
        <family val="1"/>
      </rPr>
      <t>MAI THI NGOC ANH NGO TIEN DAT SV10X14X21 THANG 10- M a GD ACSP/ uF738440</t>
    </r>
  </si>
  <si>
    <r>
      <rPr>
        <sz val="8"/>
        <rFont val="Times New Roman"/>
        <family val="1"/>
      </rPr>
      <t>30/10/2025 15:53</t>
    </r>
  </si>
  <si>
    <r>
      <rPr>
        <sz val="8"/>
        <rFont val="Times New Roman"/>
        <family val="1"/>
      </rPr>
      <t>CUSTOMER Nguyen Minh Hieu SV12x9x17 thang 10 FT25303236917003   Ma giao dich  T race240639 Trace 240639</t>
    </r>
  </si>
  <si>
    <t>FT25303316936071</t>
  </si>
  <si>
    <t>FT25303044008011</t>
  </si>
  <si>
    <t>FT25303834007226</t>
  </si>
  <si>
    <t>FT25303147594658</t>
  </si>
  <si>
    <t>FT25303108261790</t>
  </si>
  <si>
    <t>FT25303620079023</t>
  </si>
  <si>
    <t>FT25303960614855</t>
  </si>
  <si>
    <t>FT25303252826074</t>
  </si>
  <si>
    <t>FT25303191180645
FT25303252826074</t>
  </si>
  <si>
    <t>dư 200K báo học tiếng anh</t>
  </si>
  <si>
    <t>FT25303907190618</t>
  </si>
  <si>
    <t>FT25303557259908</t>
  </si>
  <si>
    <t>FT25303049719354</t>
  </si>
  <si>
    <t>FT25303056800385</t>
  </si>
  <si>
    <t>FT25303066307835</t>
  </si>
  <si>
    <t>FT25303038662793</t>
  </si>
  <si>
    <t>FT25303928106845</t>
  </si>
  <si>
    <t>30/10/2025 21:00:31</t>
  </si>
  <si>
    <t>2,700,000</t>
  </si>
  <si>
    <t>211,548,381</t>
  </si>
  <si>
    <t>MAI THI THANH QUYNH</t>
  </si>
  <si>
    <t>MBVCB.11518187411.397232.Do Thu Hie n SV12x1x8 TT hoc them T10 .CT tu 0 021000321578 MAI THI THANH QUYNH to i 2588666868 CONG TY TNHH TRI THUC SAO VIET tai MB- Ma GD ACSP/ fu397232</t>
  </si>
  <si>
    <t>FT25303094555430</t>
  </si>
  <si>
    <t>30/10/2025 19:03:38</t>
  </si>
  <si>
    <t>208,848,381</t>
  </si>
  <si>
    <t>CONG TY CO PHAN ZION</t>
  </si>
  <si>
    <t xml:space="preserve">ZALOPAY-CHUYENTIEN-O5CH7BKSPCLU-con  The Anh dong tien hoc </t>
  </si>
  <si>
    <t>FT25303048630587</t>
  </si>
  <si>
    <t>213,248,381</t>
  </si>
  <si>
    <t>NGUYEN THANH THUY</t>
  </si>
  <si>
    <t xml:space="preserve">NGUYEN ANH KIET SV12X5X23 THANG 10-  Ma GD ACSP/ TU477016 </t>
  </si>
  <si>
    <t>FT25303749347872</t>
  </si>
  <si>
    <t>30/10/2025 21:19:05</t>
  </si>
  <si>
    <t>31/10/2025 18:47:46</t>
  </si>
  <si>
    <t>31/10/2025</t>
  </si>
  <si>
    <t>219,748,381</t>
  </si>
  <si>
    <t>NGUYEN THI HUONG</t>
  </si>
  <si>
    <t xml:space="preserve">LE NGUYEN BAO TRAM 12A3 TIEN HOC T1 0 311025 18 47 46 853004   Ma giao  dich  Trace853004 Trace 853004 </t>
  </si>
  <si>
    <t>FT25304074833795</t>
  </si>
  <si>
    <t>31/10/2025 18:30:18</t>
  </si>
  <si>
    <t>218,948,381</t>
  </si>
  <si>
    <t>NGUYEN HUYEN NHUNG</t>
  </si>
  <si>
    <t xml:space="preserve">sv12.2.32 Nguyen Huu Vu </t>
  </si>
  <si>
    <t>FT25304772153555</t>
  </si>
  <si>
    <t>31/10/2025 18:20:11</t>
  </si>
  <si>
    <t>500,000</t>
  </si>
  <si>
    <t>218,048,381</t>
  </si>
  <si>
    <t xml:space="preserve">Dai Duong Lop 11 van nol tien hoc t hang 10   Ma giao dich  Trace132289  Trace 132289 </t>
  </si>
  <si>
    <t>FT25304057130095</t>
  </si>
  <si>
    <t>31/10/2025 18:03:57</t>
  </si>
  <si>
    <t>700,000</t>
  </si>
  <si>
    <t>217,548,381</t>
  </si>
  <si>
    <t>MBVCB.11528474286.216550.tran duc a nh  nop tien t10/2025.CT tu 0011000 507585 TRAN THANH HUNG toi 25886668 68 CONG TY TNHH TRI THUC SAO VIET t ai MB- Ma GD ACSP/ qm216550</t>
  </si>
  <si>
    <t>FT25304102654336</t>
  </si>
  <si>
    <t>31/10/2025 08:04:47</t>
  </si>
  <si>
    <t>216,848,381</t>
  </si>
  <si>
    <t>VND-TGTT-NGUYEN THI SU</t>
  </si>
  <si>
    <t xml:space="preserve">Chu Quynh Lam SV12x1x11 thang 10 FT 25304002560800   Ma giao dich  Trac e317311 Trace 317311 </t>
  </si>
  <si>
    <t>FT25304176015030</t>
  </si>
  <si>
    <t>30/10/2025 22:05:38</t>
  </si>
  <si>
    <t>215,048,381</t>
  </si>
  <si>
    <t>TRAN NGOC QUANG</t>
  </si>
  <si>
    <t xml:space="preserve">Tran Ngoc Quan SV12x1x14 thang 10 </t>
  </si>
  <si>
    <t>FT25303206685149</t>
  </si>
  <si>
    <r>
      <rPr>
        <sz val="8"/>
        <rFont val="Times New Roman"/>
        <family val="1"/>
      </rPr>
      <t>30/10/2025 20:36</t>
    </r>
  </si>
  <si>
    <r>
      <rPr>
        <sz val="8"/>
        <rFont val="Times New Roman"/>
        <family val="1"/>
      </rPr>
      <t>CUSTOMER Ngo Kim Ngan SV10x2x7 thang 10. TU: NGUYEN THI DUONG</t>
    </r>
  </si>
  <si>
    <r>
      <rPr>
        <sz val="8"/>
        <rFont val="Times New Roman"/>
        <family val="1"/>
      </rPr>
      <t>30/10/2025 20:35</t>
    </r>
  </si>
  <si>
    <r>
      <rPr>
        <sz val="8"/>
        <rFont val="Times New Roman"/>
        <family val="1"/>
      </rPr>
      <t>NGUYEN THI HIEN HOANG KHANH NAM SV11X1X11 THANG 10-  Ma GD ACSP/ 9N226920</t>
    </r>
  </si>
  <si>
    <t>FT25304490020210</t>
  </si>
  <si>
    <t>FT25304675000696</t>
  </si>
  <si>
    <t>FT25304583620784</t>
  </si>
  <si>
    <t>FT25304455710063</t>
  </si>
  <si>
    <t>FT25304590021483</t>
  </si>
  <si>
    <t>FT25303673873456</t>
  </si>
  <si>
    <t>FT25303677629981</t>
  </si>
  <si>
    <t>FT25303703705078</t>
  </si>
  <si>
    <t>FT25303078662594</t>
  </si>
  <si>
    <t>FT25303916879972</t>
  </si>
  <si>
    <t>FT25303874122089</t>
  </si>
  <si>
    <t>FT25303802800504</t>
  </si>
  <si>
    <t>FT25303072130351</t>
  </si>
  <si>
    <t>FT25303800356018</t>
  </si>
  <si>
    <r>
      <rPr>
        <sz val="8"/>
        <rFont val="Times New Roman"/>
        <family val="1"/>
      </rPr>
      <t>31/10/2025 06:34</t>
    </r>
  </si>
  <si>
    <r>
      <rPr>
        <sz val="8"/>
        <rFont val="Times New Roman"/>
        <family val="1"/>
      </rPr>
      <t>CUSTOMER Nguyen Thi Thanh Ngan SV12x16x13 th ang 10. TU: NGUYEN TUAN ANH</t>
    </r>
  </si>
  <si>
    <r>
      <rPr>
        <sz val="8"/>
        <rFont val="Times New Roman"/>
        <family val="1"/>
      </rPr>
      <t>31/10/2025 05:55</t>
    </r>
  </si>
  <si>
    <r>
      <rPr>
        <sz val="8"/>
        <rFont val="Times New Roman"/>
        <family val="1"/>
      </rPr>
      <t xml:space="preserve">DANG VAN MINH MBVCB.11519827684.497105.Dang Minh
</t>
    </r>
    <r>
      <rPr>
        <sz val="8"/>
        <rFont val="Times New Roman"/>
        <family val="1"/>
      </rPr>
      <t>Duc SV11x7x9 thang 10.CT tu 0011002 295447 DANG VAN MINH toi 0670190997 777 NGUYEN THI HUYEN tai MB- Ma GD</t>
    </r>
  </si>
  <si>
    <r>
      <rPr>
        <sz val="8"/>
        <rFont val="Times New Roman"/>
        <family val="1"/>
      </rPr>
      <t>30/10/2025 22:44</t>
    </r>
  </si>
  <si>
    <r>
      <rPr>
        <sz val="8"/>
        <rFont val="Times New Roman"/>
        <family val="1"/>
      </rPr>
      <t xml:space="preserve">VU XUAN THANG MBVCB.11519074584.989600.Vu Ha
</t>
    </r>
    <r>
      <rPr>
        <sz val="8"/>
        <rFont val="Times New Roman"/>
        <family val="1"/>
      </rPr>
      <t>Anh SV10x16x4 thang 10.CT tu 0611001553 344 VU XUAN THANG toi 0670190997777  NGUYEN THI HUYEN tai MB- Ma GD ACS</t>
    </r>
  </si>
  <si>
    <r>
      <rPr>
        <sz val="8"/>
        <rFont val="Times New Roman"/>
        <family val="1"/>
      </rPr>
      <t>30/10/2025 22:28</t>
    </r>
  </si>
  <si>
    <r>
      <rPr>
        <sz val="8"/>
        <rFont val="Times New Roman"/>
        <family val="1"/>
      </rPr>
      <t xml:space="preserve">TRAN THI HOA MAI MBVCB.11518976873.924413.Nguyen
</t>
    </r>
    <r>
      <rPr>
        <sz val="8"/>
        <rFont val="Times New Roman"/>
        <family val="1"/>
      </rPr>
      <t>Yen  Nhi SV12x16x15 thang 10.CT tu 0011 000517147 TRAN THI HOA MAI toi 0670 190997777 NGUYEN THI HUYEN tai MB-</t>
    </r>
  </si>
  <si>
    <r>
      <rPr>
        <sz val="8"/>
        <rFont val="Times New Roman"/>
        <family val="1"/>
      </rPr>
      <t>30/10/2025 22:08</t>
    </r>
  </si>
  <si>
    <r>
      <rPr>
        <sz val="8"/>
        <rFont val="Times New Roman"/>
        <family val="1"/>
      </rPr>
      <t>CUSTOMER Hoang Tri Hien SV10x14x4 thang 10. TU: NGUYEN THI QUYNH THU</t>
    </r>
  </si>
  <si>
    <r>
      <rPr>
        <sz val="8"/>
        <rFont val="Times New Roman"/>
        <family val="1"/>
      </rPr>
      <t>30/10/2025 21:54</t>
    </r>
  </si>
  <si>
    <r>
      <rPr>
        <sz val="8"/>
        <rFont val="Times New Roman"/>
        <family val="1"/>
      </rPr>
      <t>VU THI KIM THOA NGUYEN VU NGOC ANH SV11X8X3 THANG 1 0- Ma GD ACSP/ XQ645334</t>
    </r>
  </si>
  <si>
    <r>
      <rPr>
        <sz val="8"/>
        <rFont val="Times New Roman"/>
        <family val="1"/>
      </rPr>
      <t>CUSTOMER NGUYEN THI HOA chuyen tien HP cua c on Nguyen Thu Trang lop 12a7. TU: NGUYEN THI HOA</t>
    </r>
  </si>
  <si>
    <r>
      <rPr>
        <sz val="8"/>
        <rFont val="Times New Roman"/>
        <family val="1"/>
      </rPr>
      <t>30/10/2025 21:49</t>
    </r>
  </si>
  <si>
    <r>
      <rPr>
        <sz val="8"/>
        <rFont val="Times New Roman"/>
        <family val="1"/>
      </rPr>
      <t xml:space="preserve">TRAN THI THEM MBVCB.11518680507.725571.Tran Minh
</t>
    </r>
    <r>
      <rPr>
        <sz val="8"/>
        <rFont val="Times New Roman"/>
        <family val="1"/>
      </rPr>
      <t>Thai SV12x7x8 thang 10.CT tu 054100 0254784 TRAN THI THEM toi 067019099 7777 NGUYEN THI HUYEN tai MB- Ma GD</t>
    </r>
  </si>
  <si>
    <r>
      <rPr>
        <sz val="8"/>
        <rFont val="Times New Roman"/>
        <family val="1"/>
      </rPr>
      <t>30/10/2025 21:43</t>
    </r>
  </si>
  <si>
    <r>
      <rPr>
        <sz val="8"/>
        <rFont val="Times New Roman"/>
        <family val="1"/>
      </rPr>
      <t xml:space="preserve">NGUYEN THI TRA GIANG MBVCB.11518620661.688890.
</t>
    </r>
    <r>
      <rPr>
        <sz val="8"/>
        <rFont val="Times New Roman"/>
        <family val="1"/>
      </rPr>
      <t>Le Quang H uy SV12x10x1 thang 10.CT tu 0501000 097233 NGUYEN THI TRA GIANG toi 067 0190997777 NGUYEN THI HUYEN tai MB-</t>
    </r>
  </si>
  <si>
    <r>
      <rPr>
        <sz val="8"/>
        <rFont val="Times New Roman"/>
        <family val="1"/>
      </rPr>
      <t>30/10/2025 21:35</t>
    </r>
  </si>
  <si>
    <r>
      <rPr>
        <sz val="8"/>
        <rFont val="Times New Roman"/>
        <family val="1"/>
      </rPr>
      <t xml:space="preserve">PHI THI VIET DUC MBVCB.11518558146.640975.Nguyen
</t>
    </r>
    <r>
      <rPr>
        <sz val="8"/>
        <rFont val="Times New Roman"/>
        <family val="1"/>
      </rPr>
      <t xml:space="preserve">Nga n Anh SV10x17x13 thang 10.CT tu 054 1000326083 PHI THI VIET DUC toi 067 0190997777 NGUYEN THI HUYEN
</t>
    </r>
    <r>
      <rPr>
        <sz val="8"/>
        <rFont val="Times New Roman"/>
        <family val="1"/>
      </rPr>
      <t>tai MB-</t>
    </r>
  </si>
  <si>
    <r>
      <rPr>
        <sz val="8"/>
        <rFont val="Times New Roman"/>
        <family val="1"/>
      </rPr>
      <t>30/10/2025 21:16</t>
    </r>
  </si>
  <si>
    <r>
      <rPr>
        <sz val="8"/>
        <rFont val="Times New Roman"/>
        <family val="1"/>
      </rPr>
      <t>VU VAN NGUYEN VU THI THANH PHUONG SV11X1X19 THANG  10- Ma GD ACSP/ k9461272</t>
    </r>
  </si>
  <si>
    <r>
      <rPr>
        <sz val="8"/>
        <rFont val="Times New Roman"/>
        <family val="1"/>
      </rPr>
      <t>30/10/2025 21:14</t>
    </r>
  </si>
  <si>
    <r>
      <rPr>
        <sz val="8"/>
        <rFont val="Times New Roman"/>
        <family val="1"/>
      </rPr>
      <t>TRAN THI SANG QR   Nguyen Xuan Sang SV10x16x19 th ang 10- Ma GD ACSP/ UK589871</t>
    </r>
  </si>
  <si>
    <r>
      <rPr>
        <sz val="8"/>
        <rFont val="Times New Roman"/>
        <family val="1"/>
      </rPr>
      <t>CUSTOMER Nguyen Phu Loc SV12x10x2 thang 10    Ma giao dich  Trace923663 Trace 92 3663</t>
    </r>
  </si>
  <si>
    <r>
      <rPr>
        <sz val="8"/>
        <rFont val="Times New Roman"/>
        <family val="1"/>
      </rPr>
      <t>30/10/2025 20:44</t>
    </r>
  </si>
  <si>
    <r>
      <rPr>
        <sz val="8"/>
        <rFont val="Times New Roman"/>
        <family val="1"/>
      </rPr>
      <t xml:space="preserve">VUONG THI TRANG MB 0670190997777 Vuong Van Minh
</t>
    </r>
    <r>
      <rPr>
        <sz val="8"/>
        <rFont val="Times New Roman"/>
        <family val="1"/>
      </rPr>
      <t>Hie u SV10x17x10 thang 10- Ma GD ACSP/ KB008940</t>
    </r>
  </si>
  <si>
    <r>
      <rPr>
        <sz val="8"/>
        <rFont val="Times New Roman"/>
        <family val="1"/>
      </rPr>
      <t>31/10/2025 11:32</t>
    </r>
  </si>
  <si>
    <r>
      <rPr>
        <sz val="8"/>
        <rFont val="Times New Roman"/>
        <family val="1"/>
      </rPr>
      <t>CUSTOMER Pham The Anh SV 10x17x1 Tieng anh T 10. TU: PHAM VAN ANH</t>
    </r>
  </si>
  <si>
    <r>
      <rPr>
        <sz val="8"/>
        <rFont val="Times New Roman"/>
        <family val="1"/>
      </rPr>
      <t>31/10/2025 11:22</t>
    </r>
  </si>
  <si>
    <r>
      <rPr>
        <sz val="8"/>
        <rFont val="Times New Roman"/>
        <family val="1"/>
      </rPr>
      <t>CUSTOMER Pham Le Thu Minh SV10x7x14 thang 10 FT25304833053207   Ma giao dich  T race384908 Trace 384908</t>
    </r>
  </si>
  <si>
    <r>
      <rPr>
        <sz val="8"/>
        <rFont val="Times New Roman"/>
        <family val="1"/>
      </rPr>
      <t>31/10/2025 11:17</t>
    </r>
  </si>
  <si>
    <r>
      <rPr>
        <sz val="8"/>
        <rFont val="Times New Roman"/>
        <family val="1"/>
      </rPr>
      <t xml:space="preserve">DUONG THI LANG MBVCB.11523003140.631427.DUONG
</t>
    </r>
    <r>
      <rPr>
        <sz val="8"/>
        <rFont val="Times New Roman"/>
        <family val="1"/>
      </rPr>
      <t>THI LANG chuyen tien.CT tu 2981321788 D UONG THI LANG toi 0670190997777 NGU YEN THI HUYEN tai MB- Ma GD ACSP/ v</t>
    </r>
  </si>
  <si>
    <r>
      <rPr>
        <sz val="8"/>
        <rFont val="Times New Roman"/>
        <family val="1"/>
      </rPr>
      <t>31/10/2025 11:14</t>
    </r>
  </si>
  <si>
    <r>
      <rPr>
        <sz val="8"/>
        <rFont val="Times New Roman"/>
        <family val="1"/>
      </rPr>
      <t>CUSTOMER IBFT con Doan Thuy Bich lop 10A16 n op tien hoc toan TT   Ma giao dich   Trace029880 Trace 029880</t>
    </r>
  </si>
  <si>
    <r>
      <rPr>
        <sz val="8"/>
        <rFont val="Times New Roman"/>
        <family val="1"/>
      </rPr>
      <t>31/10/2025 11:13</t>
    </r>
  </si>
  <si>
    <r>
      <rPr>
        <sz val="8"/>
        <rFont val="Times New Roman"/>
        <family val="1"/>
      </rPr>
      <t>CUSTOMER Hs Bui Phuc Hung lop 10a12 nop tien  hoc . TU: BUI QUANG VAN</t>
    </r>
  </si>
  <si>
    <r>
      <rPr>
        <sz val="8"/>
        <rFont val="Times New Roman"/>
        <family val="1"/>
      </rPr>
      <t xml:space="preserve">CUSTOMER TRINH HA VY SV10x2x14 FT25304149008 236
</t>
    </r>
    <r>
      <rPr>
        <sz val="8"/>
        <rFont val="Times New Roman"/>
        <family val="1"/>
      </rPr>
      <t>Ma giao dich  Trace325364 Tra ce 325364</t>
    </r>
  </si>
  <si>
    <r>
      <rPr>
        <sz val="8"/>
        <rFont val="Times New Roman"/>
        <family val="1"/>
      </rPr>
      <t>31/10/2025 11:06</t>
    </r>
  </si>
  <si>
    <r>
      <rPr>
        <sz val="8"/>
        <rFont val="Times New Roman"/>
        <family val="1"/>
      </rPr>
      <t>CUSTOMER Hoang Thanh Phong SV10x10x10 thang  10. TU: TRAN THI THU</t>
    </r>
  </si>
  <si>
    <r>
      <rPr>
        <sz val="8"/>
        <rFont val="Times New Roman"/>
        <family val="1"/>
      </rPr>
      <t>31/10/2025 10:53</t>
    </r>
  </si>
  <si>
    <r>
      <rPr>
        <sz val="8"/>
        <rFont val="Times New Roman"/>
        <family val="1"/>
      </rPr>
      <t>BUI DUC DAI CON HAI MINH 10A10 DONG TIEN HOC TO AN- Ma GD ACSP/ wo686158</t>
    </r>
  </si>
  <si>
    <r>
      <rPr>
        <sz val="8"/>
        <rFont val="Times New Roman"/>
        <family val="1"/>
      </rPr>
      <t>31/10/2025 10:46</t>
    </r>
  </si>
  <si>
    <r>
      <rPr>
        <sz val="8"/>
        <rFont val="Times New Roman"/>
        <family val="1"/>
      </rPr>
      <t>CUSTOMER Nguyen Trung Hieu SV10x16x9 thang 1 0 FT25304065808105   Ma giao dich   Trace171273 Trace 171273</t>
    </r>
  </si>
  <si>
    <r>
      <rPr>
        <sz val="8"/>
        <rFont val="Times New Roman"/>
        <family val="1"/>
      </rPr>
      <t>31/10/2025 10:17</t>
    </r>
  </si>
  <si>
    <r>
      <rPr>
        <sz val="8"/>
        <rFont val="Times New Roman"/>
        <family val="1"/>
      </rPr>
      <t xml:space="preserve">TRAN THI QUYNH MAI QR   Do Anh Thu SV10x10x17
</t>
    </r>
    <r>
      <rPr>
        <sz val="8"/>
        <rFont val="Times New Roman"/>
        <family val="1"/>
      </rPr>
      <t>thang 10 - Ma GD ACSP/ j2607964</t>
    </r>
  </si>
  <si>
    <r>
      <rPr>
        <sz val="8"/>
        <rFont val="Times New Roman"/>
        <family val="1"/>
      </rPr>
      <t>31/10/2025 09:51</t>
    </r>
  </si>
  <si>
    <r>
      <rPr>
        <sz val="8"/>
        <rFont val="Times New Roman"/>
        <family val="1"/>
      </rPr>
      <t>NGO THI THAO DO THI QUE PHUONG SV10X12X13 THANG 10- Ma GD ACSP/ ic296482</t>
    </r>
  </si>
  <si>
    <r>
      <rPr>
        <sz val="8"/>
        <rFont val="Times New Roman"/>
        <family val="1"/>
      </rPr>
      <t>31/10/2025 08:52</t>
    </r>
  </si>
  <si>
    <r>
      <rPr>
        <sz val="8"/>
        <rFont val="Times New Roman"/>
        <family val="1"/>
      </rPr>
      <t>CUSTOMER le hoang long lop12a12 nopthang 10. TU: LUONG THI NGUYET</t>
    </r>
  </si>
  <si>
    <r>
      <rPr>
        <sz val="8"/>
        <rFont val="Times New Roman"/>
        <family val="1"/>
      </rPr>
      <t>31/10/2025 07:14</t>
    </r>
  </si>
  <si>
    <r>
      <rPr>
        <sz val="8"/>
        <rFont val="Times New Roman"/>
        <family val="1"/>
      </rPr>
      <t>CUSTOMER Pham Hien Long SV11x2x19 thang 10. TU: PHAM XUAN THANH</t>
    </r>
  </si>
  <si>
    <r>
      <rPr>
        <sz val="8"/>
        <rFont val="Times New Roman"/>
        <family val="1"/>
      </rPr>
      <t>31/10/2025 07:12</t>
    </r>
  </si>
  <si>
    <r>
      <rPr>
        <sz val="8"/>
        <rFont val="Times New Roman"/>
        <family val="1"/>
      </rPr>
      <t>DOAN MINH DUC QR   Pham Nam Khanh SV10x9x7 thang 10- Ma GD ACSP/ Dj135998</t>
    </r>
  </si>
  <si>
    <r>
      <rPr>
        <sz val="8"/>
        <rFont val="Times New Roman"/>
        <family val="1"/>
      </rPr>
      <t>31/10/2025 07:06</t>
    </r>
  </si>
  <si>
    <r>
      <rPr>
        <sz val="8"/>
        <rFont val="Times New Roman"/>
        <family val="1"/>
      </rPr>
      <t>CUSTOMER Ngo Gia Huy SV12x12x7 thang 10   Ma  giao dich  Trace299482 Trace 29948</t>
    </r>
  </si>
  <si>
    <r>
      <rPr>
        <sz val="8"/>
        <rFont val="Times New Roman"/>
        <family val="1"/>
      </rPr>
      <t>31/10/2025 19:50</t>
    </r>
  </si>
  <si>
    <r>
      <rPr>
        <sz val="8"/>
        <rFont val="Times New Roman"/>
        <family val="1"/>
      </rPr>
      <t xml:space="preserve">PHAM THI NGUYET QADHEX8475  APPMB1 1  hs Nguyen
</t>
    </r>
    <r>
      <rPr>
        <sz val="8"/>
        <rFont val="Times New Roman"/>
        <family val="1"/>
      </rPr>
      <t>Min h Duc lop 12A1 dong tien thang 10. TU: PHAM THI NGUYET</t>
    </r>
  </si>
  <si>
    <r>
      <rPr>
        <sz val="8"/>
        <rFont val="Times New Roman"/>
        <family val="1"/>
      </rPr>
      <t>31/10/2025 19:47</t>
    </r>
  </si>
  <si>
    <r>
      <rPr>
        <sz val="8"/>
        <rFont val="Times New Roman"/>
        <family val="1"/>
      </rPr>
      <t>CUSTOMER Tran Hai Anh SV lop 11A7 dong t hoc  toan.. TU: NGUYEN THI KIM OANH</t>
    </r>
  </si>
  <si>
    <r>
      <rPr>
        <sz val="8"/>
        <rFont val="Times New Roman"/>
        <family val="1"/>
      </rPr>
      <t>31/10/2025 19:08</t>
    </r>
  </si>
  <si>
    <r>
      <rPr>
        <sz val="8"/>
        <rFont val="Times New Roman"/>
        <family val="1"/>
      </rPr>
      <t>CUSTOMER Pham Gia Khanh SV12.3.8. TU: NGUYEN THI MINH PHUONG</t>
    </r>
  </si>
  <si>
    <r>
      <rPr>
        <sz val="8"/>
        <rFont val="Times New Roman"/>
        <family val="1"/>
      </rPr>
      <t>31/10/2025 18:47</t>
    </r>
  </si>
  <si>
    <r>
      <rPr>
        <sz val="8"/>
        <rFont val="Times New Roman"/>
        <family val="1"/>
      </rPr>
      <t>CUSTOMER Ng Tran Bao Linh SV12x12x11 thang 1 0. TU: TRAN THI BINH TRAN THI BINH</t>
    </r>
  </si>
  <si>
    <r>
      <rPr>
        <sz val="8"/>
        <rFont val="Times New Roman"/>
        <family val="1"/>
      </rPr>
      <t>31/10/2025 18:04</t>
    </r>
  </si>
  <si>
    <r>
      <rPr>
        <sz val="8"/>
        <rFont val="Times New Roman"/>
        <family val="1"/>
      </rPr>
      <t xml:space="preserve">CUSTOMER Le Nguyen Hong Anh 11A6 FT253046205 03467
</t>
    </r>
    <r>
      <rPr>
        <sz val="8"/>
        <rFont val="Times New Roman"/>
        <family val="1"/>
      </rPr>
      <t>Ma giao dich  Trace861349 T race 861349</t>
    </r>
  </si>
  <si>
    <r>
      <rPr>
        <sz val="8"/>
        <rFont val="Times New Roman"/>
        <family val="1"/>
      </rPr>
      <t>31/10/2025 15:43</t>
    </r>
  </si>
  <si>
    <r>
      <rPr>
        <sz val="8"/>
        <rFont val="Times New Roman"/>
        <family val="1"/>
      </rPr>
      <t>HOANG THE NGUYEN HOANG THE NGUYEN CHUYEN TIEN EM HOA NG MINH PHUONG DONG TIEN HOC THEM T OAN- Ma GD ACSP/ Wj417852</t>
    </r>
  </si>
  <si>
    <r>
      <rPr>
        <sz val="8"/>
        <rFont val="Times New Roman"/>
        <family val="1"/>
      </rPr>
      <t>31/10/2025 15:41</t>
    </r>
  </si>
  <si>
    <r>
      <rPr>
        <sz val="8"/>
        <rFont val="Times New Roman"/>
        <family val="1"/>
      </rPr>
      <t>CUSTOMER Mai Khanh Huyen SV11x4x5 thang 10. TU: NGUYEN THI LINH</t>
    </r>
  </si>
  <si>
    <r>
      <rPr>
        <sz val="8"/>
        <rFont val="Times New Roman"/>
        <family val="1"/>
      </rPr>
      <t>31/10/2025 15:40</t>
    </r>
  </si>
  <si>
    <r>
      <rPr>
        <sz val="8"/>
        <rFont val="Times New Roman"/>
        <family val="1"/>
      </rPr>
      <t xml:space="preserve">DAO PHUONG MAI MBVCB.11526190671.697044.HS
</t>
    </r>
    <r>
      <rPr>
        <sz val="8"/>
        <rFont val="Times New Roman"/>
        <family val="1"/>
      </rPr>
      <t xml:space="preserve">Truong Duc Gia Bao 10 A5nop tien hoc T10.C T tu 1029657448 DAO PHUONG MAI toi 0670190997777 NGUYEN THI
</t>
    </r>
    <r>
      <rPr>
        <sz val="8"/>
        <rFont val="Times New Roman"/>
        <family val="1"/>
      </rPr>
      <t>HUYEN tai</t>
    </r>
  </si>
  <si>
    <r>
      <rPr>
        <sz val="8"/>
        <rFont val="Times New Roman"/>
        <family val="1"/>
      </rPr>
      <t>31/10/2025 13:09</t>
    </r>
  </si>
  <si>
    <r>
      <rPr>
        <sz val="8"/>
        <rFont val="Times New Roman"/>
        <family val="1"/>
      </rPr>
      <t>TRAN THI THANH HUYEN TRAN THI THANH HUYEN CHUYEN TIEN- M a GD ACSP/ lc545994</t>
    </r>
  </si>
  <si>
    <r>
      <rPr>
        <sz val="8"/>
        <rFont val="Times New Roman"/>
        <family val="1"/>
      </rPr>
      <t>31/10/2025 12:45</t>
    </r>
  </si>
  <si>
    <r>
      <rPr>
        <sz val="8"/>
        <rFont val="Times New Roman"/>
        <family val="1"/>
      </rPr>
      <t>CUSTOMER Pham Gia Minh SV11x1x20 thang 10    Ma giao dich  Trace351369 Trace 351 369</t>
    </r>
  </si>
  <si>
    <r>
      <rPr>
        <sz val="8"/>
        <rFont val="Times New Roman"/>
        <family val="1"/>
      </rPr>
      <t>31/10/2025 12:22</t>
    </r>
  </si>
  <si>
    <r>
      <rPr>
        <sz val="8"/>
        <rFont val="Times New Roman"/>
        <family val="1"/>
      </rPr>
      <t>CUSTOMER 10A9 Duong Nguyen Phuong Linh chuye n tien FT25304845842355   Ma giao d ich  Trace761412 Trace 761412</t>
    </r>
  </si>
  <si>
    <r>
      <rPr>
        <sz val="8"/>
        <rFont val="Times New Roman"/>
        <family val="1"/>
      </rPr>
      <t>31/10/2025 12:01</t>
    </r>
  </si>
  <si>
    <r>
      <rPr>
        <sz val="8"/>
        <rFont val="Times New Roman"/>
        <family val="1"/>
      </rPr>
      <t>CUSTOMER Nguyen Quang Son dong hoc toan than g 10 FT25304079565001   Ma giao dic h  Trace627851 Trace 627851</t>
    </r>
  </si>
  <si>
    <r>
      <rPr>
        <sz val="8"/>
        <rFont val="Times New Roman"/>
        <family val="1"/>
      </rPr>
      <t>31/10/2025 11:56</t>
    </r>
  </si>
  <si>
    <r>
      <rPr>
        <sz val="8"/>
        <rFont val="Times New Roman"/>
        <family val="1"/>
      </rPr>
      <t>NGUYEN THANH LONG QR   Nguyen Trung Hieu SV10x16x9 th ang 10- Ma GD ACSP/ 3V922630</t>
    </r>
  </si>
  <si>
    <r>
      <rPr>
        <sz val="8"/>
        <rFont val="Times New Roman"/>
        <family val="1"/>
      </rPr>
      <t>31/10/2025 11:48</t>
    </r>
  </si>
  <si>
    <r>
      <rPr>
        <sz val="8"/>
        <rFont val="Times New Roman"/>
        <family val="1"/>
      </rPr>
      <t>VU THI THU TRANG DOAN NAM PHONG SV10X16X18 THANG 10-  Ma GD ACSP/ dc069045</t>
    </r>
  </si>
  <si>
    <r>
      <rPr>
        <sz val="8"/>
        <rFont val="Times New Roman"/>
        <family val="1"/>
      </rPr>
      <t>31/10/2025 11:37</t>
    </r>
  </si>
  <si>
    <r>
      <rPr>
        <sz val="8"/>
        <rFont val="Times New Roman"/>
        <family val="1"/>
      </rPr>
      <t>CUSTOMER Nguyen Bao Chau SV10x9x1 thang 10    Ma giao dich  Trace319099 Trace 31 9099</t>
    </r>
  </si>
  <si>
    <r>
      <rPr>
        <sz val="8"/>
        <rFont val="Times New Roman"/>
        <family val="1"/>
      </rPr>
      <t>31/10/2025 21:54</t>
    </r>
  </si>
  <si>
    <r>
      <rPr>
        <sz val="8"/>
        <rFont val="Times New Roman"/>
        <family val="1"/>
      </rPr>
      <t>CUSTOMER Mai Huong Ly SV12x14x1 thang 10. TU: VU HOANG DUY ANH</t>
    </r>
  </si>
  <si>
    <r>
      <rPr>
        <sz val="8"/>
        <rFont val="Times New Roman"/>
        <family val="1"/>
      </rPr>
      <t>31/10/2025 21:53</t>
    </r>
  </si>
  <si>
    <r>
      <rPr>
        <sz val="8"/>
        <rFont val="Times New Roman"/>
        <family val="1"/>
      </rPr>
      <t>PHAM THU HUYEN QR   Mong The Khang SV10x2x22 thang 10- Ma GD ACSP/ Dr999066</t>
    </r>
  </si>
  <si>
    <r>
      <rPr>
        <sz val="8"/>
        <rFont val="Times New Roman"/>
        <family val="1"/>
      </rPr>
      <t>31/10/2025 21:49</t>
    </r>
  </si>
  <si>
    <r>
      <rPr>
        <sz val="8"/>
        <rFont val="Times New Roman"/>
        <family val="1"/>
      </rPr>
      <t>CUSTOMER Tran Hai Anh SV11x6x4 thang 10 mon  li.. TU: NGUYEN THI KIM OANH</t>
    </r>
  </si>
  <si>
    <r>
      <rPr>
        <sz val="8"/>
        <rFont val="Times New Roman"/>
        <family val="1"/>
      </rPr>
      <t>31/10/2025 21:26</t>
    </r>
  </si>
  <si>
    <r>
      <rPr>
        <sz val="8"/>
        <rFont val="Times New Roman"/>
        <family val="1"/>
      </rPr>
      <t>NGUYEN THI UYEN CON TUAN VU NOP TIEN HOC BO TRO THA NG10 CO NHE- Ma GD ACSP/ KY956040</t>
    </r>
  </si>
  <si>
    <r>
      <rPr>
        <sz val="8"/>
        <rFont val="Times New Roman"/>
        <family val="1"/>
      </rPr>
      <t>31/10/2025 21:11</t>
    </r>
  </si>
  <si>
    <r>
      <rPr>
        <sz val="8"/>
        <rFont val="Times New Roman"/>
        <family val="1"/>
      </rPr>
      <t>CUSTOMER Nguyen Minh Anh SV12x16x1 thang 10    Ma giao dich  Trace236249 Trace 2 36249</t>
    </r>
  </si>
  <si>
    <r>
      <rPr>
        <sz val="8"/>
        <rFont val="Times New Roman"/>
        <family val="1"/>
      </rPr>
      <t>31/10/2025 20:41</t>
    </r>
  </si>
  <si>
    <r>
      <rPr>
        <sz val="8"/>
        <rFont val="Times New Roman"/>
        <family val="1"/>
      </rPr>
      <t xml:space="preserve">PHAN THI CHUC MBVCB.11530848296.776351.Nguyen Thi
</t>
    </r>
    <r>
      <rPr>
        <sz val="8"/>
        <rFont val="Times New Roman"/>
        <family val="1"/>
      </rPr>
      <t>Minh Thu SV10x16x18 thang 10.CT tu  0541000249215 PHAN THI CHUC toi 06 70190997777 NGUYEN THI HUYEN tai MB</t>
    </r>
  </si>
  <si>
    <r>
      <rPr>
        <sz val="8"/>
        <rFont val="Times New Roman"/>
        <family val="1"/>
      </rPr>
      <t>31/10/2025 20:31</t>
    </r>
  </si>
  <si>
    <r>
      <rPr>
        <sz val="8"/>
        <rFont val="Times New Roman"/>
        <family val="1"/>
      </rPr>
      <t xml:space="preserve">CUSTOMER NGUYEN THU THUY CHUYEN TIEN tien ho c
</t>
    </r>
    <r>
      <rPr>
        <sz val="8"/>
        <rFont val="Times New Roman"/>
        <family val="1"/>
      </rPr>
      <t>cua em Nam Khanh a   Ma giao dich   Trace283573 Trace 283573</t>
    </r>
  </si>
  <si>
    <r>
      <rPr>
        <sz val="8"/>
        <rFont val="Times New Roman"/>
        <family val="1"/>
      </rPr>
      <t>31/10/2025 20:27</t>
    </r>
  </si>
  <si>
    <r>
      <rPr>
        <sz val="8"/>
        <rFont val="Times New Roman"/>
        <family val="1"/>
      </rPr>
      <t>BUI HONG QUAN BUI HONG QUAN CHUYEN TIEN CON BUI Q UANG HUY 12A 2 SV.1.2.2.1 THANG 10-  Ma GD ACSP/ Yv603585</t>
    </r>
  </si>
  <si>
    <r>
      <rPr>
        <sz val="8"/>
        <rFont val="Times New Roman"/>
        <family val="1"/>
      </rPr>
      <t>31/10/2025 20:12</t>
    </r>
  </si>
  <si>
    <r>
      <rPr>
        <sz val="8"/>
        <rFont val="Times New Roman"/>
        <family val="1"/>
      </rPr>
      <t>TRAN DUC QUAN TRAN DUC ANH SV11X3X21 THANG 10- Ma  GD ACSP/ 6l496886</t>
    </r>
  </si>
  <si>
    <t>FT25303057028238</t>
  </si>
  <si>
    <t>FT25303048630262</t>
  </si>
  <si>
    <t>Dư 900k</t>
  </si>
  <si>
    <t>FT25304779325050</t>
  </si>
  <si>
    <t>FT25304947223707</t>
  </si>
  <si>
    <t>FT25304840247988</t>
  </si>
  <si>
    <t>FT25304379592990</t>
  </si>
  <si>
    <t>FT25304264764875</t>
  </si>
  <si>
    <t>FT25304301883414</t>
  </si>
  <si>
    <t>Đặng Anh Thư SV10x10x15</t>
  </si>
  <si>
    <t>FT25304780803145</t>
  </si>
  <si>
    <t>FT25304410010058</t>
  </si>
  <si>
    <t>FT25304886272980</t>
  </si>
  <si>
    <t>FT25304091396502</t>
  </si>
  <si>
    <t>FT25304836340440</t>
  </si>
  <si>
    <t>FT25304260224902</t>
  </si>
  <si>
    <t>FT25304398215724</t>
  </si>
  <si>
    <t>FT25304708052859</t>
  </si>
  <si>
    <t>FT25304372710770</t>
  </si>
  <si>
    <t>FT25304701043057</t>
  </si>
  <si>
    <t>FT25304083891100</t>
  </si>
  <si>
    <t>FT25304474060808</t>
  </si>
  <si>
    <t>Dư lần 2 500k</t>
  </si>
  <si>
    <t>FT25304840581700</t>
  </si>
  <si>
    <t>FT25304210091553</t>
  </si>
  <si>
    <t>FT25304537657850</t>
  </si>
  <si>
    <t>FT25304081095991</t>
  </si>
  <si>
    <t>FT25304300883774</t>
  </si>
  <si>
    <t>FT25304390216460</t>
  </si>
  <si>
    <t>FT25304925486370</t>
  </si>
  <si>
    <t>FT25304239830612</t>
  </si>
  <si>
    <t>FT25304305343068</t>
  </si>
  <si>
    <t>FT25304000778190</t>
  </si>
  <si>
    <t>FT25304008618616</t>
  </si>
  <si>
    <t>FT25304368105270</t>
  </si>
  <si>
    <t>FT25304909304502</t>
  </si>
  <si>
    <t>FT25304027379463</t>
  </si>
  <si>
    <t>FT25304701470570</t>
  </si>
  <si>
    <t>FT25304603601803</t>
  </si>
  <si>
    <t>FT25300291035161
FT25304603601803</t>
  </si>
  <si>
    <t>dư 500k</t>
  </si>
  <si>
    <t>FT25304810009173</t>
  </si>
  <si>
    <t>FT25304570054985</t>
  </si>
  <si>
    <t>FT25304710947932</t>
  </si>
  <si>
    <t>FT25304881905962</t>
  </si>
  <si>
    <t>FT25304710947932
FT25304008618616</t>
  </si>
  <si>
    <t>sv11x6x4</t>
  </si>
  <si>
    <t>FT25304120172323</t>
  </si>
  <si>
    <t>FT25304738804500</t>
  </si>
  <si>
    <t>FT25305714134102</t>
  </si>
  <si>
    <t>NGUYEN THI THU</t>
  </si>
  <si>
    <t>DAO THI DIEU LINH</t>
  </si>
  <si>
    <t>Đỗ Trang anh</t>
  </si>
  <si>
    <r>
      <rPr>
        <sz val="8"/>
        <rFont val="Times New Roman"/>
        <family val="1"/>
      </rPr>
      <t>01/11/2025 09:49</t>
    </r>
  </si>
  <si>
    <r>
      <rPr>
        <sz val="8"/>
        <rFont val="Times New Roman"/>
        <family val="1"/>
      </rPr>
      <t>PHAN MINH DUC PHAN CHAU ANH SV10X5X1 THANG 10- Ma  GD ACSP/ vn676549</t>
    </r>
  </si>
  <si>
    <r>
      <rPr>
        <sz val="8"/>
        <rFont val="Times New Roman"/>
        <family val="1"/>
      </rPr>
      <t>01/11/2025 08:21</t>
    </r>
  </si>
  <si>
    <r>
      <rPr>
        <sz val="8"/>
        <rFont val="Times New Roman"/>
        <family val="1"/>
      </rPr>
      <t>CUSTOMER do diep chi 10a9 t10. TU: DO HONG GIANG</t>
    </r>
  </si>
  <si>
    <r>
      <rPr>
        <sz val="8"/>
        <rFont val="Times New Roman"/>
        <family val="1"/>
      </rPr>
      <t>01/11/2025 07:18</t>
    </r>
  </si>
  <si>
    <r>
      <rPr>
        <sz val="8"/>
        <rFont val="Times New Roman"/>
        <family val="1"/>
      </rPr>
      <t xml:space="preserve">LY THANH HUYEN MBVCB.11533413601.508217.Le Van
</t>
    </r>
    <r>
      <rPr>
        <sz val="8"/>
        <rFont val="Times New Roman"/>
        <family val="1"/>
      </rPr>
      <t>Kie n SV12.6.16 chiuyen tien thang 10.C T tu 0591000256643 LY THANH HUYEN t oi 0670190997777 NGUYEN THI HUYEN t</t>
    </r>
  </si>
  <si>
    <r>
      <rPr>
        <sz val="8"/>
        <rFont val="Times New Roman"/>
        <family val="1"/>
      </rPr>
      <t>01/11/2025 06:21</t>
    </r>
  </si>
  <si>
    <r>
      <rPr>
        <sz val="8"/>
        <rFont val="Times New Roman"/>
        <family val="1"/>
      </rPr>
      <t>CUSTOMER Nguyen Duy Toan SV10x14x18 thang 10 FT25305885044400   Ma giao dich  T race902701 Trace 902701</t>
    </r>
  </si>
  <si>
    <r>
      <rPr>
        <sz val="8"/>
        <rFont val="Times New Roman"/>
        <family val="1"/>
      </rPr>
      <t>01/11/2025 00:48</t>
    </r>
  </si>
  <si>
    <r>
      <rPr>
        <sz val="8"/>
        <rFont val="Times New Roman"/>
        <family val="1"/>
      </rPr>
      <t>CUSTOMER con le lan phuong FT25305607604754    Ma giao dich  Trace696933 Trace 6 96933</t>
    </r>
  </si>
  <si>
    <r>
      <rPr>
        <sz val="8"/>
        <rFont val="Times New Roman"/>
        <family val="1"/>
      </rPr>
      <t>01/11/2025 00:45</t>
    </r>
  </si>
  <si>
    <r>
      <rPr>
        <sz val="8"/>
        <rFont val="Times New Roman"/>
        <family val="1"/>
      </rPr>
      <t>CUSTOMER con le vu bao anh FT25305951870483    Ma giao dich  Trace692559 Trace 6 92559</t>
    </r>
  </si>
  <si>
    <r>
      <rPr>
        <sz val="8"/>
        <rFont val="Times New Roman"/>
        <family val="1"/>
      </rPr>
      <t>31/10/2025 22:55</t>
    </r>
  </si>
  <si>
    <r>
      <rPr>
        <sz val="8"/>
        <rFont val="Times New Roman"/>
        <family val="1"/>
      </rPr>
      <t>CUSTOMER PhamThuGiangSV10x5x2 . TU: NGUYEN HONG HANH</t>
    </r>
  </si>
  <si>
    <r>
      <rPr>
        <sz val="8"/>
        <rFont val="Times New Roman"/>
        <family val="1"/>
      </rPr>
      <t>31/10/2025 22:24</t>
    </r>
  </si>
  <si>
    <r>
      <rPr>
        <sz val="8"/>
        <rFont val="Times New Roman"/>
        <family val="1"/>
      </rPr>
      <t>CUSTOMER Ha Bui Bao Chau SV12x9x8 thang 10    Ma giao dich  Trace320309 Trace 32 0309</t>
    </r>
  </si>
  <si>
    <r>
      <rPr>
        <sz val="8"/>
        <rFont val="Times New Roman"/>
        <family val="1"/>
      </rPr>
      <t>31/10/2025 22:21</t>
    </r>
  </si>
  <si>
    <r>
      <rPr>
        <sz val="8"/>
        <rFont val="Times New Roman"/>
        <family val="1"/>
      </rPr>
      <t>CUSTOMER Nguyen Khoa Phat SV10x17x12 thang 1 0   Ma giao dich  Trace632104 Trace  632104</t>
    </r>
  </si>
  <si>
    <r>
      <rPr>
        <sz val="8"/>
        <rFont val="Times New Roman"/>
        <family val="1"/>
      </rPr>
      <t>01/11/2025 17:39</t>
    </r>
  </si>
  <si>
    <r>
      <rPr>
        <sz val="8"/>
        <rFont val="Times New Roman"/>
        <family val="1"/>
      </rPr>
      <t xml:space="preserve">LE THU TRANG MBVCB.11541025172.612688.Ngo Dinh Q
</t>
    </r>
    <r>
      <rPr>
        <sz val="8"/>
        <rFont val="Times New Roman"/>
        <family val="1"/>
      </rPr>
      <t xml:space="preserve">uoc Thai SV11x11x4 thang 10.CT tu 1 047604643 LE THU TRANG toi 06701909 97777 NGUYEN THI HUYEN tai MB-
</t>
    </r>
    <r>
      <rPr>
        <sz val="8"/>
        <rFont val="Times New Roman"/>
        <family val="1"/>
      </rPr>
      <t>Ma G</t>
    </r>
  </si>
  <si>
    <r>
      <rPr>
        <sz val="8"/>
        <rFont val="Times New Roman"/>
        <family val="1"/>
      </rPr>
      <t>01/11/2025 16:56</t>
    </r>
  </si>
  <si>
    <r>
      <rPr>
        <sz val="8"/>
        <rFont val="Times New Roman"/>
        <family val="1"/>
      </rPr>
      <t xml:space="preserve">NGUYEN DUONG BINH MBVCB.11540284868.110367.
</t>
    </r>
    <r>
      <rPr>
        <sz val="8"/>
        <rFont val="Times New Roman"/>
        <family val="1"/>
      </rPr>
      <t>Nguyen Phu  Trong 11A8.CT tu 0011002378901 NGU YEN DUONG BINH toi 0670190997777 NG UYEN THI HUYEN tai MB- Ma GD ACSP/</t>
    </r>
  </si>
  <si>
    <r>
      <rPr>
        <sz val="8"/>
        <rFont val="Times New Roman"/>
        <family val="1"/>
      </rPr>
      <t>01/11/2025 16:10</t>
    </r>
  </si>
  <si>
    <r>
      <rPr>
        <sz val="8"/>
        <rFont val="Times New Roman"/>
        <family val="1"/>
      </rPr>
      <t>NGUYEN THE PHACH NGUYEN THINGOC ANH SV12X11X14T10- M a GD ACSP/ xD939751</t>
    </r>
  </si>
  <si>
    <r>
      <rPr>
        <sz val="8"/>
        <rFont val="Times New Roman"/>
        <family val="1"/>
      </rPr>
      <t>01/11/2025 13:31</t>
    </r>
  </si>
  <si>
    <r>
      <rPr>
        <sz val="8"/>
        <rFont val="Times New Roman"/>
        <family val="1"/>
      </rPr>
      <t>TRAN THANH LOAN TRAN DUC HUY SV12X7X3 THANG 10- Ma GD ACSP/ Ty055679</t>
    </r>
  </si>
  <si>
    <r>
      <rPr>
        <sz val="8"/>
        <rFont val="Times New Roman"/>
        <family val="1"/>
      </rPr>
      <t>01/11/2025 13:27</t>
    </r>
  </si>
  <si>
    <r>
      <rPr>
        <sz val="8"/>
        <rFont val="Times New Roman"/>
        <family val="1"/>
      </rPr>
      <t>CUSTOMER Nguyen Truong Bao Loc SV10x2x5 than g 10 FT25305356270512   Ma giao dic h  Trace055151 Trace 055151</t>
    </r>
  </si>
  <si>
    <r>
      <rPr>
        <sz val="8"/>
        <rFont val="Times New Roman"/>
        <family val="1"/>
      </rPr>
      <t>01/11/2025 12:32</t>
    </r>
  </si>
  <si>
    <r>
      <rPr>
        <sz val="8"/>
        <rFont val="Times New Roman"/>
        <family val="1"/>
      </rPr>
      <t xml:space="preserve">NGUYEN THI HANH MB 0670190997777 Nguyen Minh
</t>
    </r>
    <r>
      <rPr>
        <sz val="8"/>
        <rFont val="Times New Roman"/>
        <family val="1"/>
      </rPr>
      <t>Dang S V12x11x30 thang 10- Ma GD ACSP/ 8N0 18786</t>
    </r>
  </si>
  <si>
    <r>
      <rPr>
        <sz val="8"/>
        <rFont val="Times New Roman"/>
        <family val="1"/>
      </rPr>
      <t>01/11/2025 12:22</t>
    </r>
  </si>
  <si>
    <r>
      <rPr>
        <sz val="8"/>
        <rFont val="Times New Roman"/>
        <family val="1"/>
      </rPr>
      <t>DUONG THI GIANG THANH NGUYEN MAI KHANH SV12X12X8 THANG 10 - Ma GD ACSP/ Z3696562</t>
    </r>
  </si>
  <si>
    <r>
      <rPr>
        <sz val="8"/>
        <rFont val="Times New Roman"/>
        <family val="1"/>
      </rPr>
      <t>01/11/2025 12:06</t>
    </r>
  </si>
  <si>
    <r>
      <rPr>
        <sz val="8"/>
        <rFont val="Times New Roman"/>
        <family val="1"/>
      </rPr>
      <t xml:space="preserve">TRINH VAN ANH NGUYEN TRINH MINH HOANG SV12.
</t>
    </r>
    <r>
      <rPr>
        <sz val="8"/>
        <rFont val="Times New Roman"/>
        <family val="1"/>
      </rPr>
      <t>9.9 CH UYEN TIEN- Ma GD ACSP/ Wm593772</t>
    </r>
  </si>
  <si>
    <r>
      <rPr>
        <sz val="8"/>
        <rFont val="Times New Roman"/>
        <family val="1"/>
      </rPr>
      <t>01/11/2025 12:03</t>
    </r>
  </si>
  <si>
    <r>
      <rPr>
        <sz val="8"/>
        <rFont val="Times New Roman"/>
        <family val="1"/>
      </rPr>
      <t xml:space="preserve">NGUYEN THI HAI ANH MBVCB.11536780270.793196.
</t>
    </r>
    <r>
      <rPr>
        <sz val="8"/>
        <rFont val="Times New Roman"/>
        <family val="1"/>
      </rPr>
      <t>Nguyen Min h Thu SV12x11x24 thang 10.CT tu 102 3702831 NGUYEN THI HAI ANH toi 0670 190997777 NGUYEN THI HUYEN tai MB-</t>
    </r>
  </si>
  <si>
    <r>
      <rPr>
        <sz val="8"/>
        <rFont val="Times New Roman"/>
        <family val="1"/>
      </rPr>
      <t>01/11/2025 12:02</t>
    </r>
  </si>
  <si>
    <r>
      <rPr>
        <sz val="8"/>
        <rFont val="Times New Roman"/>
        <family val="1"/>
      </rPr>
      <t xml:space="preserve">TRINH VAN ANH NGUYEN TRINH MINH HOANG SV12.
</t>
    </r>
    <r>
      <rPr>
        <sz val="8"/>
        <rFont val="Times New Roman"/>
        <family val="1"/>
      </rPr>
      <t>9.9 CH UYEN TIEN- Ma GD ACSP/ mX567895</t>
    </r>
  </si>
  <si>
    <r>
      <rPr>
        <sz val="8"/>
        <rFont val="Times New Roman"/>
        <family val="1"/>
      </rPr>
      <t>01/11/2025 11:23</t>
    </r>
  </si>
  <si>
    <r>
      <rPr>
        <sz val="8"/>
        <rFont val="Times New Roman"/>
        <family val="1"/>
      </rPr>
      <t>CUSTOMER Ngo Pham An Phuong SV10x12x10 thang  10 FT25305974859758   Ma giao dich   Trace340943 Trace 340943</t>
    </r>
  </si>
  <si>
    <t>FT25304090872417</t>
  </si>
  <si>
    <t>FT25304435050012</t>
  </si>
  <si>
    <t>FT25304005080269</t>
  </si>
  <si>
    <t>FT25305649357438</t>
  </si>
  <si>
    <t>FT25305846130079</t>
  </si>
  <si>
    <t>FT25305210040410</t>
  </si>
  <si>
    <t>FT25305860135068</t>
  </si>
  <si>
    <t>FT25305715987439</t>
  </si>
  <si>
    <t>FT25305101268687</t>
  </si>
  <si>
    <t>FT25305848300230</t>
  </si>
  <si>
    <t>FT25305729275405</t>
  </si>
  <si>
    <t>FT25305076792458</t>
  </si>
  <si>
    <t>FT25305650770684</t>
  </si>
  <si>
    <t>FT25305729275405
FT25305650770684</t>
  </si>
  <si>
    <t>FT25305577500769</t>
  </si>
  <si>
    <t>FT25305880729873</t>
  </si>
  <si>
    <t>FT25305527031939</t>
  </si>
  <si>
    <t>FT25305066570411</t>
  </si>
  <si>
    <t>FT25305422379600</t>
  </si>
  <si>
    <t>FT25305088250642</t>
  </si>
  <si>
    <t>FT25305360769308</t>
  </si>
  <si>
    <t>01/11/2025 21:20:22</t>
  </si>
  <si>
    <t>01/11/2025</t>
  </si>
  <si>
    <t>2,400,000</t>
  </si>
  <si>
    <t>229,648,381</t>
  </si>
  <si>
    <t>NGUYEN THI CHIEN</t>
  </si>
  <si>
    <t xml:space="preserve">NGUYEN PHU DUC SV12X3X2 THANG 10- M a GD ACSP/ 4U060338 </t>
  </si>
  <si>
    <t>FT25305108104108</t>
  </si>
  <si>
    <t>01/11/2025 16:07:26</t>
  </si>
  <si>
    <t>227,248,381</t>
  </si>
  <si>
    <t>LE THI VIEN</t>
  </si>
  <si>
    <t xml:space="preserve">Nguyen Thanh Luan SV12x1x21 thang 1 0 </t>
  </si>
  <si>
    <t>FT25305009271021</t>
  </si>
  <si>
    <t>01/11/2025 15:34:16</t>
  </si>
  <si>
    <t>2,500,000</t>
  </si>
  <si>
    <t>226,348,381</t>
  </si>
  <si>
    <t>DO THI LAN</t>
  </si>
  <si>
    <t xml:space="preserve">QR   Nguyen Huu Tri Nguyen SV12x1x1  thang 10- Ma GD ACSP/ rO912088 </t>
  </si>
  <si>
    <t>FT25305358051228</t>
  </si>
  <si>
    <t>01/11/2025 07:52:14</t>
  </si>
  <si>
    <t>223,848,381</t>
  </si>
  <si>
    <t xml:space="preserve">Dao Dieu Linh SV12x1x18 thang 10 </t>
  </si>
  <si>
    <t>FT25305908209805</t>
  </si>
  <si>
    <t>01/11/2025 07:50:49</t>
  </si>
  <si>
    <t>222,948,381</t>
  </si>
  <si>
    <t>NGUYEN DUC BINH</t>
  </si>
  <si>
    <t xml:space="preserve">Nguyen Nhat Anh SV12x5x32 thang 10 </t>
  </si>
  <si>
    <t>FT25305593233486</t>
  </si>
  <si>
    <t>31/10/2025 23:10:29</t>
  </si>
  <si>
    <t>222,048,381</t>
  </si>
  <si>
    <t xml:space="preserve">Dao Thi Dieu Linh SV12x1x10 thang 1  0 </t>
  </si>
  <si>
    <t>31/10/2025 21:06:50</t>
  </si>
  <si>
    <t>220,248,381</t>
  </si>
  <si>
    <t xml:space="preserve">QR   Con Nguyen Tung Chi 11A6 nop H  P T10 mon Toan  da tru 400k tien th  ua T9 - Ma GD ACSP/ Hb883253 </t>
  </si>
  <si>
    <t>FT25305714134102
FT25305908209805</t>
  </si>
  <si>
    <t>02/11/2025 16:54:58</t>
  </si>
  <si>
    <t>03/11/2025</t>
  </si>
  <si>
    <t>232,848,381</t>
  </si>
  <si>
    <t>TRAN THI XUAN NHAN</t>
  </si>
  <si>
    <t xml:space="preserve">DAM QUANG DUNG SV12X6X33 THANG 10-  Ma GD ACSP/ UN633266 </t>
  </si>
  <si>
    <t>FT25307009239040</t>
  </si>
  <si>
    <t>02/11/2025 10:08:24</t>
  </si>
  <si>
    <t>232,048,381</t>
  </si>
  <si>
    <t xml:space="preserve">QR   Nguyen Manh Quan SV12x6x39 tha  ng 10- Ma GD ACSP/ qb367852 </t>
  </si>
  <si>
    <t>FT25307541156564</t>
  </si>
  <si>
    <t>01/11/2025 22:28:47</t>
  </si>
  <si>
    <t>1,600,000</t>
  </si>
  <si>
    <t>231,248,381</t>
  </si>
  <si>
    <t>DAO VAN HUNG</t>
  </si>
  <si>
    <t xml:space="preserve">Dao Vi Quang Minh SV12x3x17 thang 1  0   Ma giao dich  Trace086899 Trace   086899 </t>
  </si>
  <si>
    <t>FT25307825738659</t>
  </si>
  <si>
    <r>
      <rPr>
        <sz val="8"/>
        <rFont val="Times New Roman"/>
        <family val="1"/>
      </rPr>
      <t>03/11/2025 13:04</t>
    </r>
  </si>
  <si>
    <r>
      <rPr>
        <sz val="8"/>
        <rFont val="Times New Roman"/>
        <family val="1"/>
      </rPr>
      <t>NGUYEN THI THUY kKieu msnh Dung sv10x5x14 nop tien thang 10- Ma GD ACSP/ KH392015</t>
    </r>
  </si>
  <si>
    <r>
      <rPr>
        <sz val="8"/>
        <rFont val="Times New Roman"/>
        <family val="1"/>
      </rPr>
      <t>03/11/2025 09:18</t>
    </r>
  </si>
  <si>
    <r>
      <rPr>
        <sz val="8"/>
        <rFont val="Times New Roman"/>
        <family val="1"/>
      </rPr>
      <t>MB Tran Ngoc Bao Tram SV11x8x9 thang 1 0</t>
    </r>
  </si>
  <si>
    <r>
      <rPr>
        <sz val="8"/>
        <rFont val="Times New Roman"/>
        <family val="1"/>
      </rPr>
      <t>02/11/2025 21:05</t>
    </r>
  </si>
  <si>
    <r>
      <rPr>
        <sz val="8"/>
        <rFont val="Times New Roman"/>
        <family val="1"/>
      </rPr>
      <t xml:space="preserve">NGUYEN THI THANH THUY MBVCB.
</t>
    </r>
    <r>
      <rPr>
        <sz val="8"/>
        <rFont val="Times New Roman"/>
        <family val="1"/>
      </rPr>
      <t>11556921195.258908.Nguyen Ha Phuong SV11x6x30 thang 10. CT tu 001 1000567257 NGUYEN THI THANH THUY to i 0670190997777 NGUYEN THI HUYEN ta</t>
    </r>
  </si>
  <si>
    <r>
      <rPr>
        <sz val="8"/>
        <rFont val="Times New Roman"/>
        <family val="1"/>
      </rPr>
      <t>02/11/2025 17:10</t>
    </r>
  </si>
  <si>
    <r>
      <rPr>
        <sz val="8"/>
        <rFont val="Times New Roman"/>
        <family val="1"/>
      </rPr>
      <t xml:space="preserve">NGUYEN THI KIM BICH MBVCB.11553449520.987977.tran
</t>
    </r>
    <r>
      <rPr>
        <sz val="8"/>
        <rFont val="Times New Roman"/>
        <family val="1"/>
      </rPr>
      <t>namkh anh sv12.4.19.CT tu 0011000604595 N GUYEN THI KIM BICH toi 067019099777 7 NGUYEN THI HUYEN tai MB- Ma GD AC</t>
    </r>
  </si>
  <si>
    <r>
      <rPr>
        <sz val="8"/>
        <rFont val="Times New Roman"/>
        <family val="1"/>
      </rPr>
      <t>01/11/2025 23:28</t>
    </r>
  </si>
  <si>
    <r>
      <rPr>
        <sz val="8"/>
        <rFont val="Times New Roman"/>
        <family val="1"/>
      </rPr>
      <t>CUSTOMER Dam Yen Nhi SV10x6x3 thang 10   Ma  giao dich Trace840754 Trace 840754</t>
    </r>
  </si>
  <si>
    <r>
      <rPr>
        <sz val="8"/>
        <rFont val="Times New Roman"/>
        <family val="1"/>
      </rPr>
      <t>01/11/2025 22:51</t>
    </r>
  </si>
  <si>
    <r>
      <rPr>
        <sz val="8"/>
        <rFont val="Times New Roman"/>
        <family val="1"/>
      </rPr>
      <t>DANG TIEN LUC DANG THE QUANG SV10X14X16 THANG 10-  Ma GD ACSP/ x8400455</t>
    </r>
  </si>
  <si>
    <r>
      <rPr>
        <sz val="8"/>
        <rFont val="Times New Roman"/>
        <family val="1"/>
      </rPr>
      <t>01/11/2025 22:35</t>
    </r>
  </si>
  <si>
    <r>
      <rPr>
        <sz val="8"/>
        <rFont val="Times New Roman"/>
        <family val="1"/>
      </rPr>
      <t>NGUYEN THI HAI LE NGUYEN BA HAI BANG SV11X3X2 THANG 1 0- Ma GD ACSP/ vS354249</t>
    </r>
  </si>
  <si>
    <r>
      <rPr>
        <sz val="8"/>
        <rFont val="Times New Roman"/>
        <family val="1"/>
      </rPr>
      <t>01/11/2025 21:44</t>
    </r>
  </si>
  <si>
    <r>
      <rPr>
        <sz val="8"/>
        <rFont val="Times New Roman"/>
        <family val="1"/>
      </rPr>
      <t>CUSTOMER Tong Gia Han SV10x8x23 thang 10 FT2 5307010345007   Ma giao dich  Trace 092976 Trace 092976</t>
    </r>
  </si>
  <si>
    <r>
      <rPr>
        <sz val="8"/>
        <rFont val="Times New Roman"/>
        <family val="1"/>
      </rPr>
      <t>01/11/2025 21:27</t>
    </r>
  </si>
  <si>
    <r>
      <rPr>
        <sz val="8"/>
        <rFont val="Times New Roman"/>
        <family val="1"/>
      </rPr>
      <t>NGO THI TAN THANH con Minh Huong 11A11 ck Van T10- Ma  GD ACSP/ bv334537</t>
    </r>
  </si>
  <si>
    <r>
      <rPr>
        <sz val="8"/>
        <rFont val="Times New Roman"/>
        <family val="1"/>
      </rPr>
      <t>01/11/2025 21:21</t>
    </r>
  </si>
  <si>
    <r>
      <rPr>
        <sz val="8"/>
        <rFont val="Times New Roman"/>
        <family val="1"/>
      </rPr>
      <t xml:space="preserve">VUONG THI HANG MBVCB.11544137355.662626.Ngo Ngoc
</t>
    </r>
    <r>
      <rPr>
        <sz val="8"/>
        <rFont val="Times New Roman"/>
        <family val="1"/>
      </rPr>
      <t>A nh SV10x12x31 thang 10.CT tu 001100 0586008 VUONG THI HANG toi 06701909 97777 NGUYEN THI HUYEN tai MB- Ma G</t>
    </r>
  </si>
  <si>
    <t>FT25305399214324</t>
  </si>
  <si>
    <t>FT25305456604078</t>
  </si>
  <si>
    <t>FT25305784173410</t>
  </si>
  <si>
    <t>FT25307292384017</t>
  </si>
  <si>
    <t>FT25307808554781</t>
  </si>
  <si>
    <t>FT25307833616971</t>
  </si>
  <si>
    <t>FT25307880017032</t>
  </si>
  <si>
    <t>FT25307011910109</t>
  </si>
  <si>
    <t>FT25307589005742</t>
  </si>
  <si>
    <t>FT25307851004091</t>
  </si>
  <si>
    <t>Đỗ Thị Diệu Nga</t>
  </si>
  <si>
    <t>Thạch Mạc Thanh Bình</t>
  </si>
  <si>
    <t>Hà</t>
  </si>
  <si>
    <t>ATT</t>
  </si>
  <si>
    <r>
      <rPr>
        <sz val="8"/>
        <rFont val="Times New Roman"/>
        <family val="1"/>
      </rPr>
      <t>03/11/2025 20:45</t>
    </r>
  </si>
  <si>
    <r>
      <rPr>
        <sz val="8"/>
        <rFont val="Times New Roman"/>
        <family val="1"/>
      </rPr>
      <t>CUSTOMER Nguyen Bao Tran SV11x11x10 thang 10. TU: DINH THI THU TRANG</t>
    </r>
  </si>
  <si>
    <r>
      <rPr>
        <sz val="8"/>
        <rFont val="Times New Roman"/>
        <family val="1"/>
      </rPr>
      <t>03/11/2025 19:36</t>
    </r>
  </si>
  <si>
    <r>
      <rPr>
        <sz val="8"/>
        <rFont val="Times New Roman"/>
        <family val="1"/>
      </rPr>
      <t>NGUYEN THI VAN ANH NGUYEN KHANH LINH SV11X11X8 THANG 1 0- Ma GD ACSP/ gK953313</t>
    </r>
  </si>
  <si>
    <r>
      <rPr>
        <sz val="8"/>
        <rFont val="Times New Roman"/>
        <family val="1"/>
      </rPr>
      <t>03/11/2025 19:05</t>
    </r>
  </si>
  <si>
    <r>
      <rPr>
        <sz val="8"/>
        <rFont val="Times New Roman"/>
        <family val="1"/>
      </rPr>
      <t>CUSTOMER con Ngo Kim Ngan 10a2 nop. TU: NGUYEN THI DUONG</t>
    </r>
  </si>
  <si>
    <r>
      <rPr>
        <sz val="8"/>
        <rFont val="Times New Roman"/>
        <family val="1"/>
      </rPr>
      <t>03/11/2025 18:31</t>
    </r>
  </si>
  <si>
    <r>
      <rPr>
        <sz val="8"/>
        <rFont val="Times New Roman"/>
        <family val="1"/>
      </rPr>
      <t>CUSTOMER Dao Ha An SV11x6x2 thang 10. TU: NGUYEN THU HUYEN</t>
    </r>
  </si>
  <si>
    <t>FT25307719113228</t>
  </si>
  <si>
    <t>FT25307502224197</t>
  </si>
  <si>
    <t>dư 1,157k</t>
  </si>
  <si>
    <t>FT25303048630262
FT25307502224197</t>
  </si>
  <si>
    <t>FT25307836767802</t>
  </si>
  <si>
    <t>FT25307576257591</t>
  </si>
  <si>
    <t>FT25304102654336
FT25303302379944</t>
  </si>
  <si>
    <t>1</t>
  </si>
  <si>
    <t>04/11/2025 08:05:30</t>
  </si>
  <si>
    <t>04/11/2025</t>
  </si>
  <si>
    <t>231,508,960</t>
  </si>
  <si>
    <t>PHAM THI HONG QUE</t>
  </si>
  <si>
    <t>MBVCB.11573077421.800848.Le Duc Dun g SV12x3x13 thang 10.CT tu 10316734 03 PHAM THI HONG QUE toi 2588666868  CONG TY TNHH TRI THUC SAO VIET tai  MB- Ma GD ACSP/ kp800848</t>
  </si>
  <si>
    <t>FT25308853081163</t>
  </si>
  <si>
    <t>2</t>
  </si>
  <si>
    <t>04/11/2025 06:08:39</t>
  </si>
  <si>
    <t>229,908,960</t>
  </si>
  <si>
    <t>VND-TGTT-VU DUC THUAT</t>
  </si>
  <si>
    <t xml:space="preserve">Vu Nam Khanh SV12x3x31 thang 10 FT2 5308600415740   Ma giao dich  Trace 364618 Trace 364618 </t>
  </si>
  <si>
    <t>FT25308052026067</t>
  </si>
  <si>
    <t>3</t>
  </si>
  <si>
    <t>04/11/2025 06:07:58</t>
  </si>
  <si>
    <t>400,000</t>
  </si>
  <si>
    <t>228,608,960</t>
  </si>
  <si>
    <t xml:space="preserve">Vu Nam khanh SV12x3x37 thang 10 FT2 5308090493458   Ma giao dich  Trace 363815 Trace 363815 </t>
  </si>
  <si>
    <t>FT25308768392513</t>
  </si>
  <si>
    <t>FT25308768392513
FT25308052026067</t>
  </si>
  <si>
    <t>FT25296578670144
FT25296578670144</t>
  </si>
  <si>
    <t>FT25295943208975
FT25295668132658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</si>
  <si>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</si>
  <si>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</si>
  <si>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</si>
  <si>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</si>
  <si>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</si>
  <si>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</si>
  <si>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</si>
  <si>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</si>
  <si>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</si>
  <si>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</si>
  <si>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</si>
  <si>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</si>
  <si>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</si>
  <si>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</si>
  <si>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</si>
  <si>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</si>
  <si>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</si>
  <si>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</si>
  <si>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</si>
  <si>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</si>
  <si>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</si>
  <si>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</si>
  <si>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</si>
  <si>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</si>
  <si>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</si>
  <si>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</si>
  <si>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</si>
  <si>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</si>
  <si>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</si>
  <si>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</si>
  <si>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</si>
  <si>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</si>
  <si>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</si>
  <si>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</si>
  <si>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</si>
  <si>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</si>
  <si>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</si>
  <si>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</si>
  <si>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</si>
  <si>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</si>
  <si>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</si>
  <si>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</si>
  <si>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</si>
  <si>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</si>
  <si>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</si>
  <si>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</si>
  <si>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</si>
  <si>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</si>
  <si>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</si>
  <si>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</si>
  <si>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</si>
  <si>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</si>
  <si>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</si>
  <si>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</si>
  <si>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</si>
  <si>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</si>
  <si>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</si>
  <si>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</si>
  <si>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</si>
  <si>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</si>
  <si>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</si>
  <si>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</si>
  <si>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</si>
  <si>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</si>
  <si>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</si>
  <si>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</si>
  <si>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</si>
  <si>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</si>
  <si>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</si>
  <si>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</si>
  <si>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</si>
  <si>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</si>
  <si>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</si>
  <si>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</si>
  <si>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</si>
  <si>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</si>
  <si>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</si>
  <si>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</si>
  <si>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</si>
  <si>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</si>
  <si>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</si>
  <si>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</si>
  <si>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</si>
  <si>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</si>
  <si>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</si>
  <si>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</si>
  <si>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</si>
  <si>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</si>
  <si>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</si>
  <si>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</si>
  <si>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</si>
  <si>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</si>
  <si>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</si>
  <si>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</si>
  <si>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</si>
  <si>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</si>
  <si>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</si>
  <si>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</si>
  <si>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</si>
  <si>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</si>
  <si>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</si>
  <si>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</si>
  <si>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</si>
  <si>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</si>
  <si>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</si>
  <si>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</si>
  <si>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</si>
  <si>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</si>
  <si>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</si>
  <si>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</si>
  <si>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</si>
  <si>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</si>
  <si>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</si>
  <si>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</si>
  <si>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</si>
  <si>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</si>
  <si>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</si>
  <si>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</si>
  <si>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</si>
  <si>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</si>
  <si>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</si>
  <si>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</si>
  <si>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</si>
  <si>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</si>
  <si>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</si>
  <si>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</si>
  <si>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</si>
  <si>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</si>
  <si>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</si>
  <si>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</si>
  <si>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</si>
  <si>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</si>
  <si>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</si>
  <si>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</si>
  <si>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</si>
  <si>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</si>
  <si>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FT25300572809701</t>
  </si>
  <si>
    <t>Đỗ Minh Hương</t>
  </si>
  <si>
    <t>04/11/2025 23:26:59</t>
  </si>
  <si>
    <t>05/11/2025</t>
  </si>
  <si>
    <t>240,408,960</t>
  </si>
  <si>
    <t>VND-TGTT-NGUYEN THANH HANG</t>
  </si>
  <si>
    <t xml:space="preserve">Hoang Minh Huy SV12x2x7 thang 10 FT  25309750063262   Ma giao dich  Trac  e358271 Trace 358271 </t>
  </si>
  <si>
    <t>FT25309015020433</t>
  </si>
  <si>
    <t>04/11/2025 22:04:37</t>
  </si>
  <si>
    <t>239,508,960</t>
  </si>
  <si>
    <t>NGUYEN VAN KIEU</t>
  </si>
  <si>
    <t xml:space="preserve">VO QUANG MINH SV12X2X25 THANG 10- M  a GD ACSP/ WV195701 </t>
  </si>
  <si>
    <t>FT25309847961096</t>
  </si>
  <si>
    <t>04/11/2025 21:43:08</t>
  </si>
  <si>
    <t>237,708,960</t>
  </si>
  <si>
    <t>NGUYEN TRUONG SON</t>
  </si>
  <si>
    <t xml:space="preserve">NGUYEN NGOC ANH SV12X2X35 THANG 10-   Ma GD ACSP/ 2b095573 </t>
  </si>
  <si>
    <t>FT25308316553593</t>
  </si>
  <si>
    <t>04/11/2025 21:00:54</t>
  </si>
  <si>
    <t>236,808,960</t>
  </si>
  <si>
    <t>PHAN VAN THANG</t>
  </si>
  <si>
    <t xml:space="preserve">Phan Truong Giang SV12x2x28 thang 1  0 </t>
  </si>
  <si>
    <t>FT25308259278932</t>
  </si>
  <si>
    <t>04/11/2025 20:55:07</t>
  </si>
  <si>
    <t>235,908,960</t>
  </si>
  <si>
    <t>HO KINH DOANH THY HUONG</t>
  </si>
  <si>
    <t xml:space="preserve">QR   Nguyen Minh Quan SV12x2x24 tha  ng 10- Ma GD ACSP/ br659732 </t>
  </si>
  <si>
    <t>FT25308064027205</t>
  </si>
  <si>
    <t>04/11/2025 20:54:15</t>
  </si>
  <si>
    <t>234,108,960</t>
  </si>
  <si>
    <t>HOANG THI MEN</t>
  </si>
  <si>
    <t xml:space="preserve">NGUYEN QUANG DIEU SV12X2X37 THANG 1  0- Ma GD ACSP/ sM811673 </t>
  </si>
  <si>
    <t>FT25308527033522</t>
  </si>
  <si>
    <t>04/11/2025 19:12:25</t>
  </si>
  <si>
    <t>233,208,960</t>
  </si>
  <si>
    <t>VU VAN LOI</t>
  </si>
  <si>
    <t xml:space="preserve">Vu Duc Loc SV12x3x16 thang 10 </t>
  </si>
  <si>
    <t>FT25308749423405</t>
  </si>
  <si>
    <r>
      <rPr>
        <sz val="8"/>
        <rFont val="Times New Roman"/>
        <family val="1"/>
      </rPr>
      <t>03/11/2025 23:50</t>
    </r>
  </si>
  <si>
    <r>
      <rPr>
        <sz val="8"/>
        <rFont val="Times New Roman"/>
        <family val="1"/>
      </rPr>
      <t>CUSTOMER Ma Ngoc Vi Anh SV12x4x9 thang 10 FT 25308000022870   Ma giao dich  Trac e121738 Trace 121738</t>
    </r>
  </si>
  <si>
    <r>
      <rPr>
        <sz val="8"/>
        <rFont val="Times New Roman"/>
        <family val="1"/>
      </rPr>
      <t>03/11/2025 21:57</t>
    </r>
  </si>
  <si>
    <r>
      <rPr>
        <sz val="8"/>
        <rFont val="Times New Roman"/>
        <family val="1"/>
      </rPr>
      <t>CUSTOMER Nguyen Thanh Son SV10x1x10 thang 10 FT25308602653914   Ma giao dich  T race824626 Trace 824626</t>
    </r>
  </si>
  <si>
    <r>
      <rPr>
        <sz val="8"/>
        <rFont val="Times New Roman"/>
        <family val="1"/>
      </rPr>
      <t>03/11/2025 21:46</t>
    </r>
  </si>
  <si>
    <r>
      <rPr>
        <sz val="8"/>
        <rFont val="Times New Roman"/>
        <family val="1"/>
      </rPr>
      <t xml:space="preserve">BUI THI HUONG MBVCB.11570815776.270906.Nguyen Duy
</t>
    </r>
    <r>
      <rPr>
        <sz val="8"/>
        <rFont val="Times New Roman"/>
        <family val="1"/>
      </rPr>
      <t>Anh SV10x1x13 thang 10.CT tu 10570 84237 BUI THI HUONG toi 06701909977 77 NGUYEN THI HUYEN tai MB- Ma GD A</t>
    </r>
  </si>
  <si>
    <r>
      <rPr>
        <sz val="8"/>
        <rFont val="Times New Roman"/>
        <family val="1"/>
      </rPr>
      <t>04/11/2025 10:52</t>
    </r>
  </si>
  <si>
    <r>
      <rPr>
        <sz val="8"/>
        <rFont val="Times New Roman"/>
        <family val="1"/>
      </rPr>
      <t>CUSTOMER Pham Quoc Anh SV10x17x3 thang 10. TU: LE QUYNH HOA</t>
    </r>
  </si>
  <si>
    <r>
      <rPr>
        <sz val="8"/>
        <rFont val="Times New Roman"/>
        <family val="1"/>
      </rPr>
      <t>04/11/2025 10:49</t>
    </r>
  </si>
  <si>
    <r>
      <rPr>
        <sz val="8"/>
        <rFont val="Times New Roman"/>
        <family val="1"/>
      </rPr>
      <t>CUSTOMER Ta Minh Duc SV10x1x17 thang 10 FT25 308890140457   Ma giao dich  Trace7 66836 Trace 766836</t>
    </r>
  </si>
  <si>
    <r>
      <rPr>
        <sz val="8"/>
        <rFont val="Times New Roman"/>
        <family val="1"/>
      </rPr>
      <t>04/11/2025 10:19</t>
    </r>
  </si>
  <si>
    <r>
      <rPr>
        <sz val="8"/>
        <rFont val="Times New Roman"/>
        <family val="1"/>
      </rPr>
      <t>CUSTOMER Nguyen Khanh Ha SV10x17x9 thang 10. TU: NGUYEN KHANH HA</t>
    </r>
  </si>
  <si>
    <r>
      <rPr>
        <sz val="8"/>
        <rFont val="Times New Roman"/>
        <family val="1"/>
      </rPr>
      <t>04/11/2025 09:52</t>
    </r>
  </si>
  <si>
    <r>
      <rPr>
        <sz val="8"/>
        <rFont val="Times New Roman"/>
        <family val="1"/>
      </rPr>
      <t>CUSTOMER Nguyen Thu Quyen SV10x10x1 thang 10    Ma giao dich  Trace754807 Trace  754807</t>
    </r>
  </si>
  <si>
    <r>
      <rPr>
        <sz val="8"/>
        <rFont val="Times New Roman"/>
        <family val="1"/>
      </rPr>
      <t>04/11/2025 09:45</t>
    </r>
  </si>
  <si>
    <r>
      <rPr>
        <sz val="8"/>
        <rFont val="Times New Roman"/>
        <family val="1"/>
      </rPr>
      <t>HOANG THI HIEN QR   Do Dang Dung SV10x10x17 thang 10- Ma GD ACSP/ pk206989</t>
    </r>
  </si>
  <si>
    <r>
      <rPr>
        <sz val="8"/>
        <rFont val="Times New Roman"/>
        <family val="1"/>
      </rPr>
      <t>04/11/2025 07:18</t>
    </r>
  </si>
  <si>
    <r>
      <rPr>
        <sz val="8"/>
        <rFont val="Times New Roman"/>
        <family val="1"/>
      </rPr>
      <t>CUSTOMER Le Hoang Giang SV11x11x2 thang 10. TU: HOANG XUAN THUY</t>
    </r>
  </si>
  <si>
    <r>
      <rPr>
        <sz val="8"/>
        <rFont val="Times New Roman"/>
        <family val="1"/>
      </rPr>
      <t>04/11/2025 07:06</t>
    </r>
  </si>
  <si>
    <r>
      <rPr>
        <sz val="8"/>
        <rFont val="Times New Roman"/>
        <family val="1"/>
      </rPr>
      <t>CUSTOMER Nguyen Thao Xuan SV10x13x15 thang 1 0 FT25308552260671   Ma giao dich   Trace504343 Trace 504343</t>
    </r>
  </si>
  <si>
    <r>
      <rPr>
        <sz val="8"/>
        <rFont val="Times New Roman"/>
        <family val="1"/>
      </rPr>
      <t>04/11/2025 06:45</t>
    </r>
  </si>
  <si>
    <r>
      <rPr>
        <sz val="8"/>
        <rFont val="Times New Roman"/>
        <family val="1"/>
      </rPr>
      <t>CUSTOMER Vu Minh Duc SV11x2x18 thang 10 FT25 308314230500   Ma giao dich  Trace4 38576 Trace 438576</t>
    </r>
  </si>
  <si>
    <r>
      <rPr>
        <sz val="8"/>
        <rFont val="Times New Roman"/>
        <family val="1"/>
      </rPr>
      <t>04/11/2025 01:26</t>
    </r>
  </si>
  <si>
    <r>
      <rPr>
        <sz val="8"/>
        <rFont val="Times New Roman"/>
        <family val="1"/>
      </rPr>
      <t>PHAM THANH XUAN QR   Nguyen Thi Huyen Trang SV10x1x 26 thang 10- Ma GD ACSP/ J7517086</t>
    </r>
  </si>
  <si>
    <r>
      <rPr>
        <sz val="8"/>
        <rFont val="Times New Roman"/>
        <family val="1"/>
      </rPr>
      <t>05/11/2025 08:29</t>
    </r>
  </si>
  <si>
    <r>
      <rPr>
        <sz val="8"/>
        <rFont val="Times New Roman"/>
        <family val="1"/>
      </rPr>
      <t>LE THI HIEN QR   Pham Thu Huong SV10x7x9 thang 10- Ma GD ACSP/ 3K476369</t>
    </r>
  </si>
  <si>
    <r>
      <rPr>
        <sz val="8"/>
        <rFont val="Times New Roman"/>
        <family val="1"/>
      </rPr>
      <t>05/11/2025 08:24</t>
    </r>
  </si>
  <si>
    <r>
      <rPr>
        <sz val="8"/>
        <rFont val="Times New Roman"/>
        <family val="1"/>
      </rPr>
      <t xml:space="preserve">PHAM THI KIM HOA MBVCB.11587030617.845416.Do
</t>
    </r>
    <r>
      <rPr>
        <sz val="8"/>
        <rFont val="Times New Roman"/>
        <family val="1"/>
      </rPr>
      <t>Tuan Mi nh SV12x9x11 thang 10.CT tu 1017167 332 PHAM THI KIM HOA toi 0670190997 777 NGUYEN THI HUYEN tai MB- Ma GD</t>
    </r>
  </si>
  <si>
    <r>
      <rPr>
        <sz val="8"/>
        <rFont val="Times New Roman"/>
        <family val="1"/>
      </rPr>
      <t>05/11/2025 08:17</t>
    </r>
  </si>
  <si>
    <r>
      <rPr>
        <sz val="8"/>
        <rFont val="Times New Roman"/>
        <family val="1"/>
      </rPr>
      <t xml:space="preserve">NGUYEN THI THU HUYEN MBVCB.11586955396.791050.
</t>
    </r>
    <r>
      <rPr>
        <sz val="8"/>
        <rFont val="Times New Roman"/>
        <family val="1"/>
      </rPr>
      <t>Nguyen Phu ong Anh SV10x14x20 thang 10.CT tu 1 023105610 NGUYEN THI THU HUYEN toi 0670190997777 NGUYEN THI HUYEN tai</t>
    </r>
  </si>
  <si>
    <r>
      <rPr>
        <sz val="8"/>
        <rFont val="Times New Roman"/>
        <family val="1"/>
      </rPr>
      <t>05/11/2025 06:07</t>
    </r>
  </si>
  <si>
    <r>
      <rPr>
        <sz val="8"/>
        <rFont val="Times New Roman"/>
        <family val="1"/>
      </rPr>
      <t xml:space="preserve">VU HUYEN HANH MBVCB.11585692740.990790.Do Vu Ba
</t>
    </r>
    <r>
      <rPr>
        <sz val="8"/>
        <rFont val="Times New Roman"/>
        <family val="1"/>
      </rPr>
      <t>L inh SV11x4x1 thang 10.CT tu 0011001 386041 VU HUYEN HANH toi 0670190997 777 NGUYEN THI HUYEN tai MB- Ma GD</t>
    </r>
  </si>
  <si>
    <r>
      <rPr>
        <sz val="8"/>
        <rFont val="Times New Roman"/>
        <family val="1"/>
      </rPr>
      <t>04/11/2025 23:42</t>
    </r>
  </si>
  <si>
    <r>
      <rPr>
        <sz val="8"/>
        <rFont val="Times New Roman"/>
        <family val="1"/>
      </rPr>
      <t>CUSTOMER Pham Hoang Minh SV11x7x3 thang 10 F T25309007223058   Ma giao dich  Tra ce387703 Trace 387703</t>
    </r>
  </si>
  <si>
    <r>
      <rPr>
        <sz val="8"/>
        <rFont val="Times New Roman"/>
        <family val="1"/>
      </rPr>
      <t>04/11/2025 22:46</t>
    </r>
  </si>
  <si>
    <r>
      <rPr>
        <sz val="8"/>
        <rFont val="Times New Roman"/>
        <family val="1"/>
      </rPr>
      <t xml:space="preserve">CUSTOMER PHAN THI MINH NGUYET chuyen Nguyen
</t>
    </r>
    <r>
      <rPr>
        <sz val="8"/>
        <rFont val="Times New Roman"/>
        <family val="1"/>
      </rPr>
      <t>Bao Viet SV12x4x6 thang 10 FT253093 10140091   Ma giao dich  Trace25663 8 Trace 256638</t>
    </r>
  </si>
  <si>
    <r>
      <rPr>
        <sz val="8"/>
        <rFont val="Times New Roman"/>
        <family val="1"/>
      </rPr>
      <t>04/11/2025 22:42</t>
    </r>
  </si>
  <si>
    <r>
      <rPr>
        <sz val="8"/>
        <rFont val="Times New Roman"/>
        <family val="1"/>
      </rPr>
      <t>CUSTOMER Nguyen Van Tuan SV12x8x13 thang 10 FT25309146345065   Ma giao dich  Tr ace246151 Trace 246151</t>
    </r>
  </si>
  <si>
    <r>
      <rPr>
        <sz val="8"/>
        <rFont val="Times New Roman"/>
        <family val="1"/>
      </rPr>
      <t>04/11/2025 22:22</t>
    </r>
  </si>
  <si>
    <r>
      <rPr>
        <sz val="8"/>
        <rFont val="Times New Roman"/>
        <family val="1"/>
      </rPr>
      <t xml:space="preserve">ZION ZALOPAY-CHUYENTIEN-O5CH7BMCK1PB-Din h
</t>
    </r>
    <r>
      <rPr>
        <sz val="8"/>
        <rFont val="Times New Roman"/>
        <family val="1"/>
      </rPr>
      <t>Minh Dang SV12x7x6 thang 10. TU: ZION</t>
    </r>
  </si>
  <si>
    <r>
      <rPr>
        <sz val="8"/>
        <rFont val="Times New Roman"/>
        <family val="1"/>
      </rPr>
      <t>04/11/2025 22:13</t>
    </r>
  </si>
  <si>
    <r>
      <rPr>
        <sz val="8"/>
        <rFont val="Times New Roman"/>
        <family val="1"/>
      </rPr>
      <t xml:space="preserve">NGUYEN VIET HAI NGUYEN VIET HAI Chuyen tien em
</t>
    </r>
    <r>
      <rPr>
        <sz val="8"/>
        <rFont val="Times New Roman"/>
        <family val="1"/>
      </rPr>
      <t>Duc Anh mon Anh- Ma GD ACSP/ Y3848274</t>
    </r>
  </si>
  <si>
    <r>
      <rPr>
        <sz val="8"/>
        <rFont val="Times New Roman"/>
        <family val="1"/>
      </rPr>
      <t>04/11/2025 21:59</t>
    </r>
  </si>
  <si>
    <r>
      <rPr>
        <sz val="8"/>
        <rFont val="Times New Roman"/>
        <family val="1"/>
      </rPr>
      <t xml:space="preserve">DUONG THI THU HANG HOANG THU THUY NVC SV11.
</t>
    </r>
    <r>
      <rPr>
        <sz val="8"/>
        <rFont val="Times New Roman"/>
        <family val="1"/>
      </rPr>
      <t>3.42 DONG T IEN THANG 10- Ma GD ACSP/ RD174356</t>
    </r>
  </si>
  <si>
    <r>
      <rPr>
        <sz val="8"/>
        <rFont val="Times New Roman"/>
        <family val="1"/>
      </rPr>
      <t>04/11/2025 21:55</t>
    </r>
  </si>
  <si>
    <r>
      <rPr>
        <sz val="8"/>
        <rFont val="Times New Roman"/>
        <family val="1"/>
      </rPr>
      <t>CUSTOMER HOANG THI SUONG chuyen tien. TU: HOANG THI SUONG</t>
    </r>
  </si>
  <si>
    <r>
      <rPr>
        <sz val="8"/>
        <rFont val="Times New Roman"/>
        <family val="1"/>
      </rPr>
      <t>04/11/2025 21:39</t>
    </r>
  </si>
  <si>
    <r>
      <rPr>
        <sz val="8"/>
        <rFont val="Times New Roman"/>
        <family val="1"/>
      </rPr>
      <t>CUSTOMER Quach Ngoc Tuan SV12x8x18 thang 10    Ma giao dich  Trace419972 Trace 4 19972</t>
    </r>
  </si>
  <si>
    <r>
      <rPr>
        <sz val="8"/>
        <rFont val="Times New Roman"/>
        <family val="1"/>
      </rPr>
      <t>04/11/2025 21:00</t>
    </r>
  </si>
  <si>
    <r>
      <rPr>
        <sz val="8"/>
        <rFont val="Times New Roman"/>
        <family val="1"/>
      </rPr>
      <t>NGUYEN THI HIEN NGUYEN HOANG NAM SV11X1X2 THANG 10-  Ma GD ACSP/ pB853950</t>
    </r>
  </si>
  <si>
    <r>
      <rPr>
        <sz val="8"/>
        <rFont val="Times New Roman"/>
        <family val="1"/>
      </rPr>
      <t>04/11/2025 20:53</t>
    </r>
  </si>
  <si>
    <r>
      <rPr>
        <sz val="8"/>
        <rFont val="Times New Roman"/>
        <family val="1"/>
      </rPr>
      <t>LE THI LAN QR   Nguyen Ngoc Bao Tram SV12x9x9 thang 10- Ma GD ACSP/ rV654894</t>
    </r>
  </si>
  <si>
    <r>
      <rPr>
        <sz val="8"/>
        <rFont val="Times New Roman"/>
        <family val="1"/>
      </rPr>
      <t>04/11/2025 20:46</t>
    </r>
  </si>
  <si>
    <r>
      <rPr>
        <sz val="8"/>
        <rFont val="Times New Roman"/>
        <family val="1"/>
      </rPr>
      <t xml:space="preserve">ZION ZALOPAY-CHUYENTIEN-O5CH7BMCHOSC-Tra n
</t>
    </r>
    <r>
      <rPr>
        <sz val="8"/>
        <rFont val="Times New Roman"/>
        <family val="1"/>
      </rPr>
      <t>Duc Anh SV10x8x2 thang 10. TU: ZION</t>
    </r>
  </si>
  <si>
    <r>
      <rPr>
        <sz val="8"/>
        <rFont val="Times New Roman"/>
        <family val="1"/>
      </rPr>
      <t>04/11/2025 20:16</t>
    </r>
  </si>
  <si>
    <r>
      <rPr>
        <sz val="8"/>
        <rFont val="Times New Roman"/>
        <family val="1"/>
      </rPr>
      <t>CUSTOMER Nguyen Quoc Hung SV12x4x19 thang 10 FT25308800049097   Ma giao dich  T race535794 Trace 535794</t>
    </r>
  </si>
  <si>
    <r>
      <rPr>
        <sz val="8"/>
        <rFont val="Times New Roman"/>
        <family val="1"/>
      </rPr>
      <t>04/11/2025 19:59</t>
    </r>
  </si>
  <si>
    <r>
      <rPr>
        <sz val="8"/>
        <rFont val="Times New Roman"/>
        <family val="1"/>
      </rPr>
      <t>CUSTOMER Bui Duc Nhat Minh SV10x5x5 thang 10 FT25308214308386   Ma giao dich  T race432833 Trace 432833</t>
    </r>
  </si>
  <si>
    <r>
      <rPr>
        <sz val="8"/>
        <rFont val="Times New Roman"/>
        <family val="1"/>
      </rPr>
      <t>04/11/2025 19:34</t>
    </r>
  </si>
  <si>
    <r>
      <rPr>
        <sz val="8"/>
        <rFont val="Times New Roman"/>
        <family val="1"/>
      </rPr>
      <t>CUSTOMER con Dinh Vu Ha Anh nop tien t10. TU: VU THI HA</t>
    </r>
  </si>
  <si>
    <r>
      <rPr>
        <sz val="8"/>
        <rFont val="Times New Roman"/>
        <family val="1"/>
      </rPr>
      <t>04/11/2025 19:17</t>
    </r>
  </si>
  <si>
    <r>
      <rPr>
        <sz val="8"/>
        <rFont val="Times New Roman"/>
        <family val="1"/>
      </rPr>
      <t>QUAN THUY DUONG QR   Trinh Ngoc Nguyen Khang SV12x1 6x20 thang 10- Ma GD ACSP/ L1319560</t>
    </r>
  </si>
  <si>
    <r>
      <rPr>
        <sz val="8"/>
        <rFont val="Times New Roman"/>
        <family val="1"/>
      </rPr>
      <t>04/11/2025 19:08</t>
    </r>
  </si>
  <si>
    <r>
      <rPr>
        <sz val="8"/>
        <rFont val="Times New Roman"/>
        <family val="1"/>
      </rPr>
      <t>CUSTOMER Luu Tra My SV12x11x29 thang 10 FT25 308295030794   Ma giao dich  Trace0 85600 Trace 085600</t>
    </r>
  </si>
  <si>
    <r>
      <rPr>
        <sz val="8"/>
        <rFont val="Times New Roman"/>
        <family val="1"/>
      </rPr>
      <t>04/11/2025 19:06</t>
    </r>
  </si>
  <si>
    <r>
      <rPr>
        <sz val="8"/>
        <rFont val="Times New Roman"/>
        <family val="1"/>
      </rPr>
      <t>DO THANH TRUNG MB 0670190997777 Do Tuan Anh SV11x8 x15 thang 10- Ma GD ACSP/ 8I073308</t>
    </r>
  </si>
  <si>
    <r>
      <rPr>
        <sz val="8"/>
        <rFont val="Times New Roman"/>
        <family val="1"/>
      </rPr>
      <t>04/11/2025 19:03</t>
    </r>
  </si>
  <si>
    <r>
      <rPr>
        <sz val="8"/>
        <rFont val="Times New Roman"/>
        <family val="1"/>
      </rPr>
      <t>CUSTOMER Ngo Gia Bao Nhi SV11x6x28 thang 10    Ma giao dich  Trace925085 Trace 9 25085</t>
    </r>
  </si>
  <si>
    <r>
      <rPr>
        <sz val="8"/>
        <rFont val="Times New Roman"/>
        <family val="1"/>
      </rPr>
      <t>04/11/2025 18:34</t>
    </r>
  </si>
  <si>
    <r>
      <rPr>
        <sz val="8"/>
        <rFont val="Times New Roman"/>
        <family val="1"/>
      </rPr>
      <t>CUSTOMER Truong Ba Bao Nam SV11x8x12 thang 1 0. TU: TRAN THI THU THUAN</t>
    </r>
  </si>
  <si>
    <r>
      <rPr>
        <sz val="8"/>
        <rFont val="Times New Roman"/>
        <family val="1"/>
      </rPr>
      <t>04/11/2025 18:01</t>
    </r>
  </si>
  <si>
    <r>
      <rPr>
        <sz val="8"/>
        <rFont val="Times New Roman"/>
        <family val="1"/>
      </rPr>
      <t>HO THI MY HANH DUONG HUONG THAO SV11X11X6 THANG 10 - Ma GD ACSP/ Cm454032</t>
    </r>
  </si>
  <si>
    <r>
      <rPr>
        <sz val="8"/>
        <rFont val="Times New Roman"/>
        <family val="1"/>
      </rPr>
      <t>04/11/2025 18:00</t>
    </r>
  </si>
  <si>
    <r>
      <rPr>
        <sz val="8"/>
        <rFont val="Times New Roman"/>
        <family val="1"/>
      </rPr>
      <t>HO THI MY HANH DUONG PHUONG THAO SV11X11X7 THANG 1 0- Ma GD ACSP/ CV447780</t>
    </r>
  </si>
  <si>
    <r>
      <rPr>
        <sz val="8"/>
        <rFont val="Times New Roman"/>
        <family val="1"/>
      </rPr>
      <t>04/11/2025 17:23</t>
    </r>
  </si>
  <si>
    <r>
      <rPr>
        <sz val="8"/>
        <rFont val="Times New Roman"/>
        <family val="1"/>
      </rPr>
      <t>CUSTOMER Nguyen Quang Nam SV11x11x11 thang 1 0 FT25308519514326   Ma giao dich   Trace291266 Trace 291266</t>
    </r>
  </si>
  <si>
    <r>
      <rPr>
        <sz val="8"/>
        <rFont val="Times New Roman"/>
        <family val="1"/>
      </rPr>
      <t>04/11/2025 17:15</t>
    </r>
  </si>
  <si>
    <r>
      <rPr>
        <sz val="8"/>
        <rFont val="Times New Roman"/>
        <family val="1"/>
      </rPr>
      <t>NGUYEN THI THANH THUY QR   Nguyen Hoang Son SV10x14x17 th ang 10- Ma GD ACSP/ mY727305</t>
    </r>
  </si>
  <si>
    <r>
      <rPr>
        <sz val="8"/>
        <rFont val="Times New Roman"/>
        <family val="1"/>
      </rPr>
      <t>04/11/2025 16:58</t>
    </r>
  </si>
  <si>
    <r>
      <rPr>
        <sz val="8"/>
        <rFont val="Times New Roman"/>
        <family val="1"/>
      </rPr>
      <t>CUSTOMER Tran minh ngoc 10A8 nop tien ht tie ng anh FT25308230080708   Ma giao d ich  Trace089103 Trace 089103</t>
    </r>
  </si>
  <si>
    <r>
      <rPr>
        <sz val="8"/>
        <rFont val="Times New Roman"/>
        <family val="1"/>
      </rPr>
      <t>04/11/2025 16:05</t>
    </r>
  </si>
  <si>
    <r>
      <rPr>
        <sz val="8"/>
        <rFont val="Times New Roman"/>
        <family val="1"/>
      </rPr>
      <t>NGUYEN THI NHAN MB 0670190997777 Nguyen Tra MyPL SV 11Ax1 thang 10- Ma GD ACSP/ Z103874 4</t>
    </r>
  </si>
  <si>
    <r>
      <rPr>
        <sz val="8"/>
        <rFont val="Times New Roman"/>
        <family val="1"/>
      </rPr>
      <t>04/11/2025 15:26</t>
    </r>
  </si>
  <si>
    <r>
      <rPr>
        <sz val="8"/>
        <rFont val="Times New Roman"/>
        <family val="1"/>
      </rPr>
      <t>CUSTOMER Nguyen Hung Long SV11x7x15 thang 10 FT25308809037572   Ma giao dich  T race432391 Trace 432391</t>
    </r>
  </si>
  <si>
    <r>
      <rPr>
        <sz val="8"/>
        <rFont val="Times New Roman"/>
        <family val="1"/>
      </rPr>
      <t>04/11/2025 15:01</t>
    </r>
  </si>
  <si>
    <r>
      <rPr>
        <sz val="8"/>
        <rFont val="Times New Roman"/>
        <family val="1"/>
      </rPr>
      <t>CUSTOMER Tham Minh Anh SV12x14x3 thang 10. TU: THAM TRUONG SON</t>
    </r>
  </si>
  <si>
    <r>
      <rPr>
        <sz val="8"/>
        <rFont val="Times New Roman"/>
        <family val="1"/>
      </rPr>
      <t>04/11/2025 14:54</t>
    </r>
  </si>
  <si>
    <r>
      <rPr>
        <sz val="8"/>
        <rFont val="Times New Roman"/>
        <family val="1"/>
      </rPr>
      <t>BUI THI HONG YEN NGUYEN QUANG HUY SV10X6X1 THANG 10-  Ma GD ACSP/ BH880066</t>
    </r>
  </si>
  <si>
    <r>
      <rPr>
        <sz val="8"/>
        <rFont val="Times New Roman"/>
        <family val="1"/>
      </rPr>
      <t>04/11/2025 13:57</t>
    </r>
  </si>
  <si>
    <r>
      <rPr>
        <sz val="8"/>
        <rFont val="Times New Roman"/>
        <family val="1"/>
      </rPr>
      <t>LE TIEN DUNG LE NGOC NHU ANH SV11X1X21 THANG 10-  Ma GD ACSP/ Qu552936</t>
    </r>
  </si>
  <si>
    <r>
      <rPr>
        <sz val="8"/>
        <rFont val="Times New Roman"/>
        <family val="1"/>
      </rPr>
      <t>04/11/2025 13:40</t>
    </r>
  </si>
  <si>
    <r>
      <rPr>
        <sz val="8"/>
        <rFont val="Times New Roman"/>
        <family val="1"/>
      </rPr>
      <t>CUSTOMER Dong Hoang Anh SV12x8x4 thang 10. TU: NGUYEN THI THINH</t>
    </r>
  </si>
  <si>
    <r>
      <rPr>
        <sz val="8"/>
        <rFont val="Times New Roman"/>
        <family val="1"/>
      </rPr>
      <t>04/11/2025 13:07</t>
    </r>
  </si>
  <si>
    <r>
      <rPr>
        <sz val="8"/>
        <rFont val="Times New Roman"/>
        <family val="1"/>
      </rPr>
      <t>CUSTOMER Do Minh Quan SV11x1x5 thang 10 FT25 308316771849   Ma giao dich  Trace6 58776 Trace 658776</t>
    </r>
  </si>
  <si>
    <r>
      <rPr>
        <sz val="8"/>
        <rFont val="Times New Roman"/>
        <family val="1"/>
      </rPr>
      <t>04/11/2025 12:42</t>
    </r>
  </si>
  <si>
    <r>
      <rPr>
        <sz val="8"/>
        <rFont val="Times New Roman"/>
        <family val="1"/>
      </rPr>
      <t>CUSTOMER Truong Thi Ngoc Dung SV12x16x9 than g 10 FT25308023491030   Ma giao dic h  Trace516338 Trace 516338</t>
    </r>
  </si>
  <si>
    <r>
      <rPr>
        <sz val="8"/>
        <rFont val="Times New Roman"/>
        <family val="1"/>
      </rPr>
      <t>04/11/2025 12:33</t>
    </r>
  </si>
  <si>
    <r>
      <rPr>
        <sz val="8"/>
        <rFont val="Times New Roman"/>
        <family val="1"/>
      </rPr>
      <t>DO THE DUNG QR   Do The Anh SV10x1x24 thang 10-  Ma GD ACSP/ Bw758963</t>
    </r>
  </si>
  <si>
    <r>
      <rPr>
        <sz val="8"/>
        <rFont val="Times New Roman"/>
        <family val="1"/>
      </rPr>
      <t>04/11/2025 12:22</t>
    </r>
  </si>
  <si>
    <r>
      <rPr>
        <sz val="8"/>
        <rFont val="Times New Roman"/>
        <family val="1"/>
      </rPr>
      <t xml:space="preserve">DANG THI VIET PHUONG MBVCB.11576423449.983266.
</t>
    </r>
    <r>
      <rPr>
        <sz val="8"/>
        <rFont val="Times New Roman"/>
        <family val="1"/>
      </rPr>
      <t>Luu Dang K hoi SV10x8x10 thang 10.CT tu 002100 0782009 DANG THI VIET PHUONG toi 06 70190997777 NGUYEN THI HUYEN tai MB</t>
    </r>
  </si>
  <si>
    <r>
      <rPr>
        <sz val="8"/>
        <rFont val="Times New Roman"/>
        <family val="1"/>
      </rPr>
      <t>04/11/2025 12:20</t>
    </r>
  </si>
  <si>
    <r>
      <rPr>
        <sz val="8"/>
        <rFont val="Times New Roman"/>
        <family val="1"/>
      </rPr>
      <t>CUSTOMER chau Thao Xuan 10A13 thang 9 FT2530 8082348626   Ma giao dich  Trace377 021 Trace 377021</t>
    </r>
  </si>
  <si>
    <r>
      <rPr>
        <sz val="8"/>
        <rFont val="Times New Roman"/>
        <family val="1"/>
      </rPr>
      <t>04/11/2025 12:11</t>
    </r>
  </si>
  <si>
    <r>
      <rPr>
        <sz val="8"/>
        <rFont val="Times New Roman"/>
        <family val="1"/>
      </rPr>
      <t xml:space="preserve">HOANG THI HANG MBVCB.11576273354.883258.Nguyen
</t>
    </r>
    <r>
      <rPr>
        <sz val="8"/>
        <rFont val="Times New Roman"/>
        <family val="1"/>
      </rPr>
      <t>Hoa ng Khanh NganNVC SV11Ax5 thang 10.C T tu 0541000325421 HOANG THI HANG t oi 0670190997777 NGUYEN THI HUYEN t</t>
    </r>
  </si>
  <si>
    <r>
      <rPr>
        <sz val="8"/>
        <rFont val="Times New Roman"/>
        <family val="1"/>
      </rPr>
      <t>04/11/2025 11:39</t>
    </r>
  </si>
  <si>
    <r>
      <rPr>
        <sz val="8"/>
        <rFont val="Times New Roman"/>
        <family val="1"/>
      </rPr>
      <t>CUSTOMER Trinh Thuy Linh SV12x8x22 thang 10. TU: TRINH THUY LINH</t>
    </r>
  </si>
  <si>
    <r>
      <rPr>
        <sz val="8"/>
        <rFont val="Times New Roman"/>
        <family val="1"/>
      </rPr>
      <t>04/11/2025 11:27</t>
    </r>
  </si>
  <si>
    <r>
      <rPr>
        <sz val="8"/>
        <rFont val="Times New Roman"/>
        <family val="1"/>
      </rPr>
      <t xml:space="preserve">CUSTOMER Ngo Nguyen Ho Phuong Hoa SV11x6x24  thang
</t>
    </r>
    <r>
      <rPr>
        <sz val="8"/>
        <rFont val="Times New Roman"/>
        <family val="1"/>
      </rPr>
      <t>10   Ma giao dich  Trace95592 1 Trace 955921</t>
    </r>
  </si>
  <si>
    <t>FT25307257889275</t>
  </si>
  <si>
    <t>FT25307325878049</t>
  </si>
  <si>
    <t>FT25308795800288</t>
  </si>
  <si>
    <t>FT25308762600199</t>
  </si>
  <si>
    <t>FT25308176860129</t>
  </si>
  <si>
    <t>FT25308940819220</t>
  </si>
  <si>
    <t>FT25308591053298</t>
  </si>
  <si>
    <t>FT25308446820372</t>
  </si>
  <si>
    <t>FT25308083720010</t>
  </si>
  <si>
    <t>FT25308301959080</t>
  </si>
  <si>
    <t>FT25308882206109</t>
  </si>
  <si>
    <t>FT25308968472201</t>
  </si>
  <si>
    <t>FT25308104343358</t>
  </si>
  <si>
    <t>FT25308100968920</t>
  </si>
  <si>
    <t>FT25308014868750</t>
  </si>
  <si>
    <t>FT25308057474686</t>
  </si>
  <si>
    <t>FT25308940819220
FT25308057474686</t>
  </si>
  <si>
    <t>FT25308025270162</t>
  </si>
  <si>
    <t>FT25308971031610</t>
  </si>
  <si>
    <t>FT25308885192930</t>
  </si>
  <si>
    <t>FT25308479246870</t>
  </si>
  <si>
    <t>FT25308389870789</t>
  </si>
  <si>
    <t>FT25308318012404</t>
  </si>
  <si>
    <t>FT25308082560286</t>
  </si>
  <si>
    <t>FT25308678070931</t>
  </si>
  <si>
    <t>FT25308500969568</t>
  </si>
  <si>
    <t>FT25308310459805</t>
  </si>
  <si>
    <t>FT25308414832269</t>
  </si>
  <si>
    <t>FT25308105213460</t>
  </si>
  <si>
    <t>FT25308994078389</t>
  </si>
  <si>
    <t>FT25308314007738</t>
  </si>
  <si>
    <t>FT25308089093864</t>
  </si>
  <si>
    <t>FT25308931040379</t>
  </si>
  <si>
    <t>FT25308384080295</t>
  </si>
  <si>
    <t>FT25308429538416</t>
  </si>
  <si>
    <t>FT25308862069941</t>
  </si>
  <si>
    <t>FT25308844392209</t>
  </si>
  <si>
    <t>FT25308070363014</t>
  </si>
  <si>
    <t>FT25308546259469</t>
  </si>
  <si>
    <t>FT25308567996616</t>
  </si>
  <si>
    <t>FT25308680911398</t>
  </si>
  <si>
    <t>FT25308542788499</t>
  </si>
  <si>
    <t>FT25308047834781</t>
  </si>
  <si>
    <t>Nguyễn Hoàng Nam</t>
  </si>
  <si>
    <t>FT25308878760240</t>
  </si>
  <si>
    <t>FT25308728272670</t>
  </si>
  <si>
    <t>FT25308700570767</t>
  </si>
  <si>
    <t>FT25309480081186</t>
  </si>
  <si>
    <t>FT25309220426209</t>
  </si>
  <si>
    <t>FT25309350952559</t>
  </si>
  <si>
    <t>FT25309878431400</t>
  </si>
  <si>
    <t>FT25309890073971</t>
  </si>
  <si>
    <t>FT25309040656982</t>
  </si>
  <si>
    <t>FT25309140205867</t>
  </si>
  <si>
    <t>FT25309160722352</t>
  </si>
  <si>
    <t>FT25309266316630</t>
  </si>
  <si>
    <t>FT25303057028238
FT25308047834781</t>
  </si>
  <si>
    <t>12A15</t>
  </si>
  <si>
    <t>Đỗ Nguyễn Tuấn Anh</t>
  </si>
  <si>
    <t>-</t>
  </si>
  <si>
    <t>CUSTOMER Nguyen Trung Hieu SV10x16x9 thang 1 0   Ma giao dich  Trace108068 Trace  108068</t>
  </si>
  <si>
    <t>05/11/2025 19:56:18</t>
  </si>
  <si>
    <t>241,908,960</t>
  </si>
  <si>
    <t>LUONG HA THANH</t>
  </si>
  <si>
    <t xml:space="preserve">Lai Duc Khanh SV12x6x25 thang 10 </t>
  </si>
  <si>
    <t>FT25309423040360</t>
  </si>
  <si>
    <t>05/11/2025 18:47:34</t>
  </si>
  <si>
    <t>241,108,960</t>
  </si>
  <si>
    <t>LE THI THUY DUONG</t>
  </si>
  <si>
    <t xml:space="preserve">Ho Duc Viet SV12x6x22 thang 10 FT25 309904680821   Ma giao dich  Trace3 23956 Trace 323956 </t>
  </si>
  <si>
    <t>FT25309333190597</t>
  </si>
  <si>
    <t>X</t>
  </si>
  <si>
    <t>05/11/2025 21:57:54</t>
  </si>
  <si>
    <t>242,808,960</t>
  </si>
  <si>
    <t>VND-TGTT-BUI THI KIM OANH</t>
  </si>
  <si>
    <t xml:space="preserve">Nguyen Bui Minh Duc SV11x3x25 thang  10 FT25310088398630   Ma giao dich   Trace530832 Trace 530832 </t>
  </si>
  <si>
    <t>FT25309710796213</t>
  </si>
  <si>
    <t>Ngỗ Hải Anh</t>
  </si>
  <si>
    <r>
      <rPr>
        <sz val="8"/>
        <rFont val="Times New Roman"/>
        <family val="1"/>
      </rPr>
      <t>05/11/2025 19:08</t>
    </r>
  </si>
  <si>
    <r>
      <rPr>
        <sz val="8"/>
        <rFont val="Times New Roman"/>
        <family val="1"/>
      </rPr>
      <t>CUSTOMER Bui Phuong Thao SV10x14x13 thang 10. TU: BUI VAN TUONG</t>
    </r>
  </si>
  <si>
    <r>
      <rPr>
        <sz val="8"/>
        <rFont val="Times New Roman"/>
        <family val="1"/>
      </rPr>
      <t>05/11/2025 17:23</t>
    </r>
  </si>
  <si>
    <r>
      <rPr>
        <sz val="8"/>
        <rFont val="Times New Roman"/>
        <family val="1"/>
      </rPr>
      <t>CUSTOMER Dinh Nguyen Duong SV11x1x16 thang 1 0 FT25309027080130   Ma giao dich   Trace638874 Trace 638874</t>
    </r>
  </si>
  <si>
    <r>
      <rPr>
        <sz val="8"/>
        <rFont val="Times New Roman"/>
        <family val="1"/>
      </rPr>
      <t>05/11/2025 16:47</t>
    </r>
  </si>
  <si>
    <r>
      <rPr>
        <sz val="8"/>
        <rFont val="Times New Roman"/>
        <family val="1"/>
      </rPr>
      <t>VU PHUONG NAM VU NGUYEN KHANH AN SV10X12X2 THANG 10- Ma GD ACSP/ gD746328</t>
    </r>
  </si>
  <si>
    <r>
      <rPr>
        <sz val="8"/>
        <rFont val="Times New Roman"/>
        <family val="1"/>
      </rPr>
      <t>05/11/2025 15:40</t>
    </r>
  </si>
  <si>
    <r>
      <rPr>
        <sz val="8"/>
        <rFont val="Times New Roman"/>
        <family val="1"/>
      </rPr>
      <t>TRAN THANH LOAN QR   Tran Nhat Nam SV12x7x4 thang 1 0- Ma GD ACSP/ Cj834731</t>
    </r>
  </si>
  <si>
    <t>FT25309797540820</t>
  </si>
  <si>
    <t>FT25309150131183</t>
  </si>
  <si>
    <t>FT25309036004965</t>
  </si>
  <si>
    <t>FT25309210450052</t>
  </si>
  <si>
    <t>06/11/2025 20:03:17</t>
  </si>
  <si>
    <t>06/11/2025</t>
  </si>
  <si>
    <t>2,600,000</t>
  </si>
  <si>
    <t>245,408,960</t>
  </si>
  <si>
    <t>NGUYEN NGOC LAN</t>
  </si>
  <si>
    <t>MBVCB.11613275362.813368.Nguyen Duc  Minh SV12x3x34 thang 10.CT tu 9358 832572 NGUYEN NGOC LAN toi 25886668 68 CONG TY TNHH TRI THUC SAO VIET t ai MB- Ma GD ACSP/ hb813368</t>
  </si>
  <si>
    <t>FT25310200056333</t>
  </si>
  <si>
    <r>
      <rPr>
        <sz val="8"/>
        <rFont val="Times New Roman"/>
        <family val="1"/>
      </rPr>
      <t>06/11/2025 12:17</t>
    </r>
  </si>
  <si>
    <r>
      <rPr>
        <sz val="8"/>
        <rFont val="Times New Roman"/>
        <family val="1"/>
      </rPr>
      <t xml:space="preserve">CHU THI HOA MBVCB.11606150212.502622.Mai Truong
</t>
    </r>
    <r>
      <rPr>
        <sz val="8"/>
        <rFont val="Times New Roman"/>
        <family val="1"/>
      </rPr>
      <t>Giang SV10x14x2 thang 10.CT tu 054 1000177955 CHU THI HOA toi 06701909 97777 NGUYEN THI HUYEN tai MB- Ma G</t>
    </r>
  </si>
  <si>
    <r>
      <rPr>
        <sz val="8"/>
        <rFont val="Times New Roman"/>
        <family val="1"/>
      </rPr>
      <t>06/11/2025 12:04</t>
    </r>
  </si>
  <si>
    <r>
      <rPr>
        <sz val="8"/>
        <rFont val="Times New Roman"/>
        <family val="1"/>
      </rPr>
      <t>CUSTOMER Tran Yen Nhi SV10x14x9 thang 10. TU: NGUYEN THI THU HUONG</t>
    </r>
  </si>
  <si>
    <r>
      <rPr>
        <sz val="8"/>
        <rFont val="Times New Roman"/>
        <family val="1"/>
      </rPr>
      <t>06/11/2025 11:18</t>
    </r>
  </si>
  <si>
    <r>
      <rPr>
        <sz val="8"/>
        <rFont val="Times New Roman"/>
        <family val="1"/>
      </rPr>
      <t>HOANG THI LIEN QR   Nguyen Hoang Ngan SV10x14x7 th ang 10- Ma GD ACSP/ 8k591211</t>
    </r>
  </si>
  <si>
    <r>
      <rPr>
        <sz val="8"/>
        <rFont val="Times New Roman"/>
        <family val="1"/>
      </rPr>
      <t>05/11/2025 23:33</t>
    </r>
  </si>
  <si>
    <r>
      <rPr>
        <sz val="8"/>
        <rFont val="Times New Roman"/>
        <family val="1"/>
      </rPr>
      <t xml:space="preserve">DAO THE TUAN MBVCB.11600665858.103329.Dao Thi Ma i
</t>
    </r>
    <r>
      <rPr>
        <sz val="8"/>
        <rFont val="Times New Roman"/>
        <family val="1"/>
      </rPr>
      <t>Anh  N.V.Cu  SV 10.3.51 chuyen ti en.CT tu 1029662853 DAO THE TUAN to i 0670190997777 NGUYEN THI HUYEN ta</t>
    </r>
  </si>
  <si>
    <t>FT25310192656078</t>
  </si>
  <si>
    <t>FT25310745533139</t>
  </si>
  <si>
    <t>FT25310268801899</t>
  </si>
  <si>
    <t>FT25310091500601</t>
  </si>
  <si>
    <r>
      <rPr>
        <sz val="8"/>
        <rFont val="Times New Roman"/>
        <family val="1"/>
      </rPr>
      <t>07/11/2025 08:36</t>
    </r>
  </si>
  <si>
    <r>
      <rPr>
        <sz val="8"/>
        <rFont val="Times New Roman"/>
        <family val="1"/>
      </rPr>
      <t>LUONG THI THU TRANG QR   Nguyen Minh Anh SV10x1x1 thang  10- Ma GD ACSP/ A9433002</t>
    </r>
  </si>
  <si>
    <r>
      <rPr>
        <sz val="8"/>
        <rFont val="Times New Roman"/>
        <family val="1"/>
      </rPr>
      <t>06/11/2025 20:26</t>
    </r>
  </si>
  <si>
    <r>
      <rPr>
        <sz val="8"/>
        <rFont val="Times New Roman"/>
        <family val="1"/>
      </rPr>
      <t xml:space="preserve">CUSTOMER Nguyen Ha Vy SV12x9x9 thang 10 0611 25 20 26
</t>
    </r>
    <r>
      <rPr>
        <sz val="8"/>
        <rFont val="Times New Roman"/>
        <family val="1"/>
      </rPr>
      <t>47 014646   Ma giao dich   Trace014646 Trace 014646</t>
    </r>
  </si>
  <si>
    <r>
      <rPr>
        <sz val="8"/>
        <rFont val="Times New Roman"/>
        <family val="1"/>
      </rPr>
      <t>06/11/2025 18:44</t>
    </r>
  </si>
  <si>
    <r>
      <rPr>
        <sz val="8"/>
        <rFont val="Times New Roman"/>
        <family val="1"/>
      </rPr>
      <t>LE THI ANH QR   Dao Quynh Huong SV10x5x4 thang  10- Ma GD ACSP/ jv220875</t>
    </r>
  </si>
  <si>
    <t>FT25310212719476</t>
  </si>
  <si>
    <t>FT25310850357981</t>
  </si>
  <si>
    <t>FT25311646938538</t>
  </si>
  <si>
    <t>07/11/2025 07:51:50</t>
  </si>
  <si>
    <t>07/11/2025</t>
  </si>
  <si>
    <t>246,308,960</t>
  </si>
  <si>
    <t>PHAM THI THANH THUY</t>
  </si>
  <si>
    <t xml:space="preserve">Nguyen An Phuong SV12x2x31 thang 10 </t>
  </si>
  <si>
    <t>FT25311405411089</t>
  </si>
  <si>
    <t>Quỳnh Liên 7
Xuân lý 8</t>
  </si>
  <si>
    <t>10/11/2025 19:31:47</t>
  </si>
  <si>
    <t>10/11/2025</t>
  </si>
  <si>
    <t>75,222,160</t>
  </si>
  <si>
    <t xml:space="preserve">Luu Tram Anh SV12x3x1 thang 10   Ma  giao dich  Trace463192 Trace 46319 </t>
  </si>
  <si>
    <t>FT25314653040894</t>
  </si>
  <si>
    <t>Lụa Văn 3</t>
  </si>
  <si>
    <t>Hoa Toán 3</t>
  </si>
  <si>
    <t>Thu Toán 9</t>
  </si>
  <si>
    <t>Hoa Toán 9</t>
  </si>
  <si>
    <t>Hậu Văn 8</t>
  </si>
  <si>
    <t>Đóng dư tiền</t>
  </si>
  <si>
    <t>Thúy Toán 8
Ngô Thu Anh 3
Thu Anh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</si>
</sst>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0000000000000"/>
  </numFmts>
  <fonts count="66">
    <font>
      <sz val="11"/>
      <color indexed="8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name val="Calibri"/>
      <family val="2"/>
      <charset val="163"/>
    </font>
    <font>
      <sz val="11"/>
      <color indexed="8"/>
      <name val="Arial"/>
      <family val="2"/>
      <scheme val="minor"/>
    </font>
    <font>
      <b/>
      <sz val="12"/>
      <color rgb="FF000000"/>
      <name val="Times"/>
      <family val="2"/>
    </font>
    <font>
      <sz val="10"/>
      <color rgb="FF000000"/>
      <name val="Times"/>
      <family val="2"/>
    </font>
    <font>
      <b/>
      <sz val="10"/>
      <color rgb="FF000000"/>
      <name val="Times"/>
    </font>
    <font>
      <i/>
      <sz val="10"/>
      <color rgb="FF000000"/>
      <name val="Times"/>
    </font>
    <font>
      <sz val="10"/>
      <color rgb="FF000000"/>
      <name val="Times"/>
    </font>
    <font>
      <sz val="9"/>
      <color rgb="FF000000"/>
      <name val="Times"/>
      <family val="2"/>
    </font>
    <font>
      <b/>
      <sz val="9"/>
      <color rgb="FF000000"/>
      <name val="Times"/>
    </font>
    <font>
      <i/>
      <sz val="9"/>
      <color rgb="FF000000"/>
      <name val="Times"/>
    </font>
    <font>
      <sz val="9"/>
      <color rgb="FF000000"/>
      <name val="Times"/>
    </font>
    <font>
      <b/>
      <sz val="10"/>
      <color rgb="FF000000"/>
      <name val="Times"/>
      <family val="2"/>
    </font>
    <font>
      <b/>
      <sz val="9"/>
      <color rgb="FF000000"/>
      <name val="Times"/>
      <family val="2"/>
    </font>
    <font>
      <sz val="10"/>
      <color rgb="FF000000"/>
      <name val="SansSerif"/>
      <family val="2"/>
    </font>
    <font>
      <sz val="11"/>
      <color rgb="FF000000"/>
      <name val="Times"/>
      <family val="2"/>
    </font>
    <font>
      <b/>
      <sz val="11"/>
      <color rgb="FF000000"/>
      <name val="Times"/>
    </font>
    <font>
      <i/>
      <sz val="11"/>
      <color rgb="FF000000"/>
      <name val="Times"/>
    </font>
    <font>
      <sz val="10"/>
      <color rgb="FF000000"/>
      <name val="Times New Roman"/>
      <family val="1"/>
      <charset val="163"/>
    </font>
    <font>
      <sz val="5"/>
      <name val="Arial"/>
      <family val="2"/>
    </font>
    <font>
      <sz val="8.5"/>
      <name val="Arial"/>
      <family val="2"/>
    </font>
    <font>
      <b/>
      <sz val="12"/>
      <name val="Times New Roman"/>
      <family val="1"/>
    </font>
    <font>
      <b/>
      <i/>
      <sz val="11"/>
      <name val="Times New Roman"/>
      <family val="1"/>
    </font>
    <font>
      <b/>
      <sz val="9"/>
      <name val="Times New Roman"/>
      <family val="1"/>
    </font>
    <font>
      <i/>
      <sz val="9"/>
      <name val="Times New Roman"/>
      <family val="1"/>
    </font>
    <font>
      <b/>
      <sz val="10"/>
      <name val="Times New Roman"/>
      <family val="1"/>
    </font>
    <font>
      <i/>
      <sz val="10"/>
      <name val="Times New Roman"/>
      <family val="1"/>
    </font>
    <font>
      <sz val="9"/>
      <name val="Times New Roman"/>
      <family val="1"/>
    </font>
    <font>
      <sz val="8"/>
      <name val="Times New Roman"/>
      <family val="1"/>
      <charset val="163"/>
    </font>
    <font>
      <sz val="8"/>
      <name val="Times New Roman"/>
      <family val="1"/>
    </font>
    <font>
      <sz val="8"/>
      <color rgb="FF000000"/>
      <name val="Times New Roman"/>
      <family val="2"/>
    </font>
    <font>
      <b/>
      <sz val="9"/>
      <name val="Times New Roman"/>
      <family val="1"/>
      <charset val="163"/>
    </font>
    <font>
      <sz val="10"/>
      <color rgb="FF000000"/>
      <name val="Times New Roman"/>
      <family val="2"/>
    </font>
    <font>
      <sz val="10"/>
      <color rgb="FF000000"/>
      <name val="Times New Roman"/>
      <family val="1"/>
      <charset val="163"/>
    </font>
    <font>
      <sz val="6"/>
      <color indexed="8"/>
      <name val="Times New Roman"/>
      <family val="1"/>
      <charset val="163"/>
      <scheme val="major"/>
    </font>
    <font>
      <sz val="10"/>
      <color indexed="8"/>
      <name val="Times New Roman"/>
      <family val="1"/>
      <charset val="163"/>
      <scheme val="major"/>
    </font>
    <font>
      <sz val="8"/>
      <color indexed="8"/>
      <name val="Times New Roman"/>
      <family val="1"/>
      <charset val="163"/>
      <scheme val="major"/>
    </font>
    <font>
      <sz val="10"/>
      <color rgb="FF000000"/>
      <name val="Times New Roman"/>
      <family val="1"/>
      <charset val="163"/>
      <scheme val="major"/>
    </font>
    <font>
      <sz val="10"/>
      <color theme="1"/>
      <name val="Times New Roman"/>
      <family val="1"/>
      <charset val="163"/>
      <scheme val="major"/>
    </font>
    <font>
      <sz val="8"/>
      <color theme="1"/>
      <name val="Times New Roman"/>
      <family val="1"/>
      <charset val="163"/>
      <scheme val="major"/>
    </font>
    <font>
      <b/>
      <sz val="10"/>
      <name val="Times New Roman"/>
      <family val="1"/>
      <charset val="163"/>
      <scheme val="major"/>
    </font>
    <font>
      <sz val="10"/>
      <name val="Times New Roman"/>
      <family val="1"/>
      <charset val="163"/>
      <scheme val="major"/>
    </font>
    <font>
      <b/>
      <sz val="11"/>
      <color theme="1"/>
      <name val="Times New Roman"/>
      <family val="1"/>
      <charset val="163"/>
    </font>
    <font>
      <sz val="11"/>
      <color theme="1"/>
      <name val="Times New Roman"/>
      <family val="1"/>
      <charset val="163"/>
    </font>
    <font>
      <b/>
      <sz val="12"/>
      <color rgb="FF000000"/>
      <name val="Times New Roman"/>
      <family val="1"/>
    </font>
    <font>
      <sz val="14"/>
      <color theme="1"/>
      <name val="Times New Roman"/>
      <family val="1"/>
    </font>
    <font>
      <sz val="10"/>
      <color theme="1"/>
      <name val="Times New Roman"/>
      <family val="1"/>
    </font>
    <font>
      <sz val="14"/>
      <color theme="1"/>
      <name val="Times New Roman"/>
      <family val="1"/>
      <charset val="163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color indexed="8"/>
      <name val="Arial"/>
      <family val="2"/>
      <charset val="163"/>
      <scheme val="minor"/>
    </font>
    <font>
      <sz val="8"/>
      <color rgb="FF333333"/>
      <name val="Roboto"/>
    </font>
    <font>
      <b/>
      <sz val="8"/>
      <name val="Calibri"/>
      <family val="2"/>
      <charset val="163"/>
    </font>
    <font>
      <sz val="8"/>
      <color indexed="8"/>
      <name val="Arial"/>
      <family val="2"/>
      <scheme val="minor"/>
    </font>
    <font>
      <b/>
      <sz val="8"/>
      <name val="Times New Roman"/>
      <family val="1"/>
      <charset val="163"/>
      <scheme val="major"/>
    </font>
    <font>
      <sz val="8"/>
      <name val="Times New Roman"/>
      <family val="1"/>
      <charset val="163"/>
    </font>
    <font>
      <sz val="10"/>
      <color rgb="FF000000"/>
      <name val="Times New Roman"/>
      <family val="1"/>
      <charset val="163"/>
    </font>
    <font>
      <sz val="8"/>
      <name val="Times New Roman"/>
      <family val="1"/>
      <charset val="163"/>
    </font>
    <font>
      <b/>
      <sz val="10"/>
      <color indexed="8"/>
      <name val="Times New Roman"/>
      <family val="1"/>
      <charset val="163"/>
      <scheme val="major"/>
    </font>
    <font>
      <sz val="8"/>
      <name val="Arial"/>
      <family val="2"/>
      <scheme val="minor"/>
    </font>
    <font>
      <sz val="8"/>
      <color rgb="FFFF000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AE2FA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18EF4"/>
      </patternFill>
    </fill>
    <fill>
      <patternFill patternType="solid">
        <fgColor rgb="FFF0F8FF"/>
      </patternFill>
    </fill>
    <fill>
      <patternFill patternType="solid">
        <fgColor theme="7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43" fontId="7" fillId="0" borderId="0" applyFont="0" applyFill="0" applyBorder="0" applyAlignment="0" applyProtection="0"/>
    <xf numFmtId="0" fontId="5" fillId="0" borderId="0"/>
    <xf numFmtId="0" fontId="23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7" fillId="0" borderId="0"/>
    <xf numFmtId="0" fontId="61" fillId="0" borderId="0"/>
    <xf numFmtId="0" fontId="1" fillId="0" borderId="0"/>
  </cellStyleXfs>
  <cellXfs count="214">
    <xf numFmtId="0" fontId="0" fillId="0" borderId="0" xfId="0"/>
    <xf numFmtId="0" fontId="6" fillId="0" borderId="1" xfId="0" applyFont="1" applyBorder="1"/>
    <xf numFmtId="0" fontId="0" fillId="0" borderId="2" xfId="0" applyBorder="1"/>
    <xf numFmtId="0" fontId="0" fillId="0" borderId="3" xfId="0" applyBorder="1"/>
    <xf numFmtId="0" fontId="0" fillId="5" borderId="2" xfId="0" applyFill="1" applyBorder="1"/>
    <xf numFmtId="0" fontId="23" fillId="0" borderId="0" xfId="3" applyAlignment="1">
      <alignment horizontal="left" vertical="top"/>
    </xf>
    <xf numFmtId="0" fontId="23" fillId="6" borderId="5" xfId="3" applyFill="1" applyBorder="1" applyAlignment="1">
      <alignment horizontal="left" vertical="top" wrapText="1"/>
    </xf>
    <xf numFmtId="0" fontId="23" fillId="6" borderId="5" xfId="3" applyFill="1" applyBorder="1" applyAlignment="1">
      <alignment horizontal="center" vertical="top" wrapText="1"/>
    </xf>
    <xf numFmtId="0" fontId="23" fillId="6" borderId="5" xfId="3" applyFill="1" applyBorder="1" applyAlignment="1">
      <alignment horizontal="left" vertical="top" wrapText="1" indent="2"/>
    </xf>
    <xf numFmtId="0" fontId="33" fillId="0" borderId="5" xfId="3" applyFont="1" applyBorder="1" applyAlignment="1">
      <alignment horizontal="center" vertical="center" wrapText="1"/>
    </xf>
    <xf numFmtId="0" fontId="33" fillId="0" borderId="5" xfId="3" applyFont="1" applyBorder="1" applyAlignment="1">
      <alignment horizontal="left" vertical="center" wrapText="1"/>
    </xf>
    <xf numFmtId="2" fontId="35" fillId="0" borderId="5" xfId="3" applyNumberFormat="1" applyFont="1" applyBorder="1" applyAlignment="1">
      <alignment horizontal="right" vertical="center" shrinkToFit="1"/>
    </xf>
    <xf numFmtId="0" fontId="33" fillId="0" borderId="5" xfId="3" applyFont="1" applyBorder="1" applyAlignment="1">
      <alignment horizontal="left" vertical="top" wrapText="1"/>
    </xf>
    <xf numFmtId="166" fontId="35" fillId="0" borderId="5" xfId="3" applyNumberFormat="1" applyFont="1" applyBorder="1" applyAlignment="1">
      <alignment horizontal="left" vertical="center" shrinkToFit="1"/>
    </xf>
    <xf numFmtId="0" fontId="33" fillId="0" borderId="5" xfId="3" applyFont="1" applyBorder="1" applyAlignment="1">
      <alignment horizontal="center" vertical="top" wrapText="1"/>
    </xf>
    <xf numFmtId="2" fontId="35" fillId="0" borderId="5" xfId="3" applyNumberFormat="1" applyFont="1" applyBorder="1" applyAlignment="1">
      <alignment horizontal="right" vertical="top" shrinkToFit="1"/>
    </xf>
    <xf numFmtId="0" fontId="23" fillId="0" borderId="5" xfId="3" applyBorder="1" applyAlignment="1">
      <alignment horizontal="left" vertical="top" wrapText="1"/>
    </xf>
    <xf numFmtId="166" fontId="35" fillId="0" borderId="5" xfId="3" applyNumberFormat="1" applyFont="1" applyBorder="1" applyAlignment="1">
      <alignment horizontal="left" vertical="top" shrinkToFit="1"/>
    </xf>
    <xf numFmtId="2" fontId="37" fillId="7" borderId="5" xfId="3" applyNumberFormat="1" applyFont="1" applyFill="1" applyBorder="1" applyAlignment="1">
      <alignment horizontal="right" vertical="top" shrinkToFit="1"/>
    </xf>
    <xf numFmtId="0" fontId="23" fillId="7" borderId="5" xfId="3" applyFill="1" applyBorder="1" applyAlignment="1">
      <alignment horizontal="left" vertical="center" wrapText="1"/>
    </xf>
    <xf numFmtId="0" fontId="34" fillId="4" borderId="5" xfId="3" applyFont="1" applyFill="1" applyBorder="1" applyAlignment="1">
      <alignment horizontal="left" vertical="center" wrapText="1"/>
    </xf>
    <xf numFmtId="0" fontId="34" fillId="0" borderId="5" xfId="3" applyFont="1" applyBorder="1" applyAlignment="1">
      <alignment horizontal="left" vertical="top" wrapText="1"/>
    </xf>
    <xf numFmtId="0" fontId="34" fillId="4" borderId="5" xfId="3" applyFont="1" applyFill="1" applyBorder="1" applyAlignment="1">
      <alignment horizontal="left" vertical="top" wrapText="1"/>
    </xf>
    <xf numFmtId="0" fontId="19" fillId="2" borderId="7" xfId="0" applyFont="1" applyFill="1" applyBorder="1" applyAlignment="1">
      <alignment horizontal="center" vertical="center" wrapText="1"/>
    </xf>
    <xf numFmtId="0" fontId="19" fillId="2" borderId="7" xfId="0" applyFont="1" applyFill="1" applyBorder="1" applyAlignment="1">
      <alignment horizontal="right" vertical="center" wrapText="1"/>
    </xf>
    <xf numFmtId="0" fontId="9" fillId="2" borderId="7" xfId="0" applyFont="1" applyFill="1" applyBorder="1" applyAlignment="1">
      <alignment horizontal="left" vertical="center" wrapText="1"/>
    </xf>
    <xf numFmtId="0" fontId="33" fillId="0" borderId="5" xfId="0" applyFont="1" applyBorder="1" applyAlignment="1">
      <alignment horizontal="center" vertical="center" wrapText="1"/>
    </xf>
    <xf numFmtId="0" fontId="33" fillId="0" borderId="5" xfId="0" applyFont="1" applyBorder="1" applyAlignment="1">
      <alignment horizontal="left" vertical="center" wrapText="1"/>
    </xf>
    <xf numFmtId="2" fontId="35" fillId="0" borderId="5" xfId="0" applyNumberFormat="1" applyFont="1" applyBorder="1" applyAlignment="1">
      <alignment horizontal="right" vertical="center" shrinkToFit="1"/>
    </xf>
    <xf numFmtId="4" fontId="35" fillId="0" borderId="5" xfId="0" applyNumberFormat="1" applyFont="1" applyBorder="1" applyAlignment="1">
      <alignment horizontal="right" vertical="center" shrinkToFit="1"/>
    </xf>
    <xf numFmtId="0" fontId="33" fillId="0" borderId="5" xfId="0" applyFont="1" applyBorder="1" applyAlignment="1">
      <alignment horizontal="left" vertical="top" wrapText="1"/>
    </xf>
    <xf numFmtId="166" fontId="35" fillId="0" borderId="5" xfId="0" applyNumberFormat="1" applyFont="1" applyBorder="1" applyAlignment="1">
      <alignment horizontal="left" vertical="center" shrinkToFit="1"/>
    </xf>
    <xf numFmtId="0" fontId="33" fillId="0" borderId="5" xfId="0" applyFont="1" applyBorder="1" applyAlignment="1">
      <alignment horizontal="center" vertical="top" wrapText="1"/>
    </xf>
    <xf numFmtId="2" fontId="35" fillId="0" borderId="5" xfId="0" applyNumberFormat="1" applyFont="1" applyBorder="1" applyAlignment="1">
      <alignment horizontal="right" vertical="top" shrinkToFit="1"/>
    </xf>
    <xf numFmtId="4" fontId="35" fillId="0" borderId="5" xfId="0" applyNumberFormat="1" applyFont="1" applyBorder="1" applyAlignment="1">
      <alignment horizontal="right" vertical="top" shrinkToFit="1"/>
    </xf>
    <xf numFmtId="0" fontId="0" fillId="0" borderId="5" xfId="0" applyBorder="1" applyAlignment="1">
      <alignment horizontal="left" vertical="top" wrapText="1"/>
    </xf>
    <xf numFmtId="166" fontId="35" fillId="0" borderId="5" xfId="0" applyNumberFormat="1" applyFont="1" applyBorder="1" applyAlignment="1">
      <alignment horizontal="left" vertical="top" shrinkToFit="1"/>
    </xf>
    <xf numFmtId="0" fontId="34" fillId="4" borderId="5" xfId="0" applyFont="1" applyFill="1" applyBorder="1" applyAlignment="1">
      <alignment horizontal="left" vertical="center" wrapText="1"/>
    </xf>
    <xf numFmtId="0" fontId="38" fillId="0" borderId="0" xfId="3" applyFont="1" applyAlignment="1">
      <alignment horizontal="left" vertical="top"/>
    </xf>
    <xf numFmtId="0" fontId="34" fillId="4" borderId="5" xfId="0" applyFont="1" applyFill="1" applyBorder="1" applyAlignment="1">
      <alignment horizontal="left" vertical="top" wrapText="1"/>
    </xf>
    <xf numFmtId="0" fontId="34" fillId="0" borderId="5" xfId="0" applyFont="1" applyBorder="1" applyAlignment="1">
      <alignment horizontal="left" vertical="center" wrapText="1"/>
    </xf>
    <xf numFmtId="0" fontId="34" fillId="0" borderId="5" xfId="0" applyFont="1" applyBorder="1" applyAlignment="1">
      <alignment horizontal="left" vertical="top" wrapText="1"/>
    </xf>
    <xf numFmtId="0" fontId="33" fillId="4" borderId="5" xfId="0" applyFont="1" applyFill="1" applyBorder="1" applyAlignment="1">
      <alignment horizontal="left" vertical="center" wrapText="1"/>
    </xf>
    <xf numFmtId="0" fontId="0" fillId="0" borderId="13" xfId="0" applyBorder="1"/>
    <xf numFmtId="0" fontId="40" fillId="0" borderId="2" xfId="0" applyFont="1" applyBorder="1"/>
    <xf numFmtId="164" fontId="40" fillId="0" borderId="2" xfId="1" applyNumberFormat="1" applyFont="1" applyBorder="1"/>
    <xf numFmtId="0" fontId="40" fillId="0" borderId="3" xfId="0" applyFont="1" applyBorder="1"/>
    <xf numFmtId="164" fontId="40" fillId="0" borderId="3" xfId="1" applyNumberFormat="1" applyFont="1" applyBorder="1"/>
    <xf numFmtId="164" fontId="39" fillId="0" borderId="0" xfId="1" applyNumberFormat="1" applyFont="1"/>
    <xf numFmtId="0" fontId="43" fillId="0" borderId="1" xfId="0" applyFont="1" applyBorder="1"/>
    <xf numFmtId="164" fontId="44" fillId="0" borderId="1" xfId="0" applyNumberFormat="1" applyFont="1" applyBorder="1"/>
    <xf numFmtId="0" fontId="43" fillId="0" borderId="8" xfId="0" applyFont="1" applyBorder="1"/>
    <xf numFmtId="0" fontId="43" fillId="0" borderId="2" xfId="0" applyFont="1" applyBorder="1"/>
    <xf numFmtId="0" fontId="44" fillId="0" borderId="2" xfId="0" applyFont="1" applyBorder="1"/>
    <xf numFmtId="164" fontId="44" fillId="0" borderId="2" xfId="1" applyNumberFormat="1" applyFont="1" applyBorder="1"/>
    <xf numFmtId="165" fontId="44" fillId="0" borderId="2" xfId="0" applyNumberFormat="1" applyFont="1" applyBorder="1"/>
    <xf numFmtId="0" fontId="43" fillId="0" borderId="3" xfId="0" applyFont="1" applyBorder="1"/>
    <xf numFmtId="164" fontId="44" fillId="0" borderId="3" xfId="1" applyNumberFormat="1" applyFont="1" applyBorder="1"/>
    <xf numFmtId="0" fontId="40" fillId="0" borderId="0" xfId="0" applyFont="1"/>
    <xf numFmtId="0" fontId="41" fillId="0" borderId="0" xfId="0" applyFont="1"/>
    <xf numFmtId="164" fontId="45" fillId="0" borderId="1" xfId="1" applyNumberFormat="1" applyFont="1" applyBorder="1"/>
    <xf numFmtId="164" fontId="40" fillId="0" borderId="2" xfId="1" applyNumberFormat="1" applyFont="1" applyBorder="1" applyAlignment="1">
      <alignment wrapText="1"/>
    </xf>
    <xf numFmtId="164" fontId="40" fillId="4" borderId="2" xfId="1" applyNumberFormat="1" applyFont="1" applyFill="1" applyBorder="1"/>
    <xf numFmtId="164" fontId="40" fillId="0" borderId="0" xfId="1" applyNumberFormat="1" applyFont="1"/>
    <xf numFmtId="0" fontId="40" fillId="4" borderId="2" xfId="0" applyFont="1" applyFill="1" applyBorder="1"/>
    <xf numFmtId="164" fontId="40" fillId="5" borderId="2" xfId="1" applyNumberFormat="1" applyFont="1" applyFill="1" applyBorder="1"/>
    <xf numFmtId="0" fontId="0" fillId="0" borderId="14" xfId="0" applyBorder="1"/>
    <xf numFmtId="0" fontId="46" fillId="0" borderId="2" xfId="0" applyFont="1" applyBorder="1" applyAlignment="1">
      <alignment horizontal="left" vertical="center" wrapText="1"/>
    </xf>
    <xf numFmtId="0" fontId="40" fillId="5" borderId="2" xfId="0" applyFont="1" applyFill="1" applyBorder="1"/>
    <xf numFmtId="0" fontId="42" fillId="2" borderId="2" xfId="2" applyFont="1" applyFill="1" applyBorder="1" applyAlignment="1">
      <alignment vertical="center" wrapText="1"/>
    </xf>
    <xf numFmtId="164" fontId="41" fillId="0" borderId="0" xfId="1" applyNumberFormat="1" applyFont="1"/>
    <xf numFmtId="0" fontId="47" fillId="8" borderId="17" xfId="4" applyFont="1" applyFill="1" applyBorder="1" applyAlignment="1">
      <alignment horizontal="center"/>
    </xf>
    <xf numFmtId="0" fontId="48" fillId="0" borderId="0" xfId="4" applyFont="1"/>
    <xf numFmtId="49" fontId="49" fillId="0" borderId="17" xfId="4" applyNumberFormat="1" applyFont="1" applyBorder="1" applyAlignment="1">
      <alignment horizontal="center" vertical="center" wrapText="1"/>
    </xf>
    <xf numFmtId="0" fontId="50" fillId="0" borderId="17" xfId="4" applyFont="1" applyBorder="1"/>
    <xf numFmtId="14" fontId="51" fillId="0" borderId="0" xfId="4" applyNumberFormat="1" applyFont="1"/>
    <xf numFmtId="0" fontId="51" fillId="0" borderId="0" xfId="4" applyFont="1"/>
    <xf numFmtId="0" fontId="51" fillId="0" borderId="0" xfId="4" quotePrefix="1" applyFont="1"/>
    <xf numFmtId="0" fontId="50" fillId="0" borderId="0" xfId="4" applyFont="1"/>
    <xf numFmtId="49" fontId="4" fillId="0" borderId="0" xfId="4" applyNumberFormat="1"/>
    <xf numFmtId="0" fontId="50" fillId="5" borderId="17" xfId="4" applyFont="1" applyFill="1" applyBorder="1"/>
    <xf numFmtId="0" fontId="50" fillId="4" borderId="17" xfId="4" applyFont="1" applyFill="1" applyBorder="1"/>
    <xf numFmtId="0" fontId="52" fillId="0" borderId="1" xfId="4" applyFont="1" applyBorder="1"/>
    <xf numFmtId="0" fontId="48" fillId="0" borderId="1" xfId="4" applyFont="1" applyBorder="1"/>
    <xf numFmtId="0" fontId="52" fillId="0" borderId="8" xfId="4" applyFont="1" applyBorder="1"/>
    <xf numFmtId="164" fontId="48" fillId="0" borderId="8" xfId="4" applyNumberFormat="1" applyFont="1" applyBorder="1"/>
    <xf numFmtId="0" fontId="52" fillId="0" borderId="2" xfId="4" applyFont="1" applyBorder="1"/>
    <xf numFmtId="0" fontId="48" fillId="0" borderId="2" xfId="4" applyFont="1" applyBorder="1"/>
    <xf numFmtId="164" fontId="48" fillId="0" borderId="2" xfId="5" applyNumberFormat="1" applyFont="1" applyBorder="1"/>
    <xf numFmtId="165" fontId="48" fillId="0" borderId="2" xfId="4" applyNumberFormat="1" applyFont="1" applyBorder="1"/>
    <xf numFmtId="0" fontId="48" fillId="0" borderId="3" xfId="4" applyFont="1" applyBorder="1"/>
    <xf numFmtId="164" fontId="48" fillId="0" borderId="3" xfId="5" applyNumberFormat="1" applyFont="1" applyBorder="1"/>
    <xf numFmtId="3" fontId="35" fillId="0" borderId="5" xfId="0" applyNumberFormat="1" applyFont="1" applyBorder="1" applyAlignment="1">
      <alignment horizontal="right" vertical="center" shrinkToFit="1"/>
    </xf>
    <xf numFmtId="3" fontId="35" fillId="0" borderId="5" xfId="0" applyNumberFormat="1" applyFont="1" applyBorder="1" applyAlignment="1">
      <alignment horizontal="right" vertical="top" shrinkToFit="1"/>
    </xf>
    <xf numFmtId="3" fontId="35" fillId="0" borderId="5" xfId="1" applyNumberFormat="1" applyFont="1" applyBorder="1" applyAlignment="1">
      <alignment horizontal="right" vertical="center" shrinkToFit="1"/>
    </xf>
    <xf numFmtId="3" fontId="35" fillId="0" borderId="5" xfId="3" applyNumberFormat="1" applyFont="1" applyBorder="1" applyAlignment="1">
      <alignment horizontal="right" vertical="center" shrinkToFit="1"/>
    </xf>
    <xf numFmtId="3" fontId="35" fillId="0" borderId="5" xfId="3" applyNumberFormat="1" applyFont="1" applyBorder="1" applyAlignment="1">
      <alignment horizontal="right" vertical="top" shrinkToFit="1"/>
    </xf>
    <xf numFmtId="3" fontId="23" fillId="7" borderId="5" xfId="3" applyNumberFormat="1" applyFill="1" applyBorder="1" applyAlignment="1">
      <alignment horizontal="right" vertical="top" wrapText="1"/>
    </xf>
    <xf numFmtId="0" fontId="55" fillId="0" borderId="0" xfId="0" applyFont="1"/>
    <xf numFmtId="0" fontId="4" fillId="2" borderId="0" xfId="6" applyFill="1" applyAlignment="1" applyProtection="1">
      <alignment wrapText="1"/>
      <protection locked="0"/>
    </xf>
    <xf numFmtId="164" fontId="4" fillId="0" borderId="0" xfId="5" applyNumberFormat="1"/>
    <xf numFmtId="0" fontId="4" fillId="0" borderId="0" xfId="6"/>
    <xf numFmtId="0" fontId="17" fillId="3" borderId="5" xfId="6" applyFont="1" applyFill="1" applyBorder="1" applyAlignment="1">
      <alignment horizontal="center" vertical="center" wrapText="1"/>
    </xf>
    <xf numFmtId="0" fontId="18" fillId="3" borderId="5" xfId="6" applyFont="1" applyFill="1" applyBorder="1" applyAlignment="1">
      <alignment horizontal="center" vertical="center" wrapText="1"/>
    </xf>
    <xf numFmtId="0" fontId="19" fillId="2" borderId="7" xfId="7" applyFont="1" applyFill="1" applyBorder="1" applyAlignment="1">
      <alignment horizontal="center" vertical="center" wrapText="1"/>
    </xf>
    <xf numFmtId="0" fontId="19" fillId="2" borderId="7" xfId="7" applyFont="1" applyFill="1" applyBorder="1" applyAlignment="1">
      <alignment horizontal="right" vertical="center" wrapText="1"/>
    </xf>
    <xf numFmtId="3" fontId="19" fillId="2" borderId="7" xfId="7" applyNumberFormat="1" applyFont="1" applyFill="1" applyBorder="1" applyAlignment="1">
      <alignment horizontal="right" vertical="center" wrapText="1"/>
    </xf>
    <xf numFmtId="0" fontId="9" fillId="2" borderId="7" xfId="7" applyFont="1" applyFill="1" applyBorder="1" applyAlignment="1">
      <alignment horizontal="left" vertical="center" wrapText="1"/>
    </xf>
    <xf numFmtId="164" fontId="4" fillId="0" borderId="0" xfId="6" applyNumberFormat="1"/>
    <xf numFmtId="0" fontId="19" fillId="2" borderId="7" xfId="6" applyFont="1" applyFill="1" applyBorder="1" applyAlignment="1">
      <alignment horizontal="center" vertical="center" wrapText="1"/>
    </xf>
    <xf numFmtId="0" fontId="19" fillId="2" borderId="7" xfId="6" applyFont="1" applyFill="1" applyBorder="1" applyAlignment="1">
      <alignment horizontal="right" vertical="center" wrapText="1"/>
    </xf>
    <xf numFmtId="3" fontId="19" fillId="2" borderId="7" xfId="6" applyNumberFormat="1" applyFont="1" applyFill="1" applyBorder="1" applyAlignment="1">
      <alignment horizontal="right" vertical="center" wrapText="1"/>
    </xf>
    <xf numFmtId="0" fontId="9" fillId="2" borderId="7" xfId="6" applyFont="1" applyFill="1" applyBorder="1" applyAlignment="1">
      <alignment horizontal="left" vertical="center" wrapText="1"/>
    </xf>
    <xf numFmtId="0" fontId="19" fillId="3" borderId="5" xfId="6" applyFont="1" applyFill="1" applyBorder="1" applyAlignment="1">
      <alignment horizontal="left" vertical="top" wrapText="1"/>
    </xf>
    <xf numFmtId="0" fontId="17" fillId="3" borderId="5" xfId="6" applyFont="1" applyFill="1" applyBorder="1" applyAlignment="1">
      <alignment horizontal="right" vertical="center" wrapText="1"/>
    </xf>
    <xf numFmtId="3" fontId="17" fillId="3" borderId="5" xfId="6" applyNumberFormat="1" applyFont="1" applyFill="1" applyBorder="1" applyAlignment="1">
      <alignment horizontal="right" vertical="center" wrapText="1"/>
    </xf>
    <xf numFmtId="164" fontId="3" fillId="0" borderId="0" xfId="5" applyNumberFormat="1" applyFont="1"/>
    <xf numFmtId="0" fontId="19" fillId="2" borderId="7" xfId="0" applyFont="1" applyFill="1" applyBorder="1" applyAlignment="1">
      <alignment horizontal="left" vertical="center" wrapText="1"/>
    </xf>
    <xf numFmtId="0" fontId="57" fillId="0" borderId="15" xfId="0" applyFont="1" applyBorder="1" applyAlignment="1">
      <alignment wrapText="1"/>
    </xf>
    <xf numFmtId="0" fontId="58" fillId="0" borderId="11" xfId="0" applyFont="1" applyBorder="1"/>
    <xf numFmtId="0" fontId="58" fillId="0" borderId="0" xfId="0" applyFont="1"/>
    <xf numFmtId="0" fontId="58" fillId="0" borderId="12" xfId="0" applyFont="1" applyBorder="1"/>
    <xf numFmtId="164" fontId="59" fillId="0" borderId="1" xfId="1" applyNumberFormat="1" applyFont="1" applyBorder="1" applyAlignment="1">
      <alignment wrapText="1"/>
    </xf>
    <xf numFmtId="164" fontId="41" fillId="0" borderId="2" xfId="1" applyNumberFormat="1" applyFont="1" applyBorder="1"/>
    <xf numFmtId="0" fontId="41" fillId="0" borderId="2" xfId="0" applyFont="1" applyBorder="1"/>
    <xf numFmtId="164" fontId="41" fillId="0" borderId="3" xfId="1" applyNumberFormat="1" applyFont="1" applyBorder="1"/>
    <xf numFmtId="164" fontId="41" fillId="4" borderId="2" xfId="1" applyNumberFormat="1" applyFont="1" applyFill="1" applyBorder="1"/>
    <xf numFmtId="164" fontId="41" fillId="5" borderId="2" xfId="1" applyNumberFormat="1" applyFont="1" applyFill="1" applyBorder="1"/>
    <xf numFmtId="0" fontId="41" fillId="5" borderId="2" xfId="0" applyFont="1" applyFill="1" applyBorder="1"/>
    <xf numFmtId="0" fontId="58" fillId="4" borderId="11" xfId="0" applyFont="1" applyFill="1" applyBorder="1"/>
    <xf numFmtId="0" fontId="58" fillId="5" borderId="11" xfId="0" applyFont="1" applyFill="1" applyBorder="1"/>
    <xf numFmtId="0" fontId="58" fillId="5" borderId="0" xfId="0" applyFont="1" applyFill="1"/>
    <xf numFmtId="0" fontId="59" fillId="0" borderId="1" xfId="0" applyFont="1" applyBorder="1" applyAlignment="1">
      <alignment wrapText="1"/>
    </xf>
    <xf numFmtId="0" fontId="41" fillId="0" borderId="3" xfId="0" applyFont="1" applyBorder="1"/>
    <xf numFmtId="0" fontId="41" fillId="4" borderId="2" xfId="0" applyFont="1" applyFill="1" applyBorder="1"/>
    <xf numFmtId="164" fontId="59" fillId="0" borderId="1" xfId="1" applyNumberFormat="1" applyFont="1" applyBorder="1"/>
    <xf numFmtId="0" fontId="59" fillId="0" borderId="1" xfId="0" applyFont="1" applyBorder="1"/>
    <xf numFmtId="0" fontId="57" fillId="0" borderId="16" xfId="0" applyFont="1" applyBorder="1"/>
    <xf numFmtId="0" fontId="60" fillId="0" borderId="5" xfId="0" applyFont="1" applyBorder="1" applyAlignment="1">
      <alignment horizontal="left" vertical="top" wrapText="1"/>
    </xf>
    <xf numFmtId="0" fontId="19" fillId="2" borderId="7" xfId="0" applyFont="1" applyFill="1" applyBorder="1" applyAlignment="1">
      <alignment vertical="center" wrapText="1"/>
    </xf>
    <xf numFmtId="164" fontId="23" fillId="0" borderId="0" xfId="1" applyNumberFormat="1" applyFont="1" applyAlignment="1">
      <alignment horizontal="left" vertical="top"/>
    </xf>
    <xf numFmtId="164" fontId="23" fillId="6" borderId="5" xfId="1" applyNumberFormat="1" applyFont="1" applyFill="1" applyBorder="1" applyAlignment="1">
      <alignment horizontal="center" vertical="top" wrapText="1"/>
    </xf>
    <xf numFmtId="164" fontId="35" fillId="0" borderId="5" xfId="1" applyNumberFormat="1" applyFont="1" applyBorder="1" applyAlignment="1">
      <alignment horizontal="right" vertical="center" shrinkToFit="1"/>
    </xf>
    <xf numFmtId="164" fontId="2" fillId="0" borderId="0" xfId="5" applyNumberFormat="1" applyFont="1"/>
    <xf numFmtId="0" fontId="33" fillId="0" borderId="5" xfId="0" applyFont="1" applyBorder="1" applyAlignment="1">
      <alignment horizontal="right" vertical="center" wrapText="1"/>
    </xf>
    <xf numFmtId="0" fontId="0" fillId="0" borderId="0" xfId="0" applyAlignment="1">
      <alignment horizontal="left" vertical="top"/>
    </xf>
    <xf numFmtId="0" fontId="62" fillId="0" borderId="5" xfId="8" applyFont="1" applyBorder="1" applyAlignment="1">
      <alignment horizontal="center" vertical="center" wrapText="1"/>
    </xf>
    <xf numFmtId="0" fontId="62" fillId="0" borderId="5" xfId="8" applyFont="1" applyBorder="1" applyAlignment="1">
      <alignment horizontal="left" vertical="center" wrapText="1"/>
    </xf>
    <xf numFmtId="2" fontId="35" fillId="0" borderId="5" xfId="8" applyNumberFormat="1" applyFont="1" applyBorder="1" applyAlignment="1">
      <alignment horizontal="right" vertical="center" shrinkToFit="1"/>
    </xf>
    <xf numFmtId="4" fontId="35" fillId="0" borderId="5" xfId="8" applyNumberFormat="1" applyFont="1" applyBorder="1" applyAlignment="1">
      <alignment horizontal="right" vertical="center" shrinkToFit="1"/>
    </xf>
    <xf numFmtId="0" fontId="62" fillId="0" borderId="5" xfId="8" applyFont="1" applyBorder="1" applyAlignment="1">
      <alignment horizontal="left" vertical="top" wrapText="1"/>
    </xf>
    <xf numFmtId="166" fontId="35" fillId="0" borderId="5" xfId="8" applyNumberFormat="1" applyFont="1" applyBorder="1" applyAlignment="1">
      <alignment horizontal="left" vertical="center" shrinkToFit="1"/>
    </xf>
    <xf numFmtId="0" fontId="62" fillId="0" borderId="5" xfId="8" applyFont="1" applyBorder="1" applyAlignment="1">
      <alignment horizontal="center" vertical="top" wrapText="1"/>
    </xf>
    <xf numFmtId="2" fontId="35" fillId="0" borderId="5" xfId="8" applyNumberFormat="1" applyFont="1" applyBorder="1" applyAlignment="1">
      <alignment horizontal="right" vertical="top" shrinkToFit="1"/>
    </xf>
    <xf numFmtId="4" fontId="35" fillId="0" borderId="5" xfId="8" applyNumberFormat="1" applyFont="1" applyBorder="1" applyAlignment="1">
      <alignment horizontal="right" vertical="top" shrinkToFit="1"/>
    </xf>
    <xf numFmtId="0" fontId="61" fillId="0" borderId="5" xfId="8" applyBorder="1" applyAlignment="1">
      <alignment horizontal="left" vertical="top" wrapText="1"/>
    </xf>
    <xf numFmtId="166" fontId="35" fillId="0" borderId="5" xfId="8" applyNumberFormat="1" applyFont="1" applyBorder="1" applyAlignment="1">
      <alignment horizontal="left" vertical="top" shrinkToFit="1"/>
    </xf>
    <xf numFmtId="0" fontId="62" fillId="0" borderId="5" xfId="0" applyFont="1" applyBorder="1" applyAlignment="1">
      <alignment horizontal="center" vertical="top" wrapText="1"/>
    </xf>
    <xf numFmtId="0" fontId="62" fillId="0" borderId="5" xfId="0" applyFont="1" applyBorder="1" applyAlignment="1">
      <alignment horizontal="left" vertical="top" wrapText="1"/>
    </xf>
    <xf numFmtId="0" fontId="62" fillId="0" borderId="5" xfId="0" applyFont="1" applyBorder="1" applyAlignment="1">
      <alignment horizontal="center" vertical="center" wrapText="1"/>
    </xf>
    <xf numFmtId="0" fontId="62" fillId="0" borderId="5" xfId="0" applyFont="1" applyBorder="1" applyAlignment="1">
      <alignment horizontal="left" vertical="center" wrapText="1"/>
    </xf>
    <xf numFmtId="0" fontId="34" fillId="4" borderId="5" xfId="8" applyFont="1" applyFill="1" applyBorder="1" applyAlignment="1">
      <alignment horizontal="left" vertical="center" wrapText="1"/>
    </xf>
    <xf numFmtId="0" fontId="34" fillId="4" borderId="5" xfId="8" applyFont="1" applyFill="1" applyBorder="1" applyAlignment="1">
      <alignment horizontal="left" vertical="top" wrapText="1"/>
    </xf>
    <xf numFmtId="0" fontId="19" fillId="2" borderId="7" xfId="9" applyFont="1" applyFill="1" applyBorder="1" applyAlignment="1">
      <alignment horizontal="center" vertical="center" wrapText="1"/>
    </xf>
    <xf numFmtId="0" fontId="19" fillId="2" borderId="7" xfId="9" applyFont="1" applyFill="1" applyBorder="1" applyAlignment="1">
      <alignment horizontal="right" vertical="center" wrapText="1"/>
    </xf>
    <xf numFmtId="0" fontId="9" fillId="2" borderId="7" xfId="9" applyFont="1" applyFill="1" applyBorder="1" applyAlignment="1">
      <alignment horizontal="left" vertical="center" wrapText="1"/>
    </xf>
    <xf numFmtId="164" fontId="40" fillId="5" borderId="2" xfId="1" applyNumberFormat="1" applyFont="1" applyFill="1" applyBorder="1" applyAlignment="1">
      <alignment wrapText="1"/>
    </xf>
    <xf numFmtId="166" fontId="35" fillId="0" borderId="5" xfId="0" applyNumberFormat="1" applyFont="1" applyBorder="1" applyAlignment="1">
      <alignment horizontal="center" vertical="center" shrinkToFit="1"/>
    </xf>
    <xf numFmtId="166" fontId="35" fillId="0" borderId="5" xfId="0" applyNumberFormat="1" applyFont="1" applyBorder="1" applyAlignment="1">
      <alignment horizontal="center" vertical="top" shrinkToFit="1"/>
    </xf>
    <xf numFmtId="3" fontId="35" fillId="0" borderId="5" xfId="1" applyNumberFormat="1" applyFont="1" applyBorder="1" applyAlignment="1">
      <alignment horizontal="right" vertical="top" shrinkToFit="1"/>
    </xf>
    <xf numFmtId="164" fontId="63" fillId="4" borderId="2" xfId="1" applyNumberFormat="1" applyFont="1" applyFill="1" applyBorder="1"/>
    <xf numFmtId="0" fontId="56" fillId="4" borderId="0" xfId="0" applyFont="1" applyFill="1"/>
    <xf numFmtId="0" fontId="65" fillId="4" borderId="5" xfId="0" applyFont="1" applyFill="1" applyBorder="1" applyAlignment="1">
      <alignment horizontal="left" vertical="center" wrapText="1"/>
    </xf>
    <xf numFmtId="164" fontId="63" fillId="5" borderId="2" xfId="1" applyNumberFormat="1" applyFont="1" applyFill="1" applyBorder="1"/>
    <xf numFmtId="0" fontId="0" fillId="5" borderId="13" xfId="0" applyFill="1" applyBorder="1"/>
    <xf numFmtId="0" fontId="0" fillId="5" borderId="0" xfId="0" applyFill="1"/>
    <xf numFmtId="165" fontId="41" fillId="0" borderId="0" xfId="1" applyNumberFormat="1" applyFont="1"/>
    <xf numFmtId="164" fontId="40" fillId="4" borderId="2" xfId="1" applyNumberFormat="1" applyFont="1" applyFill="1" applyBorder="1" applyAlignment="1">
      <alignment wrapText="1"/>
    </xf>
    <xf numFmtId="0" fontId="19" fillId="2" borderId="6" xfId="0" applyFont="1" applyFill="1" applyBorder="1" applyAlignment="1">
      <alignment horizontal="center" vertical="center" wrapText="1"/>
    </xf>
    <xf numFmtId="0" fontId="19" fillId="2" borderId="7" xfId="0" applyFont="1" applyFill="1" applyBorder="1" applyAlignment="1">
      <alignment horizontal="center" vertical="center" wrapText="1"/>
    </xf>
    <xf numFmtId="0" fontId="19" fillId="2" borderId="7" xfId="0" applyFont="1" applyFill="1" applyBorder="1" applyAlignment="1">
      <alignment horizontal="right" vertical="center" wrapText="1"/>
    </xf>
    <xf numFmtId="0" fontId="19" fillId="2" borderId="7" xfId="0" applyFont="1" applyFill="1" applyBorder="1" applyAlignment="1">
      <alignment horizontal="left" vertical="center" wrapText="1"/>
    </xf>
    <xf numFmtId="0" fontId="19" fillId="4" borderId="7" xfId="0" applyFont="1" applyFill="1" applyBorder="1" applyAlignment="1">
      <alignment horizontal="center" vertical="center" wrapText="1"/>
    </xf>
    <xf numFmtId="0" fontId="19" fillId="2" borderId="7" xfId="9" applyFont="1" applyFill="1" applyBorder="1" applyAlignment="1">
      <alignment horizontal="center" vertical="center" wrapText="1"/>
    </xf>
    <xf numFmtId="0" fontId="19" fillId="2" borderId="7" xfId="9" applyFont="1" applyFill="1" applyBorder="1" applyAlignment="1">
      <alignment horizontal="right" vertical="center" wrapText="1"/>
    </xf>
    <xf numFmtId="0" fontId="19" fillId="2" borderId="7" xfId="9" applyFont="1" applyFill="1" applyBorder="1" applyAlignment="1">
      <alignment horizontal="left" vertical="center" wrapText="1"/>
    </xf>
    <xf numFmtId="0" fontId="19" fillId="4" borderId="7" xfId="9" applyFont="1" applyFill="1" applyBorder="1" applyAlignment="1">
      <alignment horizontal="center" vertical="center" wrapText="1"/>
    </xf>
    <xf numFmtId="0" fontId="20" fillId="2" borderId="0" xfId="6" applyFont="1" applyFill="1" applyAlignment="1">
      <alignment horizontal="center" vertical="center" wrapText="1"/>
    </xf>
    <xf numFmtId="0" fontId="19" fillId="3" borderId="5" xfId="6" applyFont="1" applyFill="1" applyBorder="1" applyAlignment="1">
      <alignment horizontal="left" vertical="top" wrapText="1"/>
    </xf>
    <xf numFmtId="0" fontId="9" fillId="2" borderId="0" xfId="6" applyFont="1" applyFill="1" applyAlignment="1">
      <alignment horizontal="left" vertical="top" wrapText="1"/>
    </xf>
    <xf numFmtId="0" fontId="19" fillId="2" borderId="7" xfId="6" applyFont="1" applyFill="1" applyBorder="1" applyAlignment="1">
      <alignment horizontal="center" vertical="center" wrapText="1"/>
    </xf>
    <xf numFmtId="0" fontId="19" fillId="2" borderId="7" xfId="6" applyFont="1" applyFill="1" applyBorder="1" applyAlignment="1">
      <alignment horizontal="right" vertical="center" wrapText="1"/>
    </xf>
    <xf numFmtId="0" fontId="19" fillId="2" borderId="7" xfId="6" applyFont="1" applyFill="1" applyBorder="1" applyAlignment="1">
      <alignment horizontal="left" vertical="center" wrapText="1"/>
    </xf>
    <xf numFmtId="0" fontId="19" fillId="4" borderId="7" xfId="6" applyFont="1" applyFill="1" applyBorder="1" applyAlignment="1">
      <alignment horizontal="center" vertical="center" wrapText="1"/>
    </xf>
    <xf numFmtId="0" fontId="19" fillId="2" borderId="7" xfId="7" applyFont="1" applyFill="1" applyBorder="1" applyAlignment="1">
      <alignment horizontal="center" vertical="center" wrapText="1"/>
    </xf>
    <xf numFmtId="0" fontId="19" fillId="2" borderId="7" xfId="7" applyFont="1" applyFill="1" applyBorder="1" applyAlignment="1">
      <alignment horizontal="right" vertical="center" wrapText="1"/>
    </xf>
    <xf numFmtId="0" fontId="19" fillId="2" borderId="7" xfId="7" applyFont="1" applyFill="1" applyBorder="1" applyAlignment="1">
      <alignment horizontal="left" vertical="center" wrapText="1"/>
    </xf>
    <xf numFmtId="0" fontId="19" fillId="4" borderId="7" xfId="7" applyFont="1" applyFill="1" applyBorder="1" applyAlignment="1">
      <alignment horizontal="center" vertical="center" wrapText="1"/>
    </xf>
    <xf numFmtId="0" fontId="4" fillId="2" borderId="0" xfId="6" applyFill="1" applyAlignment="1" applyProtection="1">
      <alignment wrapText="1"/>
      <protection locked="0"/>
    </xf>
    <xf numFmtId="0" fontId="8" fillId="2" borderId="0" xfId="6" applyFont="1" applyFill="1" applyAlignment="1">
      <alignment horizontal="center" vertical="center" wrapText="1"/>
    </xf>
    <xf numFmtId="0" fontId="9" fillId="2" borderId="0" xfId="6" applyFont="1" applyFill="1" applyAlignment="1">
      <alignment horizontal="center" vertical="center" wrapText="1"/>
    </xf>
    <xf numFmtId="0" fontId="4" fillId="2" borderId="4" xfId="6" applyFill="1" applyBorder="1" applyAlignment="1" applyProtection="1">
      <alignment wrapText="1"/>
      <protection locked="0"/>
    </xf>
    <xf numFmtId="0" fontId="13" fillId="2" borderId="0" xfId="6" applyFont="1" applyFill="1" applyAlignment="1">
      <alignment horizontal="left" vertical="center" wrapText="1"/>
    </xf>
    <xf numFmtId="0" fontId="9" fillId="2" borderId="0" xfId="6" applyFont="1" applyFill="1" applyAlignment="1">
      <alignment horizontal="left" vertical="center" wrapText="1"/>
    </xf>
    <xf numFmtId="0" fontId="17" fillId="3" borderId="5" xfId="6" applyFont="1" applyFill="1" applyBorder="1" applyAlignment="1">
      <alignment horizontal="center" vertical="center" wrapText="1"/>
    </xf>
    <xf numFmtId="0" fontId="18" fillId="3" borderId="5" xfId="6" applyFont="1" applyFill="1" applyBorder="1" applyAlignment="1">
      <alignment horizontal="center" vertical="center" wrapText="1"/>
    </xf>
    <xf numFmtId="0" fontId="23" fillId="0" borderId="0" xfId="3" applyAlignment="1">
      <alignment horizontal="left" vertical="top" wrapText="1" indent="30"/>
    </xf>
    <xf numFmtId="164" fontId="23" fillId="0" borderId="0" xfId="1" applyNumberFormat="1" applyFont="1" applyAlignment="1">
      <alignment horizontal="left" vertical="top" wrapText="1" indent="30"/>
    </xf>
    <xf numFmtId="0" fontId="23" fillId="0" borderId="0" xfId="3" applyAlignment="1">
      <alignment horizontal="left" vertical="top" wrapText="1" indent="1"/>
    </xf>
    <xf numFmtId="164" fontId="23" fillId="0" borderId="0" xfId="1" applyNumberFormat="1" applyFont="1" applyAlignment="1">
      <alignment horizontal="left" vertical="top" wrapText="1" indent="1"/>
    </xf>
    <xf numFmtId="0" fontId="23" fillId="0" borderId="0" xfId="3" applyAlignment="1">
      <alignment horizontal="left" vertical="top" wrapText="1" indent="3"/>
    </xf>
    <xf numFmtId="164" fontId="23" fillId="0" borderId="0" xfId="1" applyNumberFormat="1" applyFont="1" applyAlignment="1">
      <alignment horizontal="left" vertical="top" wrapText="1" indent="3"/>
    </xf>
    <xf numFmtId="0" fontId="36" fillId="7" borderId="9" xfId="3" applyFont="1" applyFill="1" applyBorder="1" applyAlignment="1">
      <alignment horizontal="left" vertical="top" wrapText="1" indent="6"/>
    </xf>
    <xf numFmtId="0" fontId="36" fillId="7" borderId="10" xfId="3" applyFont="1" applyFill="1" applyBorder="1" applyAlignment="1">
      <alignment horizontal="left" vertical="top" wrapText="1" indent="6"/>
    </xf>
  </cellXfs>
  <cellStyles count="10">
    <cellStyle name="Comma" xfId="1" builtinId="3"/>
    <cellStyle name="Comma 2" xfId="5" xr:uid="{09063F01-C901-4FE9-B028-DEA9B59F6C72}"/>
    <cellStyle name="Normal" xfId="0" builtinId="0"/>
    <cellStyle name="Normal 2" xfId="2" xr:uid="{13A1ECFC-7C0D-400B-9933-28ED41632CE8}"/>
    <cellStyle name="Normal 2 2" xfId="6" xr:uid="{BCA0B202-514B-463D-BD87-B7F18CE31787}"/>
    <cellStyle name="Normal 3" xfId="3" xr:uid="{BEA37D1A-3662-4310-8F98-0CCD9DF04631}"/>
    <cellStyle name="Normal 3 2" xfId="7" xr:uid="{21A658D1-D441-4F46-B5F9-5B6AB256D268}"/>
    <cellStyle name="Normal 4" xfId="4" xr:uid="{28E6EC9D-EF1A-4B09-BFCE-4B0911724503}"/>
    <cellStyle name="Normal 5" xfId="8" xr:uid="{6D31B8BF-AD3E-4304-86B3-D96FF1B55749}"/>
    <cellStyle name="Normal 6" xfId="9" xr:uid="{17D5DD2C-1459-4A46-9006-13D568B762A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478280" cy="762000"/>
    <xdr:pic>
      <xdr:nvPicPr>
        <xdr:cNvPr id="2" name="Picture">
          <a:extLst>
            <a:ext uri="{FF2B5EF4-FFF2-40B4-BE49-F238E27FC236}">
              <a16:creationId xmlns:a16="http://schemas.microsoft.com/office/drawing/2014/main" id="{7CD2381D-D253-4A50-9264-C8959FD7D1A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t="10000" b="10000"/>
        </a:stretch>
      </xdr:blipFill>
      <xdr:spPr>
        <a:xfrm>
          <a:off x="53340" y="0"/>
          <a:ext cx="1478280" cy="7620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76200</xdr:colOff>
      <xdr:row>0</xdr:row>
      <xdr:rowOff>222681</xdr:rowOff>
    </xdr:from>
    <xdr:ext cx="1130300" cy="473201"/>
    <xdr:pic>
      <xdr:nvPicPr>
        <xdr:cNvPr id="2" name="image2.png">
          <a:extLst>
            <a:ext uri="{FF2B5EF4-FFF2-40B4-BE49-F238E27FC236}">
              <a16:creationId xmlns:a16="http://schemas.microsoft.com/office/drawing/2014/main" id="{9962533E-A1D6-436E-9B5F-E15E6BA3F1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222681"/>
          <a:ext cx="1130300" cy="473201"/>
        </a:xfrm>
        <a:prstGeom prst="rect">
          <a:avLst/>
        </a:prstGeom>
      </xdr:spPr>
    </xdr:pic>
    <xdr:clientData/>
  </xdr:oneCellAnchor>
  <xdr:oneCellAnchor>
    <xdr:from>
      <xdr:col>1</xdr:col>
      <xdr:colOff>254000</xdr:colOff>
      <xdr:row>2</xdr:row>
      <xdr:rowOff>346709</xdr:rowOff>
    </xdr:from>
    <xdr:ext cx="10223500" cy="0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64BBE3BC-127B-4462-AD9D-7EB3B6023ED5}"/>
            </a:ext>
          </a:extLst>
        </xdr:cNvPr>
        <xdr:cNvSpPr/>
      </xdr:nvSpPr>
      <xdr:spPr>
        <a:xfrm>
          <a:off x="254000" y="1817369"/>
          <a:ext cx="10223500" cy="0"/>
        </a:xfrm>
        <a:custGeom>
          <a:avLst/>
          <a:gdLst/>
          <a:ahLst/>
          <a:cxnLst/>
          <a:rect l="0" t="0" r="0" b="0"/>
          <a:pathLst>
            <a:path w="10223500">
              <a:moveTo>
                <a:pt x="0" y="0"/>
              </a:moveTo>
              <a:lnTo>
                <a:pt x="1022350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</xdr:col>
      <xdr:colOff>254000</xdr:colOff>
      <xdr:row>2</xdr:row>
      <xdr:rowOff>334009</xdr:rowOff>
    </xdr:from>
    <xdr:ext cx="10223500" cy="0"/>
    <xdr:sp macro="" textlink="">
      <xdr:nvSpPr>
        <xdr:cNvPr id="4" name="Shape 5">
          <a:extLst>
            <a:ext uri="{FF2B5EF4-FFF2-40B4-BE49-F238E27FC236}">
              <a16:creationId xmlns:a16="http://schemas.microsoft.com/office/drawing/2014/main" id="{8BABE5FA-A36A-463A-9BDF-C5063DFF6DD2}"/>
            </a:ext>
          </a:extLst>
        </xdr:cNvPr>
        <xdr:cNvSpPr/>
      </xdr:nvSpPr>
      <xdr:spPr>
        <a:xfrm>
          <a:off x="254000" y="1804669"/>
          <a:ext cx="10223500" cy="0"/>
        </a:xfrm>
        <a:custGeom>
          <a:avLst/>
          <a:gdLst/>
          <a:ahLst/>
          <a:cxnLst/>
          <a:rect l="0" t="0" r="0" b="0"/>
          <a:pathLst>
            <a:path w="10223500">
              <a:moveTo>
                <a:pt x="0" y="0"/>
              </a:moveTo>
              <a:lnTo>
                <a:pt x="1022350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7</xdr:col>
      <xdr:colOff>202079</xdr:colOff>
      <xdr:row>0</xdr:row>
      <xdr:rowOff>13585</xdr:rowOff>
    </xdr:from>
    <xdr:ext cx="208279" cy="300355"/>
    <xdr:grpSp>
      <xdr:nvGrpSpPr>
        <xdr:cNvPr id="5" name="Group 6">
          <a:extLst>
            <a:ext uri="{FF2B5EF4-FFF2-40B4-BE49-F238E27FC236}">
              <a16:creationId xmlns:a16="http://schemas.microsoft.com/office/drawing/2014/main" id="{D1AA5426-F2C5-4925-B641-80E8C39EAFED}"/>
            </a:ext>
          </a:extLst>
        </xdr:cNvPr>
        <xdr:cNvGrpSpPr/>
      </xdr:nvGrpSpPr>
      <xdr:grpSpPr>
        <a:xfrm>
          <a:off x="6893169" y="13585"/>
          <a:ext cx="208279" cy="300355"/>
          <a:chOff x="0" y="0"/>
          <a:chExt cx="208279" cy="300355"/>
        </a:xfrm>
      </xdr:grpSpPr>
      <xdr:sp macro="" textlink="">
        <xdr:nvSpPr>
          <xdr:cNvPr id="6" name="Shape 7">
            <a:extLst>
              <a:ext uri="{FF2B5EF4-FFF2-40B4-BE49-F238E27FC236}">
                <a16:creationId xmlns:a16="http://schemas.microsoft.com/office/drawing/2014/main" id="{4FC577D2-23C2-8751-8C62-CE9CDDB97E08}"/>
              </a:ext>
            </a:extLst>
          </xdr:cNvPr>
          <xdr:cNvSpPr/>
        </xdr:nvSpPr>
        <xdr:spPr>
          <a:xfrm>
            <a:off x="9121" y="9121"/>
            <a:ext cx="198755" cy="290830"/>
          </a:xfrm>
          <a:custGeom>
            <a:avLst/>
            <a:gdLst/>
            <a:ahLst/>
            <a:cxnLst/>
            <a:rect l="0" t="0" r="0" b="0"/>
            <a:pathLst>
              <a:path w="198755" h="290830">
                <a:moveTo>
                  <a:pt x="188275" y="47320"/>
                </a:moveTo>
                <a:lnTo>
                  <a:pt x="99783" y="47320"/>
                </a:lnTo>
                <a:lnTo>
                  <a:pt x="112926" y="49093"/>
                </a:lnTo>
                <a:lnTo>
                  <a:pt x="125458" y="55335"/>
                </a:lnTo>
                <a:lnTo>
                  <a:pt x="134840" y="67428"/>
                </a:lnTo>
                <a:lnTo>
                  <a:pt x="138531" y="86753"/>
                </a:lnTo>
                <a:lnTo>
                  <a:pt x="136892" y="98369"/>
                </a:lnTo>
                <a:lnTo>
                  <a:pt x="132102" y="108699"/>
                </a:lnTo>
                <a:lnTo>
                  <a:pt x="124354" y="118000"/>
                </a:lnTo>
                <a:lnTo>
                  <a:pt x="113842" y="126530"/>
                </a:lnTo>
                <a:lnTo>
                  <a:pt x="91988" y="144821"/>
                </a:lnTo>
                <a:lnTo>
                  <a:pt x="79681" y="162534"/>
                </a:lnTo>
                <a:lnTo>
                  <a:pt x="74253" y="182562"/>
                </a:lnTo>
                <a:lnTo>
                  <a:pt x="73037" y="207797"/>
                </a:lnTo>
                <a:lnTo>
                  <a:pt x="125844" y="207797"/>
                </a:lnTo>
                <a:lnTo>
                  <a:pt x="127237" y="189720"/>
                </a:lnTo>
                <a:lnTo>
                  <a:pt x="131587" y="177107"/>
                </a:lnTo>
                <a:lnTo>
                  <a:pt x="139153" y="167581"/>
                </a:lnTo>
                <a:lnTo>
                  <a:pt x="150190" y="158762"/>
                </a:lnTo>
                <a:lnTo>
                  <a:pt x="170764" y="142566"/>
                </a:lnTo>
                <a:lnTo>
                  <a:pt x="185937" y="125887"/>
                </a:lnTo>
                <a:lnTo>
                  <a:pt x="195324" y="107215"/>
                </a:lnTo>
                <a:lnTo>
                  <a:pt x="198539" y="85039"/>
                </a:lnTo>
                <a:lnTo>
                  <a:pt x="188275" y="47320"/>
                </a:lnTo>
                <a:close/>
              </a:path>
              <a:path w="198755" h="290830">
                <a:moveTo>
                  <a:pt x="96354" y="0"/>
                </a:moveTo>
                <a:lnTo>
                  <a:pt x="62782" y="4838"/>
                </a:lnTo>
                <a:lnTo>
                  <a:pt x="31718" y="20702"/>
                </a:lnTo>
                <a:lnTo>
                  <a:pt x="8883" y="49618"/>
                </a:lnTo>
                <a:lnTo>
                  <a:pt x="69" y="93268"/>
                </a:lnTo>
                <a:lnTo>
                  <a:pt x="0" y="93611"/>
                </a:lnTo>
                <a:lnTo>
                  <a:pt x="56578" y="93611"/>
                </a:lnTo>
                <a:lnTo>
                  <a:pt x="56578" y="93268"/>
                </a:lnTo>
                <a:lnTo>
                  <a:pt x="59134" y="78132"/>
                </a:lnTo>
                <a:lnTo>
                  <a:pt x="65451" y="63222"/>
                </a:lnTo>
                <a:lnTo>
                  <a:pt x="78132" y="51847"/>
                </a:lnTo>
                <a:lnTo>
                  <a:pt x="99783" y="47320"/>
                </a:lnTo>
                <a:lnTo>
                  <a:pt x="188275" y="47320"/>
                </a:lnTo>
                <a:lnTo>
                  <a:pt x="185948" y="38769"/>
                </a:lnTo>
                <a:lnTo>
                  <a:pt x="156448" y="13201"/>
                </a:lnTo>
                <a:lnTo>
                  <a:pt x="122447" y="2293"/>
                </a:lnTo>
                <a:lnTo>
                  <a:pt x="96354" y="0"/>
                </a:lnTo>
                <a:close/>
              </a:path>
              <a:path w="198755" h="290830">
                <a:moveTo>
                  <a:pt x="129616" y="234543"/>
                </a:moveTo>
                <a:lnTo>
                  <a:pt x="71323" y="234543"/>
                </a:lnTo>
                <a:lnTo>
                  <a:pt x="71323" y="290779"/>
                </a:lnTo>
                <a:lnTo>
                  <a:pt x="129616" y="290779"/>
                </a:lnTo>
                <a:lnTo>
                  <a:pt x="129616" y="234543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 macro="" textlink="">
        <xdr:nvSpPr>
          <xdr:cNvPr id="7" name="Shape 8">
            <a:extLst>
              <a:ext uri="{FF2B5EF4-FFF2-40B4-BE49-F238E27FC236}">
                <a16:creationId xmlns:a16="http://schemas.microsoft.com/office/drawing/2014/main" id="{EBD5D945-B68A-38FA-64BB-639B175C02D7}"/>
              </a:ext>
            </a:extLst>
          </xdr:cNvPr>
          <xdr:cNvSpPr/>
        </xdr:nvSpPr>
        <xdr:spPr>
          <a:xfrm>
            <a:off x="205" y="205"/>
            <a:ext cx="198755" cy="290830"/>
          </a:xfrm>
          <a:custGeom>
            <a:avLst/>
            <a:gdLst/>
            <a:ahLst/>
            <a:cxnLst/>
            <a:rect l="0" t="0" r="0" b="0"/>
            <a:pathLst>
              <a:path w="198755" h="290830">
                <a:moveTo>
                  <a:pt x="188275" y="47320"/>
                </a:moveTo>
                <a:lnTo>
                  <a:pt x="99783" y="47320"/>
                </a:lnTo>
                <a:lnTo>
                  <a:pt x="112926" y="49093"/>
                </a:lnTo>
                <a:lnTo>
                  <a:pt x="125458" y="55335"/>
                </a:lnTo>
                <a:lnTo>
                  <a:pt x="134840" y="67428"/>
                </a:lnTo>
                <a:lnTo>
                  <a:pt x="138531" y="86753"/>
                </a:lnTo>
                <a:lnTo>
                  <a:pt x="136843" y="98369"/>
                </a:lnTo>
                <a:lnTo>
                  <a:pt x="131973" y="108699"/>
                </a:lnTo>
                <a:lnTo>
                  <a:pt x="124210" y="118000"/>
                </a:lnTo>
                <a:lnTo>
                  <a:pt x="113842" y="126530"/>
                </a:lnTo>
                <a:lnTo>
                  <a:pt x="91988" y="144821"/>
                </a:lnTo>
                <a:lnTo>
                  <a:pt x="79681" y="162534"/>
                </a:lnTo>
                <a:lnTo>
                  <a:pt x="74253" y="182562"/>
                </a:lnTo>
                <a:lnTo>
                  <a:pt x="73037" y="207797"/>
                </a:lnTo>
                <a:lnTo>
                  <a:pt x="125844" y="207797"/>
                </a:lnTo>
                <a:lnTo>
                  <a:pt x="127237" y="189720"/>
                </a:lnTo>
                <a:lnTo>
                  <a:pt x="131587" y="177107"/>
                </a:lnTo>
                <a:lnTo>
                  <a:pt x="139153" y="167581"/>
                </a:lnTo>
                <a:lnTo>
                  <a:pt x="150190" y="158762"/>
                </a:lnTo>
                <a:lnTo>
                  <a:pt x="170764" y="142566"/>
                </a:lnTo>
                <a:lnTo>
                  <a:pt x="185937" y="125887"/>
                </a:lnTo>
                <a:lnTo>
                  <a:pt x="195324" y="107215"/>
                </a:lnTo>
                <a:lnTo>
                  <a:pt x="198539" y="85039"/>
                </a:lnTo>
                <a:lnTo>
                  <a:pt x="188275" y="47320"/>
                </a:lnTo>
                <a:close/>
              </a:path>
              <a:path w="198755" h="290830">
                <a:moveTo>
                  <a:pt x="96354" y="0"/>
                </a:moveTo>
                <a:lnTo>
                  <a:pt x="62782" y="4838"/>
                </a:lnTo>
                <a:lnTo>
                  <a:pt x="31718" y="20702"/>
                </a:lnTo>
                <a:lnTo>
                  <a:pt x="8883" y="49618"/>
                </a:lnTo>
                <a:lnTo>
                  <a:pt x="69" y="93268"/>
                </a:lnTo>
                <a:lnTo>
                  <a:pt x="0" y="93611"/>
                </a:lnTo>
                <a:lnTo>
                  <a:pt x="56578" y="93611"/>
                </a:lnTo>
                <a:lnTo>
                  <a:pt x="56578" y="93268"/>
                </a:lnTo>
                <a:lnTo>
                  <a:pt x="59134" y="78132"/>
                </a:lnTo>
                <a:lnTo>
                  <a:pt x="65451" y="63222"/>
                </a:lnTo>
                <a:lnTo>
                  <a:pt x="78132" y="51847"/>
                </a:lnTo>
                <a:lnTo>
                  <a:pt x="99783" y="47320"/>
                </a:lnTo>
                <a:lnTo>
                  <a:pt x="188275" y="47320"/>
                </a:lnTo>
                <a:lnTo>
                  <a:pt x="185948" y="38769"/>
                </a:lnTo>
                <a:lnTo>
                  <a:pt x="156448" y="13201"/>
                </a:lnTo>
                <a:lnTo>
                  <a:pt x="122447" y="2293"/>
                </a:lnTo>
                <a:lnTo>
                  <a:pt x="96354" y="0"/>
                </a:lnTo>
                <a:close/>
              </a:path>
              <a:path w="198755" h="290830">
                <a:moveTo>
                  <a:pt x="129616" y="234543"/>
                </a:moveTo>
                <a:lnTo>
                  <a:pt x="71323" y="234543"/>
                </a:lnTo>
                <a:lnTo>
                  <a:pt x="71323" y="290779"/>
                </a:lnTo>
                <a:lnTo>
                  <a:pt x="129616" y="290779"/>
                </a:lnTo>
                <a:lnTo>
                  <a:pt x="129616" y="234543"/>
                </a:lnTo>
                <a:close/>
              </a:path>
            </a:pathLst>
          </a:custGeom>
          <a:solidFill>
            <a:srgbClr val="FFFF66">
              <a:alpha val="50000"/>
            </a:srgbClr>
          </a:solidFill>
        </xdr:spPr>
      </xdr:sp>
      <xdr:sp macro="" textlink="">
        <xdr:nvSpPr>
          <xdr:cNvPr id="8" name="Shape 9">
            <a:extLst>
              <a:ext uri="{FF2B5EF4-FFF2-40B4-BE49-F238E27FC236}">
                <a16:creationId xmlns:a16="http://schemas.microsoft.com/office/drawing/2014/main" id="{E7B1316F-486B-6917-2A26-CF598AA537AD}"/>
              </a:ext>
            </a:extLst>
          </xdr:cNvPr>
          <xdr:cNvSpPr/>
        </xdr:nvSpPr>
        <xdr:spPr>
          <a:xfrm>
            <a:off x="205" y="205"/>
            <a:ext cx="198755" cy="290830"/>
          </a:xfrm>
          <a:custGeom>
            <a:avLst/>
            <a:gdLst/>
            <a:ahLst/>
            <a:cxnLst/>
            <a:rect l="0" t="0" r="0" b="0"/>
            <a:pathLst>
              <a:path w="198755" h="290830">
                <a:moveTo>
                  <a:pt x="73037" y="207797"/>
                </a:moveTo>
                <a:lnTo>
                  <a:pt x="79681" y="162534"/>
                </a:lnTo>
                <a:lnTo>
                  <a:pt x="113842" y="126530"/>
                </a:lnTo>
                <a:lnTo>
                  <a:pt x="124210" y="118000"/>
                </a:lnTo>
                <a:lnTo>
                  <a:pt x="131973" y="108699"/>
                </a:lnTo>
                <a:lnTo>
                  <a:pt x="136843" y="98369"/>
                </a:lnTo>
                <a:lnTo>
                  <a:pt x="138531" y="86753"/>
                </a:lnTo>
                <a:lnTo>
                  <a:pt x="134840" y="67428"/>
                </a:lnTo>
                <a:lnTo>
                  <a:pt x="125458" y="55335"/>
                </a:lnTo>
                <a:lnTo>
                  <a:pt x="112926" y="49093"/>
                </a:lnTo>
                <a:lnTo>
                  <a:pt x="99783" y="47320"/>
                </a:lnTo>
                <a:lnTo>
                  <a:pt x="78132" y="51847"/>
                </a:lnTo>
                <a:lnTo>
                  <a:pt x="65451" y="63222"/>
                </a:lnTo>
                <a:lnTo>
                  <a:pt x="59134" y="78132"/>
                </a:lnTo>
                <a:lnTo>
                  <a:pt x="56578" y="93268"/>
                </a:lnTo>
                <a:lnTo>
                  <a:pt x="56578" y="93611"/>
                </a:lnTo>
                <a:lnTo>
                  <a:pt x="0" y="93611"/>
                </a:lnTo>
                <a:lnTo>
                  <a:pt x="8883" y="49618"/>
                </a:lnTo>
                <a:lnTo>
                  <a:pt x="31718" y="20702"/>
                </a:lnTo>
                <a:lnTo>
                  <a:pt x="62782" y="4838"/>
                </a:lnTo>
                <a:lnTo>
                  <a:pt x="96354" y="0"/>
                </a:lnTo>
                <a:lnTo>
                  <a:pt x="122447" y="2293"/>
                </a:lnTo>
                <a:lnTo>
                  <a:pt x="156448" y="13201"/>
                </a:lnTo>
                <a:lnTo>
                  <a:pt x="185948" y="38769"/>
                </a:lnTo>
                <a:lnTo>
                  <a:pt x="198539" y="85039"/>
                </a:lnTo>
                <a:lnTo>
                  <a:pt x="195324" y="107215"/>
                </a:lnTo>
                <a:lnTo>
                  <a:pt x="185937" y="125887"/>
                </a:lnTo>
                <a:lnTo>
                  <a:pt x="170764" y="142566"/>
                </a:lnTo>
                <a:lnTo>
                  <a:pt x="150190" y="158762"/>
                </a:lnTo>
                <a:lnTo>
                  <a:pt x="139153" y="167581"/>
                </a:lnTo>
                <a:lnTo>
                  <a:pt x="131587" y="177107"/>
                </a:lnTo>
                <a:lnTo>
                  <a:pt x="127237" y="189720"/>
                </a:lnTo>
                <a:lnTo>
                  <a:pt x="125844" y="207797"/>
                </a:lnTo>
                <a:lnTo>
                  <a:pt x="73037" y="207797"/>
                </a:lnTo>
                <a:close/>
              </a:path>
              <a:path w="198755" h="290830">
                <a:moveTo>
                  <a:pt x="71323" y="234543"/>
                </a:moveTo>
                <a:lnTo>
                  <a:pt x="129616" y="234543"/>
                </a:lnTo>
                <a:lnTo>
                  <a:pt x="129616" y="290779"/>
                </a:lnTo>
                <a:lnTo>
                  <a:pt x="71323" y="290779"/>
                </a:lnTo>
                <a:lnTo>
                  <a:pt x="71323" y="234543"/>
                </a:lnTo>
                <a:close/>
              </a:path>
            </a:pathLst>
          </a:custGeom>
          <a:ln w="3175">
            <a:solidFill>
              <a:srgbClr val="707070"/>
            </a:solidFill>
          </a:ln>
        </xdr:spPr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16"/>
  <sheetViews>
    <sheetView tabSelected="1" topLeftCell="B1" zoomScale="115" zoomScaleNormal="115" workbookViewId="0">
      <pane xSplit="4" ySplit="1" topLeftCell="F790" activePane="bottomRight" state="frozen"/>
      <selection activeCell="B1" sqref="B1"/>
      <selection pane="topRight" activeCell="F1" sqref="F1"/>
      <selection pane="bottomLeft" activeCell="B2" sqref="B2"/>
      <selection pane="bottomRight" activeCell="L807" sqref="L807"/>
    </sheetView>
  </sheetViews>
  <sheetFormatPr defaultRowHeight="13.8"/>
  <cols>
    <col min="1" max="1" width="3.8984375" bestFit="1" customWidth="1"/>
    <col min="2" max="2" width="7" style="120" customWidth="1"/>
    <col min="3" max="3" width="20.19921875" style="58" customWidth="1"/>
    <col min="4" max="4" width="9.19921875" style="58" customWidth="1"/>
    <col min="5" max="5" width="5.59765625" style="58" customWidth="1"/>
    <col min="6" max="6" width="4.296875" style="58" customWidth="1"/>
    <col min="7" max="7" width="3.5" style="58" customWidth="1"/>
    <col min="8" max="8" width="3.09765625" style="58" customWidth="1"/>
    <col min="9" max="9" width="4.296875" style="58" customWidth="1"/>
    <col min="10" max="10" width="4.3984375" style="58" customWidth="1"/>
    <col min="11" max="11" width="5.8984375" style="70" customWidth="1"/>
    <col min="12" max="12" width="6.09765625" style="59" customWidth="1"/>
    <col min="13" max="13" width="9.8984375" style="63" customWidth="1"/>
    <col min="14" max="14" width="8" style="63" hidden="1" customWidth="1"/>
    <col min="15" max="16" width="16.59765625" style="63" hidden="1" customWidth="1"/>
    <col min="17" max="17" width="5.8984375" style="63" hidden="1" customWidth="1"/>
    <col min="18" max="18" width="12.19921875" style="63" customWidth="1"/>
    <col min="19" max="19" width="9.796875" style="63" customWidth="1"/>
    <col min="20" max="20" width="12.59765625" style="58" bestFit="1" customWidth="1"/>
    <col min="21" max="21" width="28.8984375" style="58" bestFit="1" customWidth="1"/>
    <col min="22" max="22" width="13.19921875" bestFit="1" customWidth="1"/>
    <col min="23" max="23" width="74.796875" bestFit="1" customWidth="1"/>
    <col min="24" max="24" width="66.5" bestFit="1" customWidth="1"/>
  </cols>
  <sheetData>
    <row r="1" spans="1:25" ht="22.2" customHeight="1">
      <c r="A1" s="1" t="s">
        <v>0</v>
      </c>
      <c r="B1" s="118" t="s">
        <v>1</v>
      </c>
      <c r="C1" s="132" t="s">
        <v>2</v>
      </c>
      <c r="D1" s="132" t="s">
        <v>3</v>
      </c>
      <c r="E1" s="132" t="s">
        <v>4</v>
      </c>
      <c r="F1" s="132" t="s">
        <v>5</v>
      </c>
      <c r="G1" s="132" t="s">
        <v>6</v>
      </c>
      <c r="H1" s="132" t="s">
        <v>7</v>
      </c>
      <c r="I1" s="132" t="s">
        <v>8</v>
      </c>
      <c r="J1" s="132" t="s">
        <v>9</v>
      </c>
      <c r="K1" s="122" t="s">
        <v>10</v>
      </c>
      <c r="L1" s="132" t="s">
        <v>11</v>
      </c>
      <c r="M1" s="122" t="s">
        <v>12</v>
      </c>
      <c r="N1" s="122" t="s">
        <v>1883</v>
      </c>
      <c r="O1" s="60" t="s">
        <v>1884</v>
      </c>
      <c r="P1" s="60" t="s">
        <v>1885</v>
      </c>
      <c r="Q1" s="135" t="s">
        <v>1886</v>
      </c>
      <c r="R1" s="135" t="s">
        <v>3149</v>
      </c>
      <c r="S1" s="135" t="s">
        <v>7197</v>
      </c>
      <c r="T1" s="136" t="s">
        <v>13</v>
      </c>
      <c r="U1" s="136" t="s">
        <v>14</v>
      </c>
      <c r="V1" s="137" t="s">
        <v>15</v>
      </c>
      <c r="W1" t="s">
        <v>3178</v>
      </c>
      <c r="Y1" t="s">
        <v>6081</v>
      </c>
    </row>
    <row r="2" spans="1:25">
      <c r="A2" s="2">
        <v>1</v>
      </c>
      <c r="B2" s="119">
        <v>202510</v>
      </c>
      <c r="C2" s="44" t="s">
        <v>16</v>
      </c>
      <c r="D2" s="44" t="s">
        <v>17</v>
      </c>
      <c r="E2" s="44" t="s">
        <v>18</v>
      </c>
      <c r="F2" s="44">
        <v>3</v>
      </c>
      <c r="G2" s="44">
        <v>0</v>
      </c>
      <c r="H2" s="44">
        <v>0</v>
      </c>
      <c r="I2" s="44">
        <v>3</v>
      </c>
      <c r="J2" s="44">
        <v>0</v>
      </c>
      <c r="K2" s="123">
        <v>100000</v>
      </c>
      <c r="L2" s="124">
        <f t="shared" ref="L2:L46" si="0">SUM(F2:J2)</f>
        <v>6</v>
      </c>
      <c r="M2" s="45">
        <f t="shared" ref="M2:M65" si="1">L2*K2</f>
        <v>600000</v>
      </c>
      <c r="N2" s="45">
        <f>M2</f>
        <v>600000</v>
      </c>
      <c r="O2" s="45"/>
      <c r="P2" s="45" t="s">
        <v>3055</v>
      </c>
      <c r="Q2" s="45"/>
      <c r="R2" s="45"/>
      <c r="S2" s="45">
        <f>M2-N2</f>
        <v>0</v>
      </c>
      <c r="T2" s="44" t="s">
        <v>19</v>
      </c>
      <c r="U2" s="44" t="s">
        <v>20</v>
      </c>
      <c r="V2" s="43" t="s">
        <v>21</v>
      </c>
    </row>
    <row r="3" spans="1:25">
      <c r="A3" s="2">
        <v>2</v>
      </c>
      <c r="B3" s="119">
        <v>202510</v>
      </c>
      <c r="C3" s="44" t="s">
        <v>22</v>
      </c>
      <c r="D3" s="44" t="s">
        <v>23</v>
      </c>
      <c r="E3" s="44" t="s">
        <v>24</v>
      </c>
      <c r="F3" s="44">
        <v>5</v>
      </c>
      <c r="G3" s="44">
        <v>0</v>
      </c>
      <c r="H3" s="44">
        <v>3</v>
      </c>
      <c r="I3" s="44">
        <v>0</v>
      </c>
      <c r="J3" s="44">
        <v>0</v>
      </c>
      <c r="K3" s="123">
        <v>100000</v>
      </c>
      <c r="L3" s="124">
        <f t="shared" si="0"/>
        <v>8</v>
      </c>
      <c r="M3" s="45">
        <f t="shared" si="1"/>
        <v>800000</v>
      </c>
      <c r="N3" s="45">
        <f>M3</f>
        <v>800000</v>
      </c>
      <c r="O3" s="45"/>
      <c r="P3" s="45" t="s">
        <v>7070</v>
      </c>
      <c r="Q3" s="45"/>
      <c r="R3" s="45"/>
      <c r="S3" s="45">
        <f t="shared" ref="S3:S66" si="2">M3-N3</f>
        <v>0</v>
      </c>
      <c r="T3" s="44" t="s">
        <v>19</v>
      </c>
      <c r="U3" s="44" t="s">
        <v>20</v>
      </c>
      <c r="V3" s="43" t="s">
        <v>21</v>
      </c>
    </row>
    <row r="4" spans="1:25">
      <c r="A4" s="2">
        <v>3</v>
      </c>
      <c r="B4" s="119">
        <v>202510</v>
      </c>
      <c r="C4" s="44" t="s">
        <v>25</v>
      </c>
      <c r="D4" s="44" t="s">
        <v>26</v>
      </c>
      <c r="E4" s="44" t="s">
        <v>24</v>
      </c>
      <c r="F4" s="44">
        <v>0</v>
      </c>
      <c r="G4" s="44">
        <v>0</v>
      </c>
      <c r="H4" s="44">
        <v>3</v>
      </c>
      <c r="I4" s="44">
        <v>0</v>
      </c>
      <c r="J4" s="44">
        <v>0</v>
      </c>
      <c r="K4" s="123">
        <v>100000</v>
      </c>
      <c r="L4" s="124">
        <f t="shared" si="0"/>
        <v>3</v>
      </c>
      <c r="M4" s="45">
        <f t="shared" si="1"/>
        <v>300000</v>
      </c>
      <c r="N4" s="45">
        <f t="shared" ref="N4:N10" si="3">M4</f>
        <v>300000</v>
      </c>
      <c r="O4" s="45"/>
      <c r="P4" s="45" t="s">
        <v>6557</v>
      </c>
      <c r="Q4" s="45"/>
      <c r="R4" s="45"/>
      <c r="S4" s="45">
        <f t="shared" si="2"/>
        <v>0</v>
      </c>
      <c r="T4" s="44" t="s">
        <v>19</v>
      </c>
      <c r="U4" s="44" t="s">
        <v>20</v>
      </c>
      <c r="V4" s="43" t="s">
        <v>21</v>
      </c>
    </row>
    <row r="5" spans="1:25">
      <c r="A5" s="2">
        <v>4</v>
      </c>
      <c r="B5" s="119">
        <v>202510</v>
      </c>
      <c r="C5" s="44" t="s">
        <v>27</v>
      </c>
      <c r="D5" s="44" t="s">
        <v>28</v>
      </c>
      <c r="E5" s="44" t="s">
        <v>24</v>
      </c>
      <c r="F5" s="44">
        <v>6</v>
      </c>
      <c r="G5" s="44">
        <v>0</v>
      </c>
      <c r="H5" s="44">
        <v>4</v>
      </c>
      <c r="I5" s="44">
        <v>0</v>
      </c>
      <c r="J5" s="44">
        <v>0</v>
      </c>
      <c r="K5" s="123">
        <v>100000</v>
      </c>
      <c r="L5" s="124">
        <f t="shared" si="0"/>
        <v>10</v>
      </c>
      <c r="M5" s="45">
        <f t="shared" si="1"/>
        <v>1000000</v>
      </c>
      <c r="N5" s="45">
        <f t="shared" si="3"/>
        <v>1000000</v>
      </c>
      <c r="O5" s="45"/>
      <c r="P5" s="45" t="s">
        <v>6289</v>
      </c>
      <c r="Q5" s="45"/>
      <c r="R5" s="45"/>
      <c r="S5" s="45">
        <f t="shared" si="2"/>
        <v>0</v>
      </c>
      <c r="T5" s="44" t="s">
        <v>19</v>
      </c>
      <c r="U5" s="44" t="s">
        <v>20</v>
      </c>
      <c r="V5" s="43" t="s">
        <v>21</v>
      </c>
    </row>
    <row r="6" spans="1:25">
      <c r="A6" s="2">
        <v>5</v>
      </c>
      <c r="B6" s="119">
        <v>202510</v>
      </c>
      <c r="C6" s="44" t="s">
        <v>29</v>
      </c>
      <c r="D6" s="44" t="s">
        <v>30</v>
      </c>
      <c r="E6" s="44" t="s">
        <v>24</v>
      </c>
      <c r="F6" s="44">
        <v>6</v>
      </c>
      <c r="G6" s="44">
        <v>0</v>
      </c>
      <c r="H6" s="44">
        <v>4</v>
      </c>
      <c r="I6" s="44">
        <v>4</v>
      </c>
      <c r="J6" s="44">
        <v>0</v>
      </c>
      <c r="K6" s="123">
        <v>100000</v>
      </c>
      <c r="L6" s="124">
        <f t="shared" si="0"/>
        <v>14</v>
      </c>
      <c r="M6" s="45">
        <f t="shared" si="1"/>
        <v>1400000</v>
      </c>
      <c r="N6" s="45">
        <f t="shared" si="3"/>
        <v>1400000</v>
      </c>
      <c r="O6" s="45"/>
      <c r="P6" s="45" t="s">
        <v>2727</v>
      </c>
      <c r="Q6" s="45"/>
      <c r="R6" s="45"/>
      <c r="S6" s="45">
        <f t="shared" si="2"/>
        <v>0</v>
      </c>
      <c r="T6" s="44" t="s">
        <v>19</v>
      </c>
      <c r="U6" s="44" t="s">
        <v>20</v>
      </c>
      <c r="V6" s="43" t="s">
        <v>21</v>
      </c>
    </row>
    <row r="7" spans="1:25">
      <c r="A7" s="2">
        <v>6</v>
      </c>
      <c r="B7" s="119">
        <v>202510</v>
      </c>
      <c r="C7" s="44" t="s">
        <v>31</v>
      </c>
      <c r="D7" s="44" t="s">
        <v>32</v>
      </c>
      <c r="E7" s="44" t="s">
        <v>24</v>
      </c>
      <c r="F7" s="44">
        <v>6</v>
      </c>
      <c r="G7" s="44">
        <v>0</v>
      </c>
      <c r="H7" s="44">
        <v>0</v>
      </c>
      <c r="I7" s="44">
        <v>0</v>
      </c>
      <c r="J7" s="44">
        <v>0</v>
      </c>
      <c r="K7" s="123">
        <v>100000</v>
      </c>
      <c r="L7" s="124">
        <f t="shared" si="0"/>
        <v>6</v>
      </c>
      <c r="M7" s="45">
        <f t="shared" si="1"/>
        <v>600000</v>
      </c>
      <c r="N7" s="45">
        <f t="shared" si="3"/>
        <v>600000</v>
      </c>
      <c r="O7" s="45"/>
      <c r="P7" s="45" t="s">
        <v>6641</v>
      </c>
      <c r="Q7" s="45"/>
      <c r="R7" s="45"/>
      <c r="S7" s="45">
        <f t="shared" si="2"/>
        <v>0</v>
      </c>
      <c r="T7" s="44" t="s">
        <v>19</v>
      </c>
      <c r="U7" s="44" t="s">
        <v>20</v>
      </c>
      <c r="V7" s="43" t="s">
        <v>21</v>
      </c>
    </row>
    <row r="8" spans="1:25">
      <c r="A8" s="2">
        <v>7</v>
      </c>
      <c r="B8" s="119">
        <v>202510</v>
      </c>
      <c r="C8" s="44" t="s">
        <v>33</v>
      </c>
      <c r="D8" s="44" t="s">
        <v>34</v>
      </c>
      <c r="E8" s="44" t="s">
        <v>24</v>
      </c>
      <c r="F8" s="44">
        <v>6</v>
      </c>
      <c r="G8" s="44">
        <v>0</v>
      </c>
      <c r="H8" s="44">
        <v>0</v>
      </c>
      <c r="I8" s="44">
        <v>0</v>
      </c>
      <c r="J8" s="44">
        <v>0</v>
      </c>
      <c r="K8" s="123">
        <v>100000</v>
      </c>
      <c r="L8" s="124">
        <f t="shared" si="0"/>
        <v>6</v>
      </c>
      <c r="M8" s="45">
        <f t="shared" si="1"/>
        <v>600000</v>
      </c>
      <c r="N8" s="45">
        <f t="shared" si="3"/>
        <v>600000</v>
      </c>
      <c r="O8" s="45"/>
      <c r="P8" s="45" t="s">
        <v>6556</v>
      </c>
      <c r="Q8" s="45"/>
      <c r="R8" s="45"/>
      <c r="S8" s="45">
        <f t="shared" si="2"/>
        <v>0</v>
      </c>
      <c r="T8" s="44" t="s">
        <v>19</v>
      </c>
      <c r="U8" s="44" t="s">
        <v>20</v>
      </c>
      <c r="V8" s="43" t="s">
        <v>21</v>
      </c>
    </row>
    <row r="9" spans="1:25">
      <c r="A9" s="2">
        <v>8</v>
      </c>
      <c r="B9" s="130">
        <v>202510</v>
      </c>
      <c r="C9" s="68" t="s">
        <v>35</v>
      </c>
      <c r="D9" s="68" t="s">
        <v>36</v>
      </c>
      <c r="E9" s="68" t="s">
        <v>24</v>
      </c>
      <c r="F9" s="68">
        <v>6</v>
      </c>
      <c r="G9" s="68">
        <v>0</v>
      </c>
      <c r="H9" s="68">
        <v>0</v>
      </c>
      <c r="I9" s="68">
        <v>0</v>
      </c>
      <c r="J9" s="68">
        <v>0</v>
      </c>
      <c r="K9" s="127">
        <v>100000</v>
      </c>
      <c r="L9" s="128">
        <f t="shared" si="0"/>
        <v>6</v>
      </c>
      <c r="M9" s="45">
        <f t="shared" si="1"/>
        <v>600000</v>
      </c>
      <c r="N9" s="65">
        <f t="shared" si="3"/>
        <v>600000</v>
      </c>
      <c r="O9" s="65"/>
      <c r="P9" s="65" t="s">
        <v>6553</v>
      </c>
      <c r="Q9" s="45"/>
      <c r="R9" s="45"/>
      <c r="S9" s="45">
        <f t="shared" si="2"/>
        <v>0</v>
      </c>
      <c r="T9" s="44" t="s">
        <v>19</v>
      </c>
      <c r="U9" s="44" t="s">
        <v>20</v>
      </c>
      <c r="V9" s="43" t="s">
        <v>21</v>
      </c>
    </row>
    <row r="10" spans="1:25">
      <c r="A10" s="2">
        <v>9</v>
      </c>
      <c r="B10" s="119">
        <v>202510</v>
      </c>
      <c r="C10" s="44" t="s">
        <v>37</v>
      </c>
      <c r="D10" s="44" t="s">
        <v>38</v>
      </c>
      <c r="E10" s="44" t="s">
        <v>24</v>
      </c>
      <c r="F10" s="44">
        <v>6</v>
      </c>
      <c r="G10" s="44">
        <v>0</v>
      </c>
      <c r="H10" s="44">
        <v>0</v>
      </c>
      <c r="I10" s="44">
        <v>0</v>
      </c>
      <c r="J10" s="44">
        <v>0</v>
      </c>
      <c r="K10" s="123">
        <v>100000</v>
      </c>
      <c r="L10" s="124">
        <f t="shared" si="0"/>
        <v>6</v>
      </c>
      <c r="M10" s="45">
        <f t="shared" si="1"/>
        <v>600000</v>
      </c>
      <c r="N10" s="45">
        <f t="shared" si="3"/>
        <v>600000</v>
      </c>
      <c r="O10" s="45"/>
      <c r="P10" s="45" t="s">
        <v>3145</v>
      </c>
      <c r="Q10" s="45"/>
      <c r="R10" s="45"/>
      <c r="S10" s="45">
        <f t="shared" si="2"/>
        <v>0</v>
      </c>
      <c r="T10" s="44" t="s">
        <v>19</v>
      </c>
      <c r="U10" s="44" t="s">
        <v>20</v>
      </c>
      <c r="V10" s="43" t="s">
        <v>21</v>
      </c>
    </row>
    <row r="11" spans="1:25">
      <c r="A11" s="2">
        <v>10</v>
      </c>
      <c r="B11" s="119">
        <v>202510</v>
      </c>
      <c r="C11" s="44" t="s">
        <v>39</v>
      </c>
      <c r="D11" s="44" t="s">
        <v>40</v>
      </c>
      <c r="E11" s="44" t="s">
        <v>24</v>
      </c>
      <c r="F11" s="44">
        <v>4</v>
      </c>
      <c r="G11" s="44">
        <v>0</v>
      </c>
      <c r="H11" s="44">
        <v>0</v>
      </c>
      <c r="I11" s="44">
        <v>0</v>
      </c>
      <c r="J11" s="44">
        <v>0</v>
      </c>
      <c r="K11" s="123">
        <v>100000</v>
      </c>
      <c r="L11" s="124">
        <f t="shared" si="0"/>
        <v>4</v>
      </c>
      <c r="M11" s="45">
        <f t="shared" si="1"/>
        <v>400000</v>
      </c>
      <c r="N11" s="45">
        <f>M11</f>
        <v>400000</v>
      </c>
      <c r="O11" s="45"/>
      <c r="P11" s="45" t="s">
        <v>7069</v>
      </c>
      <c r="Q11" s="45"/>
      <c r="R11" s="45"/>
      <c r="S11" s="45">
        <f t="shared" si="2"/>
        <v>0</v>
      </c>
      <c r="T11" s="44" t="s">
        <v>19</v>
      </c>
      <c r="U11" s="44" t="s">
        <v>20</v>
      </c>
      <c r="V11" s="43" t="s">
        <v>21</v>
      </c>
    </row>
    <row r="12" spans="1:25">
      <c r="A12" s="2">
        <v>11</v>
      </c>
      <c r="B12" s="119">
        <v>202510</v>
      </c>
      <c r="C12" s="44" t="s">
        <v>41</v>
      </c>
      <c r="D12" s="44" t="s">
        <v>42</v>
      </c>
      <c r="E12" s="44" t="s">
        <v>24</v>
      </c>
      <c r="F12" s="44">
        <v>6</v>
      </c>
      <c r="G12" s="44">
        <v>0</v>
      </c>
      <c r="H12" s="44">
        <v>4</v>
      </c>
      <c r="I12" s="44">
        <v>0</v>
      </c>
      <c r="J12" s="44">
        <v>0</v>
      </c>
      <c r="K12" s="123">
        <v>100000</v>
      </c>
      <c r="L12" s="124">
        <f t="shared" si="0"/>
        <v>10</v>
      </c>
      <c r="M12" s="45">
        <f t="shared" si="1"/>
        <v>1000000</v>
      </c>
      <c r="N12" s="45">
        <f t="shared" ref="N12:N17" si="4">M12</f>
        <v>1000000</v>
      </c>
      <c r="O12" s="45"/>
      <c r="P12" s="45" t="s">
        <v>2723</v>
      </c>
      <c r="Q12" s="45"/>
      <c r="R12" s="45"/>
      <c r="S12" s="45">
        <f t="shared" si="2"/>
        <v>0</v>
      </c>
      <c r="T12" s="44" t="s">
        <v>19</v>
      </c>
      <c r="U12" s="44" t="s">
        <v>20</v>
      </c>
      <c r="V12" s="43" t="s">
        <v>21</v>
      </c>
    </row>
    <row r="13" spans="1:25" ht="26.4">
      <c r="A13" s="2">
        <v>12</v>
      </c>
      <c r="B13" s="119">
        <v>202510</v>
      </c>
      <c r="C13" s="44" t="s">
        <v>43</v>
      </c>
      <c r="D13" s="44" t="s">
        <v>44</v>
      </c>
      <c r="E13" s="44" t="s">
        <v>24</v>
      </c>
      <c r="F13" s="44">
        <v>0</v>
      </c>
      <c r="G13" s="44">
        <v>0</v>
      </c>
      <c r="H13" s="44">
        <v>3</v>
      </c>
      <c r="I13" s="44">
        <v>3</v>
      </c>
      <c r="J13" s="44">
        <v>0</v>
      </c>
      <c r="K13" s="123">
        <v>100000</v>
      </c>
      <c r="L13" s="124">
        <f t="shared" si="0"/>
        <v>6</v>
      </c>
      <c r="M13" s="45">
        <f t="shared" si="1"/>
        <v>600000</v>
      </c>
      <c r="N13" s="45">
        <f t="shared" si="4"/>
        <v>600000</v>
      </c>
      <c r="O13" s="45"/>
      <c r="P13" s="61" t="s">
        <v>2774</v>
      </c>
      <c r="Q13" s="45"/>
      <c r="R13" s="45"/>
      <c r="S13" s="45">
        <f t="shared" si="2"/>
        <v>0</v>
      </c>
      <c r="T13" s="44" t="s">
        <v>19</v>
      </c>
      <c r="U13" s="44" t="s">
        <v>20</v>
      </c>
      <c r="V13" s="43" t="s">
        <v>21</v>
      </c>
    </row>
    <row r="14" spans="1:25">
      <c r="A14" s="2">
        <v>13</v>
      </c>
      <c r="B14" s="119">
        <v>202510</v>
      </c>
      <c r="C14" s="44" t="s">
        <v>45</v>
      </c>
      <c r="D14" s="44" t="s">
        <v>46</v>
      </c>
      <c r="E14" s="44" t="s">
        <v>24</v>
      </c>
      <c r="F14" s="44">
        <v>0</v>
      </c>
      <c r="G14" s="44">
        <v>0</v>
      </c>
      <c r="H14" s="44">
        <v>4</v>
      </c>
      <c r="I14" s="44">
        <v>0</v>
      </c>
      <c r="J14" s="44">
        <v>0</v>
      </c>
      <c r="K14" s="123">
        <v>100000</v>
      </c>
      <c r="L14" s="124">
        <f t="shared" si="0"/>
        <v>4</v>
      </c>
      <c r="M14" s="45">
        <f t="shared" si="1"/>
        <v>400000</v>
      </c>
      <c r="N14" s="45">
        <f t="shared" si="4"/>
        <v>400000</v>
      </c>
      <c r="O14" s="45"/>
      <c r="P14" s="45" t="s">
        <v>6287</v>
      </c>
      <c r="Q14" s="45"/>
      <c r="R14" s="45"/>
      <c r="S14" s="45">
        <f t="shared" si="2"/>
        <v>0</v>
      </c>
      <c r="T14" s="44" t="s">
        <v>19</v>
      </c>
      <c r="U14" s="44" t="s">
        <v>20</v>
      </c>
      <c r="V14" s="43" t="s">
        <v>21</v>
      </c>
    </row>
    <row r="15" spans="1:25">
      <c r="A15" s="2">
        <v>14</v>
      </c>
      <c r="B15" s="119">
        <v>202510</v>
      </c>
      <c r="C15" s="44" t="s">
        <v>47</v>
      </c>
      <c r="D15" s="44" t="s">
        <v>48</v>
      </c>
      <c r="E15" s="44" t="s">
        <v>24</v>
      </c>
      <c r="F15" s="44">
        <v>0</v>
      </c>
      <c r="G15" s="44">
        <v>0</v>
      </c>
      <c r="H15" s="44">
        <v>4</v>
      </c>
      <c r="I15" s="44">
        <v>0</v>
      </c>
      <c r="J15" s="44">
        <v>0</v>
      </c>
      <c r="K15" s="123">
        <v>100000</v>
      </c>
      <c r="L15" s="124">
        <f t="shared" si="0"/>
        <v>4</v>
      </c>
      <c r="M15" s="45">
        <f t="shared" si="1"/>
        <v>400000</v>
      </c>
      <c r="N15" s="45">
        <f t="shared" si="4"/>
        <v>400000</v>
      </c>
      <c r="O15" s="45"/>
      <c r="P15" s="45" t="s">
        <v>6293</v>
      </c>
      <c r="Q15" s="45"/>
      <c r="R15" s="45"/>
      <c r="S15" s="45">
        <f t="shared" si="2"/>
        <v>0</v>
      </c>
      <c r="T15" s="44" t="s">
        <v>19</v>
      </c>
      <c r="U15" s="44" t="s">
        <v>20</v>
      </c>
      <c r="V15" s="43" t="s">
        <v>21</v>
      </c>
    </row>
    <row r="16" spans="1:25">
      <c r="A16" s="2">
        <v>15</v>
      </c>
      <c r="B16" s="119">
        <v>202510</v>
      </c>
      <c r="C16" s="44" t="s">
        <v>49</v>
      </c>
      <c r="D16" s="44" t="s">
        <v>50</v>
      </c>
      <c r="E16" s="44" t="s">
        <v>24</v>
      </c>
      <c r="F16" s="44">
        <v>6</v>
      </c>
      <c r="G16" s="44">
        <v>0</v>
      </c>
      <c r="H16" s="44">
        <v>4</v>
      </c>
      <c r="I16" s="44">
        <v>4</v>
      </c>
      <c r="J16" s="44">
        <v>0</v>
      </c>
      <c r="K16" s="123">
        <v>100000</v>
      </c>
      <c r="L16" s="124">
        <f t="shared" si="0"/>
        <v>14</v>
      </c>
      <c r="M16" s="45">
        <f t="shared" si="1"/>
        <v>1400000</v>
      </c>
      <c r="N16" s="45">
        <f t="shared" si="4"/>
        <v>1400000</v>
      </c>
      <c r="O16" s="45"/>
      <c r="P16" s="45" t="s">
        <v>2090</v>
      </c>
      <c r="Q16" s="45"/>
      <c r="R16" s="45"/>
      <c r="S16" s="45">
        <f t="shared" si="2"/>
        <v>0</v>
      </c>
      <c r="T16" s="44" t="s">
        <v>19</v>
      </c>
      <c r="U16" s="44" t="s">
        <v>20</v>
      </c>
      <c r="V16" s="43" t="s">
        <v>21</v>
      </c>
    </row>
    <row r="17" spans="1:22">
      <c r="A17" s="2">
        <v>16</v>
      </c>
      <c r="B17" s="119">
        <v>202510</v>
      </c>
      <c r="C17" s="44" t="s">
        <v>51</v>
      </c>
      <c r="D17" s="44" t="s">
        <v>52</v>
      </c>
      <c r="E17" s="44" t="s">
        <v>24</v>
      </c>
      <c r="F17" s="44">
        <v>0</v>
      </c>
      <c r="G17" s="44">
        <v>0</v>
      </c>
      <c r="H17" s="44">
        <v>4</v>
      </c>
      <c r="I17" s="44">
        <v>4</v>
      </c>
      <c r="J17" s="44">
        <v>0</v>
      </c>
      <c r="K17" s="123">
        <v>100000</v>
      </c>
      <c r="L17" s="124">
        <f t="shared" si="0"/>
        <v>8</v>
      </c>
      <c r="M17" s="45">
        <f t="shared" si="1"/>
        <v>800000</v>
      </c>
      <c r="N17" s="45">
        <f t="shared" si="4"/>
        <v>800000</v>
      </c>
      <c r="O17" s="45"/>
      <c r="P17" s="45" t="s">
        <v>2113</v>
      </c>
      <c r="Q17" s="45"/>
      <c r="R17" s="45"/>
      <c r="S17" s="45">
        <f t="shared" si="2"/>
        <v>0</v>
      </c>
      <c r="T17" s="44" t="s">
        <v>19</v>
      </c>
      <c r="U17" s="44" t="s">
        <v>20</v>
      </c>
      <c r="V17" s="43" t="s">
        <v>21</v>
      </c>
    </row>
    <row r="18" spans="1:22">
      <c r="A18" s="2">
        <v>17</v>
      </c>
      <c r="B18" s="129">
        <v>202510</v>
      </c>
      <c r="C18" s="64" t="s">
        <v>53</v>
      </c>
      <c r="D18" s="64" t="s">
        <v>54</v>
      </c>
      <c r="E18" s="64" t="s">
        <v>24</v>
      </c>
      <c r="F18" s="64">
        <v>0</v>
      </c>
      <c r="G18" s="64">
        <v>0</v>
      </c>
      <c r="H18" s="64">
        <v>2</v>
      </c>
      <c r="I18" s="64">
        <v>0</v>
      </c>
      <c r="J18" s="64">
        <v>0</v>
      </c>
      <c r="K18" s="126">
        <v>100000</v>
      </c>
      <c r="L18" s="134">
        <f t="shared" si="0"/>
        <v>2</v>
      </c>
      <c r="M18" s="62">
        <f t="shared" si="1"/>
        <v>200000</v>
      </c>
      <c r="N18" s="62">
        <v>200000</v>
      </c>
      <c r="O18" s="45"/>
      <c r="P18" s="62" t="s">
        <v>2671</v>
      </c>
      <c r="Q18" s="45"/>
      <c r="R18" s="45"/>
      <c r="S18" s="170">
        <f t="shared" si="2"/>
        <v>0</v>
      </c>
      <c r="T18" s="44" t="s">
        <v>19</v>
      </c>
      <c r="U18" s="44" t="s">
        <v>20</v>
      </c>
      <c r="V18" s="43" t="s">
        <v>21</v>
      </c>
    </row>
    <row r="19" spans="1:22">
      <c r="A19" s="2">
        <v>18</v>
      </c>
      <c r="B19" s="119">
        <v>202510</v>
      </c>
      <c r="C19" s="44" t="s">
        <v>55</v>
      </c>
      <c r="D19" s="44" t="s">
        <v>56</v>
      </c>
      <c r="E19" s="44" t="s">
        <v>24</v>
      </c>
      <c r="F19" s="44">
        <v>0</v>
      </c>
      <c r="G19" s="44">
        <v>0</v>
      </c>
      <c r="H19" s="44">
        <v>4</v>
      </c>
      <c r="I19" s="44">
        <v>0</v>
      </c>
      <c r="J19" s="44">
        <v>0</v>
      </c>
      <c r="K19" s="123">
        <v>100000</v>
      </c>
      <c r="L19" s="124">
        <f t="shared" si="0"/>
        <v>4</v>
      </c>
      <c r="M19" s="45">
        <f t="shared" si="1"/>
        <v>400000</v>
      </c>
      <c r="N19" s="45">
        <f>M19</f>
        <v>400000</v>
      </c>
      <c r="O19" s="45"/>
      <c r="P19" s="45" t="s">
        <v>3066</v>
      </c>
      <c r="Q19" s="45"/>
      <c r="R19" s="45"/>
      <c r="S19" s="45">
        <f t="shared" si="2"/>
        <v>0</v>
      </c>
      <c r="T19" s="44" t="s">
        <v>19</v>
      </c>
      <c r="U19" s="44" t="s">
        <v>20</v>
      </c>
      <c r="V19" s="43" t="s">
        <v>21</v>
      </c>
    </row>
    <row r="20" spans="1:22">
      <c r="A20" s="2">
        <v>19</v>
      </c>
      <c r="B20" s="119">
        <v>202510</v>
      </c>
      <c r="C20" s="44" t="s">
        <v>57</v>
      </c>
      <c r="D20" s="44" t="s">
        <v>58</v>
      </c>
      <c r="E20" s="44" t="s">
        <v>59</v>
      </c>
      <c r="F20" s="44">
        <v>6</v>
      </c>
      <c r="G20" s="44">
        <v>4</v>
      </c>
      <c r="H20" s="44">
        <v>5</v>
      </c>
      <c r="I20" s="44">
        <v>4</v>
      </c>
      <c r="J20" s="44">
        <v>0</v>
      </c>
      <c r="K20" s="123">
        <v>100000</v>
      </c>
      <c r="L20" s="124">
        <f t="shared" si="0"/>
        <v>19</v>
      </c>
      <c r="M20" s="45">
        <f t="shared" si="1"/>
        <v>1900000</v>
      </c>
      <c r="N20" s="45">
        <f>M20</f>
        <v>1900000</v>
      </c>
      <c r="O20" s="45"/>
      <c r="P20" s="45" t="s">
        <v>3090</v>
      </c>
      <c r="Q20" s="45"/>
      <c r="R20" s="45"/>
      <c r="S20" s="45">
        <f t="shared" si="2"/>
        <v>0</v>
      </c>
      <c r="T20" s="44" t="s">
        <v>19</v>
      </c>
      <c r="U20" s="44" t="s">
        <v>20</v>
      </c>
      <c r="V20" s="43" t="s">
        <v>21</v>
      </c>
    </row>
    <row r="21" spans="1:22">
      <c r="A21" s="2">
        <v>20</v>
      </c>
      <c r="B21" s="119">
        <v>202510</v>
      </c>
      <c r="C21" s="44" t="s">
        <v>60</v>
      </c>
      <c r="D21" s="44" t="s">
        <v>61</v>
      </c>
      <c r="E21" s="44" t="s">
        <v>59</v>
      </c>
      <c r="F21" s="44">
        <v>0</v>
      </c>
      <c r="G21" s="44">
        <v>4</v>
      </c>
      <c r="H21" s="44">
        <v>5</v>
      </c>
      <c r="I21" s="44">
        <v>0</v>
      </c>
      <c r="J21" s="44">
        <v>0</v>
      </c>
      <c r="K21" s="123">
        <v>100000</v>
      </c>
      <c r="L21" s="124">
        <f t="shared" si="0"/>
        <v>9</v>
      </c>
      <c r="M21" s="45">
        <f t="shared" si="1"/>
        <v>900000</v>
      </c>
      <c r="N21" s="45">
        <f>M21</f>
        <v>900000</v>
      </c>
      <c r="O21" s="45"/>
      <c r="P21" s="45" t="s">
        <v>6647</v>
      </c>
      <c r="Q21" s="45"/>
      <c r="R21" s="45"/>
      <c r="S21" s="45">
        <f t="shared" si="2"/>
        <v>0</v>
      </c>
      <c r="T21" s="44" t="s">
        <v>19</v>
      </c>
      <c r="U21" s="44" t="s">
        <v>20</v>
      </c>
      <c r="V21" s="43" t="s">
        <v>21</v>
      </c>
    </row>
    <row r="22" spans="1:22">
      <c r="A22" s="2">
        <v>21</v>
      </c>
      <c r="B22" s="119">
        <v>202510</v>
      </c>
      <c r="C22" s="44" t="s">
        <v>62</v>
      </c>
      <c r="D22" s="44" t="s">
        <v>63</v>
      </c>
      <c r="E22" s="44" t="s">
        <v>59</v>
      </c>
      <c r="F22" s="44">
        <v>6</v>
      </c>
      <c r="G22" s="44">
        <v>4</v>
      </c>
      <c r="H22" s="44">
        <v>5</v>
      </c>
      <c r="I22" s="44">
        <v>4</v>
      </c>
      <c r="J22" s="44">
        <v>0</v>
      </c>
      <c r="K22" s="123">
        <v>100000</v>
      </c>
      <c r="L22" s="124">
        <f t="shared" si="0"/>
        <v>19</v>
      </c>
      <c r="M22" s="45">
        <f t="shared" si="1"/>
        <v>1900000</v>
      </c>
      <c r="N22" s="45">
        <f>M20</f>
        <v>1900000</v>
      </c>
      <c r="O22" s="45"/>
      <c r="P22" s="45" t="s">
        <v>3076</v>
      </c>
      <c r="Q22" s="45"/>
      <c r="R22" s="45"/>
      <c r="S22" s="45">
        <f t="shared" si="2"/>
        <v>0</v>
      </c>
      <c r="T22" s="44" t="s">
        <v>19</v>
      </c>
      <c r="U22" s="44" t="s">
        <v>20</v>
      </c>
      <c r="V22" s="43" t="s">
        <v>21</v>
      </c>
    </row>
    <row r="23" spans="1:22" ht="17.399999999999999" customHeight="1">
      <c r="A23" s="2">
        <v>22</v>
      </c>
      <c r="B23" s="130">
        <v>202510</v>
      </c>
      <c r="C23" s="68" t="s">
        <v>92</v>
      </c>
      <c r="D23" s="68" t="s">
        <v>93</v>
      </c>
      <c r="E23" s="68" t="s">
        <v>59</v>
      </c>
      <c r="F23" s="68">
        <v>0</v>
      </c>
      <c r="G23" s="68">
        <v>0</v>
      </c>
      <c r="H23" s="68">
        <v>0</v>
      </c>
      <c r="I23" s="68">
        <v>4</v>
      </c>
      <c r="J23" s="68">
        <v>0</v>
      </c>
      <c r="K23" s="127">
        <v>100000</v>
      </c>
      <c r="L23" s="128">
        <f t="shared" si="0"/>
        <v>4</v>
      </c>
      <c r="M23" s="45">
        <f t="shared" si="1"/>
        <v>400000</v>
      </c>
      <c r="N23" s="65">
        <v>400000</v>
      </c>
      <c r="O23" s="62"/>
      <c r="P23" s="65" t="s">
        <v>3094</v>
      </c>
      <c r="Q23" s="45"/>
      <c r="R23" s="45"/>
      <c r="S23" s="45">
        <f t="shared" si="2"/>
        <v>0</v>
      </c>
      <c r="T23" s="44" t="s">
        <v>19</v>
      </c>
      <c r="U23" s="44" t="s">
        <v>20</v>
      </c>
      <c r="V23" s="43" t="s">
        <v>21</v>
      </c>
    </row>
    <row r="24" spans="1:22">
      <c r="A24" s="2">
        <v>23</v>
      </c>
      <c r="B24" s="119">
        <v>202510</v>
      </c>
      <c r="C24" s="44" t="s">
        <v>64</v>
      </c>
      <c r="D24" s="44" t="s">
        <v>65</v>
      </c>
      <c r="E24" s="44" t="s">
        <v>59</v>
      </c>
      <c r="F24" s="44">
        <v>6</v>
      </c>
      <c r="G24" s="44">
        <v>4</v>
      </c>
      <c r="H24" s="44">
        <v>0</v>
      </c>
      <c r="I24" s="44">
        <v>4</v>
      </c>
      <c r="J24" s="44">
        <v>0</v>
      </c>
      <c r="K24" s="123">
        <v>100000</v>
      </c>
      <c r="L24" s="124">
        <f t="shared" si="0"/>
        <v>14</v>
      </c>
      <c r="M24" s="45">
        <f t="shared" si="1"/>
        <v>1400000</v>
      </c>
      <c r="N24" s="45">
        <f t="shared" ref="N24:N30" si="5">M24</f>
        <v>1400000</v>
      </c>
      <c r="O24" s="45"/>
      <c r="P24" s="45" t="s">
        <v>3060</v>
      </c>
      <c r="Q24" s="45"/>
      <c r="R24" s="45"/>
      <c r="S24" s="45">
        <f t="shared" si="2"/>
        <v>0</v>
      </c>
      <c r="T24" s="44" t="s">
        <v>19</v>
      </c>
      <c r="U24" s="44" t="s">
        <v>20</v>
      </c>
      <c r="V24" s="43" t="s">
        <v>21</v>
      </c>
    </row>
    <row r="25" spans="1:22">
      <c r="A25" s="2">
        <v>24</v>
      </c>
      <c r="B25" s="119">
        <v>202510</v>
      </c>
      <c r="C25" s="44" t="s">
        <v>66</v>
      </c>
      <c r="D25" s="44" t="s">
        <v>67</v>
      </c>
      <c r="E25" s="44" t="s">
        <v>59</v>
      </c>
      <c r="F25" s="44">
        <v>0</v>
      </c>
      <c r="G25" s="44">
        <v>0</v>
      </c>
      <c r="H25" s="44">
        <v>0</v>
      </c>
      <c r="I25" s="44">
        <v>4</v>
      </c>
      <c r="J25" s="44">
        <v>0</v>
      </c>
      <c r="K25" s="123">
        <v>100000</v>
      </c>
      <c r="L25" s="124">
        <f t="shared" si="0"/>
        <v>4</v>
      </c>
      <c r="M25" s="45">
        <f t="shared" si="1"/>
        <v>400000</v>
      </c>
      <c r="N25" s="45">
        <f t="shared" si="5"/>
        <v>400000</v>
      </c>
      <c r="O25" s="45"/>
      <c r="P25" s="45" t="s">
        <v>2735</v>
      </c>
      <c r="Q25" s="45"/>
      <c r="R25" s="45"/>
      <c r="S25" s="45">
        <f t="shared" si="2"/>
        <v>0</v>
      </c>
      <c r="T25" s="44" t="s">
        <v>19</v>
      </c>
      <c r="U25" s="44" t="s">
        <v>20</v>
      </c>
      <c r="V25" s="43" t="s">
        <v>21</v>
      </c>
    </row>
    <row r="26" spans="1:22">
      <c r="A26" s="2">
        <v>25</v>
      </c>
      <c r="B26" s="119">
        <v>202510</v>
      </c>
      <c r="C26" s="44" t="s">
        <v>68</v>
      </c>
      <c r="D26" s="44" t="s">
        <v>69</v>
      </c>
      <c r="E26" s="44" t="s">
        <v>59</v>
      </c>
      <c r="F26" s="44">
        <v>0</v>
      </c>
      <c r="G26" s="44">
        <v>4</v>
      </c>
      <c r="H26" s="44">
        <v>0</v>
      </c>
      <c r="I26" s="44">
        <v>4</v>
      </c>
      <c r="J26" s="44">
        <v>0</v>
      </c>
      <c r="K26" s="123">
        <v>100000</v>
      </c>
      <c r="L26" s="124">
        <f t="shared" si="0"/>
        <v>8</v>
      </c>
      <c r="M26" s="45">
        <f t="shared" si="1"/>
        <v>800000</v>
      </c>
      <c r="N26" s="45">
        <f t="shared" si="5"/>
        <v>800000</v>
      </c>
      <c r="O26" s="45"/>
      <c r="P26" s="45" t="s">
        <v>3133</v>
      </c>
      <c r="Q26" s="45"/>
      <c r="R26" s="45"/>
      <c r="S26" s="45">
        <f t="shared" si="2"/>
        <v>0</v>
      </c>
      <c r="T26" s="44" t="s">
        <v>19</v>
      </c>
      <c r="U26" s="44" t="s">
        <v>20</v>
      </c>
      <c r="V26" s="43" t="s">
        <v>21</v>
      </c>
    </row>
    <row r="27" spans="1:22">
      <c r="A27" s="2">
        <v>26</v>
      </c>
      <c r="B27" s="119">
        <v>202510</v>
      </c>
      <c r="C27" s="44" t="s">
        <v>70</v>
      </c>
      <c r="D27" s="44" t="s">
        <v>71</v>
      </c>
      <c r="E27" s="44" t="s">
        <v>59</v>
      </c>
      <c r="F27" s="44">
        <v>6</v>
      </c>
      <c r="G27" s="44">
        <v>4</v>
      </c>
      <c r="H27" s="44">
        <v>0</v>
      </c>
      <c r="I27" s="44">
        <v>4</v>
      </c>
      <c r="J27" s="44">
        <v>0</v>
      </c>
      <c r="K27" s="123">
        <v>100000</v>
      </c>
      <c r="L27" s="124">
        <f t="shared" si="0"/>
        <v>14</v>
      </c>
      <c r="M27" s="45">
        <f t="shared" si="1"/>
        <v>1400000</v>
      </c>
      <c r="N27" s="45">
        <f t="shared" si="5"/>
        <v>1400000</v>
      </c>
      <c r="O27" s="45"/>
      <c r="P27" s="45" t="s">
        <v>6306</v>
      </c>
      <c r="Q27" s="45"/>
      <c r="R27" s="45"/>
      <c r="S27" s="45">
        <f t="shared" si="2"/>
        <v>0</v>
      </c>
      <c r="T27" s="44" t="s">
        <v>19</v>
      </c>
      <c r="U27" s="44" t="s">
        <v>20</v>
      </c>
      <c r="V27" s="43" t="s">
        <v>21</v>
      </c>
    </row>
    <row r="28" spans="1:22">
      <c r="A28" s="2">
        <v>27</v>
      </c>
      <c r="B28" s="119">
        <v>202510</v>
      </c>
      <c r="C28" s="44" t="s">
        <v>72</v>
      </c>
      <c r="D28" s="44" t="s">
        <v>73</v>
      </c>
      <c r="E28" s="44" t="s">
        <v>59</v>
      </c>
      <c r="F28" s="44">
        <v>6</v>
      </c>
      <c r="G28" s="44">
        <v>4</v>
      </c>
      <c r="H28" s="44">
        <v>0</v>
      </c>
      <c r="I28" s="44">
        <v>4</v>
      </c>
      <c r="J28" s="44">
        <v>0</v>
      </c>
      <c r="K28" s="123">
        <v>100000</v>
      </c>
      <c r="L28" s="124">
        <f t="shared" si="0"/>
        <v>14</v>
      </c>
      <c r="M28" s="45">
        <f t="shared" si="1"/>
        <v>1400000</v>
      </c>
      <c r="N28" s="45">
        <f t="shared" si="5"/>
        <v>1400000</v>
      </c>
      <c r="O28" s="45"/>
      <c r="P28" s="45" t="s">
        <v>2696</v>
      </c>
      <c r="Q28" s="45"/>
      <c r="R28" s="45"/>
      <c r="S28" s="45">
        <f t="shared" si="2"/>
        <v>0</v>
      </c>
      <c r="T28" s="44" t="s">
        <v>19</v>
      </c>
      <c r="U28" s="44" t="s">
        <v>20</v>
      </c>
      <c r="V28" s="43" t="s">
        <v>21</v>
      </c>
    </row>
    <row r="29" spans="1:22">
      <c r="A29" s="2">
        <v>28</v>
      </c>
      <c r="B29" s="119">
        <v>202510</v>
      </c>
      <c r="C29" s="44" t="s">
        <v>74</v>
      </c>
      <c r="D29" s="44" t="s">
        <v>75</v>
      </c>
      <c r="E29" s="44" t="s">
        <v>59</v>
      </c>
      <c r="F29" s="44">
        <v>0</v>
      </c>
      <c r="G29" s="44">
        <v>3</v>
      </c>
      <c r="H29" s="44">
        <v>0</v>
      </c>
      <c r="I29" s="44">
        <v>4</v>
      </c>
      <c r="J29" s="44">
        <v>0</v>
      </c>
      <c r="K29" s="123">
        <v>100000</v>
      </c>
      <c r="L29" s="124">
        <f t="shared" si="0"/>
        <v>7</v>
      </c>
      <c r="M29" s="45">
        <f t="shared" si="1"/>
        <v>700000</v>
      </c>
      <c r="N29" s="45">
        <f t="shared" si="5"/>
        <v>700000</v>
      </c>
      <c r="O29" s="45"/>
      <c r="P29" s="45" t="s">
        <v>2047</v>
      </c>
      <c r="Q29" s="45"/>
      <c r="R29" s="45"/>
      <c r="S29" s="45">
        <f t="shared" si="2"/>
        <v>0</v>
      </c>
      <c r="T29" s="44" t="s">
        <v>19</v>
      </c>
      <c r="U29" s="44" t="s">
        <v>20</v>
      </c>
      <c r="V29" s="43" t="s">
        <v>21</v>
      </c>
    </row>
    <row r="30" spans="1:22">
      <c r="A30" s="2">
        <v>29</v>
      </c>
      <c r="B30" s="119">
        <v>202510</v>
      </c>
      <c r="C30" s="44" t="s">
        <v>76</v>
      </c>
      <c r="D30" s="44" t="s">
        <v>77</v>
      </c>
      <c r="E30" s="44" t="s">
        <v>59</v>
      </c>
      <c r="F30" s="44">
        <v>0</v>
      </c>
      <c r="G30" s="44">
        <v>4</v>
      </c>
      <c r="H30" s="44">
        <v>0</v>
      </c>
      <c r="I30" s="44">
        <v>4</v>
      </c>
      <c r="J30" s="44">
        <v>0</v>
      </c>
      <c r="K30" s="123">
        <v>100000</v>
      </c>
      <c r="L30" s="124">
        <f t="shared" si="0"/>
        <v>8</v>
      </c>
      <c r="M30" s="45">
        <f t="shared" si="1"/>
        <v>800000</v>
      </c>
      <c r="N30" s="45">
        <f t="shared" si="5"/>
        <v>800000</v>
      </c>
      <c r="O30" s="45"/>
      <c r="P30" s="45" t="s">
        <v>2715</v>
      </c>
      <c r="Q30" s="45"/>
      <c r="R30" s="45"/>
      <c r="S30" s="45">
        <f t="shared" si="2"/>
        <v>0</v>
      </c>
      <c r="T30" s="44" t="s">
        <v>19</v>
      </c>
      <c r="U30" s="44" t="s">
        <v>20</v>
      </c>
      <c r="V30" s="43" t="s">
        <v>21</v>
      </c>
    </row>
    <row r="31" spans="1:22">
      <c r="A31" s="2">
        <v>30</v>
      </c>
      <c r="B31" s="119">
        <v>202510</v>
      </c>
      <c r="C31" s="44" t="s">
        <v>78</v>
      </c>
      <c r="D31" s="44" t="s">
        <v>79</v>
      </c>
      <c r="E31" s="44" t="s">
        <v>59</v>
      </c>
      <c r="F31" s="44">
        <v>0</v>
      </c>
      <c r="G31" s="44">
        <v>4</v>
      </c>
      <c r="H31" s="44">
        <v>5</v>
      </c>
      <c r="I31" s="44">
        <v>0</v>
      </c>
      <c r="J31" s="44">
        <v>0</v>
      </c>
      <c r="K31" s="123">
        <v>100000</v>
      </c>
      <c r="L31" s="124">
        <f t="shared" si="0"/>
        <v>9</v>
      </c>
      <c r="M31" s="45">
        <f t="shared" si="1"/>
        <v>900000</v>
      </c>
      <c r="N31" s="45">
        <f>M31</f>
        <v>900000</v>
      </c>
      <c r="O31" s="45"/>
      <c r="P31" s="45" t="s">
        <v>7149</v>
      </c>
      <c r="Q31" s="45"/>
      <c r="R31" s="45"/>
      <c r="S31" s="45">
        <f t="shared" si="2"/>
        <v>0</v>
      </c>
      <c r="T31" s="44" t="s">
        <v>19</v>
      </c>
      <c r="U31" s="44" t="s">
        <v>20</v>
      </c>
      <c r="V31" s="43" t="s">
        <v>21</v>
      </c>
    </row>
    <row r="32" spans="1:22">
      <c r="A32" s="2">
        <v>31</v>
      </c>
      <c r="B32" s="119">
        <v>202510</v>
      </c>
      <c r="C32" s="44" t="s">
        <v>80</v>
      </c>
      <c r="D32" s="44" t="s">
        <v>81</v>
      </c>
      <c r="E32" s="44" t="s">
        <v>59</v>
      </c>
      <c r="F32" s="44">
        <v>6</v>
      </c>
      <c r="G32" s="44">
        <v>4</v>
      </c>
      <c r="H32" s="44">
        <v>0</v>
      </c>
      <c r="I32" s="44">
        <v>4</v>
      </c>
      <c r="J32" s="44">
        <v>0</v>
      </c>
      <c r="K32" s="123">
        <v>100000</v>
      </c>
      <c r="L32" s="124">
        <f t="shared" si="0"/>
        <v>14</v>
      </c>
      <c r="M32" s="45">
        <f t="shared" si="1"/>
        <v>1400000</v>
      </c>
      <c r="N32" s="45">
        <f t="shared" ref="N32:N37" si="6">M32</f>
        <v>1400000</v>
      </c>
      <c r="O32" s="45"/>
      <c r="P32" s="45" t="s">
        <v>2081</v>
      </c>
      <c r="Q32" s="45"/>
      <c r="R32" s="45"/>
      <c r="S32" s="45">
        <f t="shared" si="2"/>
        <v>0</v>
      </c>
      <c r="T32" s="44" t="s">
        <v>19</v>
      </c>
      <c r="U32" s="44" t="s">
        <v>20</v>
      </c>
      <c r="V32" s="43" t="s">
        <v>21</v>
      </c>
    </row>
    <row r="33" spans="1:22">
      <c r="A33" s="2">
        <v>32</v>
      </c>
      <c r="B33" s="119">
        <v>202510</v>
      </c>
      <c r="C33" s="44" t="s">
        <v>82</v>
      </c>
      <c r="D33" s="44" t="s">
        <v>83</v>
      </c>
      <c r="E33" s="44" t="s">
        <v>59</v>
      </c>
      <c r="F33" s="44">
        <v>0</v>
      </c>
      <c r="G33" s="44">
        <v>4</v>
      </c>
      <c r="H33" s="44">
        <v>0</v>
      </c>
      <c r="I33" s="44">
        <v>4</v>
      </c>
      <c r="J33" s="44">
        <v>0</v>
      </c>
      <c r="K33" s="123">
        <v>100000</v>
      </c>
      <c r="L33" s="124">
        <f t="shared" si="0"/>
        <v>8</v>
      </c>
      <c r="M33" s="45">
        <f t="shared" si="1"/>
        <v>800000</v>
      </c>
      <c r="N33" s="45">
        <f t="shared" si="6"/>
        <v>800000</v>
      </c>
      <c r="O33" s="45"/>
      <c r="P33" s="45" t="s">
        <v>2101</v>
      </c>
      <c r="Q33" s="45"/>
      <c r="R33" s="45"/>
      <c r="S33" s="45">
        <f t="shared" si="2"/>
        <v>0</v>
      </c>
      <c r="T33" s="44" t="s">
        <v>19</v>
      </c>
      <c r="U33" s="44" t="s">
        <v>20</v>
      </c>
      <c r="V33" s="43" t="s">
        <v>21</v>
      </c>
    </row>
    <row r="34" spans="1:22">
      <c r="A34" s="2">
        <v>33</v>
      </c>
      <c r="B34" s="119">
        <v>202510</v>
      </c>
      <c r="C34" s="44" t="s">
        <v>84</v>
      </c>
      <c r="D34" s="44" t="s">
        <v>85</v>
      </c>
      <c r="E34" s="44" t="s">
        <v>59</v>
      </c>
      <c r="F34" s="44">
        <v>6</v>
      </c>
      <c r="G34" s="44">
        <v>4</v>
      </c>
      <c r="H34" s="44">
        <v>0</v>
      </c>
      <c r="I34" s="44">
        <v>4</v>
      </c>
      <c r="J34" s="44">
        <v>0</v>
      </c>
      <c r="K34" s="123">
        <v>100000</v>
      </c>
      <c r="L34" s="124">
        <f t="shared" si="0"/>
        <v>14</v>
      </c>
      <c r="M34" s="45">
        <f t="shared" si="1"/>
        <v>1400000</v>
      </c>
      <c r="N34" s="45">
        <f t="shared" si="6"/>
        <v>1400000</v>
      </c>
      <c r="O34" s="45"/>
      <c r="P34" s="45" t="s">
        <v>2122</v>
      </c>
      <c r="Q34" s="45"/>
      <c r="R34" s="45"/>
      <c r="S34" s="45">
        <f t="shared" si="2"/>
        <v>0</v>
      </c>
      <c r="T34" s="44" t="s">
        <v>19</v>
      </c>
      <c r="U34" s="44" t="s">
        <v>20</v>
      </c>
      <c r="V34" s="43" t="s">
        <v>21</v>
      </c>
    </row>
    <row r="35" spans="1:22">
      <c r="A35" s="2">
        <v>34</v>
      </c>
      <c r="B35" s="119">
        <v>202510</v>
      </c>
      <c r="C35" s="44" t="s">
        <v>86</v>
      </c>
      <c r="D35" s="44" t="s">
        <v>87</v>
      </c>
      <c r="E35" s="44" t="s">
        <v>59</v>
      </c>
      <c r="F35" s="44">
        <v>0</v>
      </c>
      <c r="G35" s="44">
        <v>0</v>
      </c>
      <c r="H35" s="44">
        <v>0</v>
      </c>
      <c r="I35" s="44">
        <v>4</v>
      </c>
      <c r="J35" s="44">
        <v>0</v>
      </c>
      <c r="K35" s="123">
        <v>100000</v>
      </c>
      <c r="L35" s="124">
        <f t="shared" si="0"/>
        <v>4</v>
      </c>
      <c r="M35" s="45">
        <f t="shared" si="1"/>
        <v>400000</v>
      </c>
      <c r="N35" s="45">
        <f t="shared" si="6"/>
        <v>400000</v>
      </c>
      <c r="O35" s="45"/>
      <c r="P35" s="45" t="s">
        <v>2729</v>
      </c>
      <c r="Q35" s="45"/>
      <c r="R35" s="45"/>
      <c r="S35" s="45">
        <f t="shared" si="2"/>
        <v>0</v>
      </c>
      <c r="T35" s="44" t="s">
        <v>19</v>
      </c>
      <c r="U35" s="44" t="s">
        <v>20</v>
      </c>
      <c r="V35" s="43" t="s">
        <v>21</v>
      </c>
    </row>
    <row r="36" spans="1:22">
      <c r="A36" s="2">
        <v>35</v>
      </c>
      <c r="B36" s="119">
        <v>202510</v>
      </c>
      <c r="C36" s="44" t="s">
        <v>88</v>
      </c>
      <c r="D36" s="44" t="s">
        <v>89</v>
      </c>
      <c r="E36" s="44" t="s">
        <v>59</v>
      </c>
      <c r="F36" s="44">
        <v>6</v>
      </c>
      <c r="G36" s="44">
        <v>4</v>
      </c>
      <c r="H36" s="44">
        <v>0</v>
      </c>
      <c r="I36" s="44">
        <v>4</v>
      </c>
      <c r="J36" s="44">
        <v>0</v>
      </c>
      <c r="K36" s="123">
        <v>100000</v>
      </c>
      <c r="L36" s="124">
        <f t="shared" si="0"/>
        <v>14</v>
      </c>
      <c r="M36" s="45">
        <f t="shared" si="1"/>
        <v>1400000</v>
      </c>
      <c r="N36" s="45">
        <f t="shared" si="6"/>
        <v>1400000</v>
      </c>
      <c r="O36" s="45"/>
      <c r="P36" s="45" t="s">
        <v>2097</v>
      </c>
      <c r="Q36" s="45"/>
      <c r="R36" s="45"/>
      <c r="S36" s="45">
        <f t="shared" si="2"/>
        <v>0</v>
      </c>
      <c r="T36" s="44" t="s">
        <v>19</v>
      </c>
      <c r="U36" s="44" t="s">
        <v>20</v>
      </c>
      <c r="V36" s="43" t="s">
        <v>21</v>
      </c>
    </row>
    <row r="37" spans="1:22" ht="16.8" customHeight="1">
      <c r="A37" s="2">
        <v>36</v>
      </c>
      <c r="B37" s="119">
        <v>202510</v>
      </c>
      <c r="C37" s="44" t="s">
        <v>90</v>
      </c>
      <c r="D37" s="44" t="s">
        <v>91</v>
      </c>
      <c r="E37" s="44" t="s">
        <v>59</v>
      </c>
      <c r="F37" s="44">
        <v>6</v>
      </c>
      <c r="G37" s="44">
        <v>0</v>
      </c>
      <c r="H37" s="44">
        <v>0</v>
      </c>
      <c r="I37" s="44">
        <v>4</v>
      </c>
      <c r="J37" s="44">
        <v>0</v>
      </c>
      <c r="K37" s="123">
        <v>100000</v>
      </c>
      <c r="L37" s="124">
        <f t="shared" si="0"/>
        <v>10</v>
      </c>
      <c r="M37" s="45">
        <f t="shared" si="1"/>
        <v>1000000</v>
      </c>
      <c r="N37" s="45">
        <f t="shared" si="6"/>
        <v>1000000</v>
      </c>
      <c r="O37" s="45"/>
      <c r="P37" s="45" t="s">
        <v>6278</v>
      </c>
      <c r="Q37" s="45"/>
      <c r="R37" s="45"/>
      <c r="S37" s="45">
        <f t="shared" si="2"/>
        <v>0</v>
      </c>
      <c r="T37" s="44" t="s">
        <v>19</v>
      </c>
      <c r="U37" s="44" t="s">
        <v>20</v>
      </c>
      <c r="V37" s="43" t="s">
        <v>21</v>
      </c>
    </row>
    <row r="38" spans="1:22">
      <c r="A38" s="2">
        <v>38</v>
      </c>
      <c r="B38" s="119">
        <v>202510</v>
      </c>
      <c r="C38" s="44" t="s">
        <v>94</v>
      </c>
      <c r="D38" s="44" t="s">
        <v>95</v>
      </c>
      <c r="E38" s="44" t="s">
        <v>59</v>
      </c>
      <c r="F38" s="44">
        <v>6</v>
      </c>
      <c r="G38" s="44">
        <v>0</v>
      </c>
      <c r="H38" s="44">
        <v>0</v>
      </c>
      <c r="I38" s="44">
        <v>4</v>
      </c>
      <c r="J38" s="44">
        <v>0</v>
      </c>
      <c r="K38" s="123">
        <v>100000</v>
      </c>
      <c r="L38" s="124">
        <f t="shared" si="0"/>
        <v>10</v>
      </c>
      <c r="M38" s="45">
        <f t="shared" si="1"/>
        <v>1000000</v>
      </c>
      <c r="N38" s="45">
        <f t="shared" ref="N38:N46" si="7">M38</f>
        <v>1000000</v>
      </c>
      <c r="O38" s="45"/>
      <c r="P38" s="45" t="s">
        <v>2725</v>
      </c>
      <c r="Q38" s="45"/>
      <c r="R38" s="45"/>
      <c r="S38" s="45">
        <f t="shared" si="2"/>
        <v>0</v>
      </c>
      <c r="T38" s="44" t="s">
        <v>19</v>
      </c>
      <c r="U38" s="44" t="s">
        <v>20</v>
      </c>
      <c r="V38" s="43" t="s">
        <v>21</v>
      </c>
    </row>
    <row r="39" spans="1:22">
      <c r="A39" s="2">
        <v>39</v>
      </c>
      <c r="B39" s="119">
        <v>202510</v>
      </c>
      <c r="C39" s="44" t="s">
        <v>96</v>
      </c>
      <c r="D39" s="44" t="s">
        <v>97</v>
      </c>
      <c r="E39" s="44" t="s">
        <v>59</v>
      </c>
      <c r="F39" s="44">
        <v>6</v>
      </c>
      <c r="G39" s="44">
        <v>4</v>
      </c>
      <c r="H39" s="44">
        <v>0</v>
      </c>
      <c r="I39" s="44">
        <v>4</v>
      </c>
      <c r="J39" s="44">
        <v>0</v>
      </c>
      <c r="K39" s="123">
        <v>100000</v>
      </c>
      <c r="L39" s="124">
        <f t="shared" si="0"/>
        <v>14</v>
      </c>
      <c r="M39" s="45">
        <f t="shared" si="1"/>
        <v>1400000</v>
      </c>
      <c r="N39" s="45">
        <f t="shared" si="7"/>
        <v>1400000</v>
      </c>
      <c r="O39" s="45"/>
      <c r="P39" s="45" t="s">
        <v>3085</v>
      </c>
      <c r="Q39" s="45"/>
      <c r="R39" s="45"/>
      <c r="S39" s="45">
        <f t="shared" si="2"/>
        <v>0</v>
      </c>
      <c r="T39" s="44" t="s">
        <v>19</v>
      </c>
      <c r="U39" s="44" t="s">
        <v>20</v>
      </c>
      <c r="V39" s="43" t="s">
        <v>21</v>
      </c>
    </row>
    <row r="40" spans="1:22">
      <c r="A40" s="2">
        <v>40</v>
      </c>
      <c r="B40" s="119">
        <v>202510</v>
      </c>
      <c r="C40" s="44" t="s">
        <v>98</v>
      </c>
      <c r="D40" s="44" t="s">
        <v>99</v>
      </c>
      <c r="E40" s="44" t="s">
        <v>59</v>
      </c>
      <c r="F40" s="44">
        <v>6</v>
      </c>
      <c r="G40" s="44">
        <v>4</v>
      </c>
      <c r="H40" s="44">
        <v>0</v>
      </c>
      <c r="I40" s="44">
        <v>4</v>
      </c>
      <c r="J40" s="44">
        <v>0</v>
      </c>
      <c r="K40" s="123">
        <v>100000</v>
      </c>
      <c r="L40" s="124">
        <f t="shared" si="0"/>
        <v>14</v>
      </c>
      <c r="M40" s="45">
        <f t="shared" si="1"/>
        <v>1400000</v>
      </c>
      <c r="N40" s="45">
        <f t="shared" si="7"/>
        <v>1400000</v>
      </c>
      <c r="O40" s="45"/>
      <c r="P40" s="45" t="s">
        <v>3127</v>
      </c>
      <c r="Q40" s="45"/>
      <c r="R40" s="45"/>
      <c r="S40" s="45">
        <f t="shared" si="2"/>
        <v>0</v>
      </c>
      <c r="T40" s="44" t="s">
        <v>19</v>
      </c>
      <c r="U40" s="44" t="s">
        <v>20</v>
      </c>
      <c r="V40" s="43" t="s">
        <v>21</v>
      </c>
    </row>
    <row r="41" spans="1:22">
      <c r="A41" s="2">
        <v>41</v>
      </c>
      <c r="B41" s="119">
        <v>202510</v>
      </c>
      <c r="C41" s="44" t="s">
        <v>100</v>
      </c>
      <c r="D41" s="44" t="s">
        <v>101</v>
      </c>
      <c r="E41" s="44" t="s">
        <v>59</v>
      </c>
      <c r="F41" s="44">
        <v>0</v>
      </c>
      <c r="G41" s="44">
        <v>4</v>
      </c>
      <c r="H41" s="44">
        <v>5</v>
      </c>
      <c r="I41" s="44">
        <v>4</v>
      </c>
      <c r="J41" s="44">
        <v>0</v>
      </c>
      <c r="K41" s="123">
        <v>100000</v>
      </c>
      <c r="L41" s="124">
        <f t="shared" si="0"/>
        <v>13</v>
      </c>
      <c r="M41" s="45">
        <f t="shared" si="1"/>
        <v>1300000</v>
      </c>
      <c r="N41" s="45">
        <f t="shared" si="7"/>
        <v>1300000</v>
      </c>
      <c r="O41" s="45"/>
      <c r="P41" s="45" t="s">
        <v>2055</v>
      </c>
      <c r="Q41" s="45"/>
      <c r="R41" s="45"/>
      <c r="S41" s="45">
        <f t="shared" si="2"/>
        <v>0</v>
      </c>
      <c r="T41" s="44" t="s">
        <v>19</v>
      </c>
      <c r="U41" s="44" t="s">
        <v>20</v>
      </c>
      <c r="V41" s="43" t="s">
        <v>21</v>
      </c>
    </row>
    <row r="42" spans="1:22">
      <c r="A42" s="2">
        <v>42</v>
      </c>
      <c r="B42" s="119">
        <v>202510</v>
      </c>
      <c r="C42" s="44" t="s">
        <v>102</v>
      </c>
      <c r="D42" s="44" t="s">
        <v>103</v>
      </c>
      <c r="E42" s="44" t="s">
        <v>59</v>
      </c>
      <c r="F42" s="44">
        <v>0</v>
      </c>
      <c r="G42" s="44">
        <v>0</v>
      </c>
      <c r="H42" s="44">
        <v>0</v>
      </c>
      <c r="I42" s="44">
        <v>4</v>
      </c>
      <c r="J42" s="44">
        <v>0</v>
      </c>
      <c r="K42" s="123">
        <v>100000</v>
      </c>
      <c r="L42" s="124">
        <f t="shared" si="0"/>
        <v>4</v>
      </c>
      <c r="M42" s="45">
        <f t="shared" si="1"/>
        <v>400000</v>
      </c>
      <c r="N42" s="45">
        <f t="shared" si="7"/>
        <v>400000</v>
      </c>
      <c r="O42" s="45"/>
      <c r="P42" s="45" t="s">
        <v>2121</v>
      </c>
      <c r="Q42" s="45"/>
      <c r="R42" s="45"/>
      <c r="S42" s="45">
        <f t="shared" si="2"/>
        <v>0</v>
      </c>
      <c r="T42" s="44" t="s">
        <v>19</v>
      </c>
      <c r="U42" s="44" t="s">
        <v>20</v>
      </c>
      <c r="V42" s="43" t="s">
        <v>21</v>
      </c>
    </row>
    <row r="43" spans="1:22">
      <c r="A43" s="2">
        <v>43</v>
      </c>
      <c r="B43" s="119">
        <v>202510</v>
      </c>
      <c r="C43" s="44" t="s">
        <v>104</v>
      </c>
      <c r="D43" s="44" t="s">
        <v>105</v>
      </c>
      <c r="E43" s="44" t="s">
        <v>59</v>
      </c>
      <c r="F43" s="44">
        <v>6</v>
      </c>
      <c r="G43" s="44">
        <v>4</v>
      </c>
      <c r="H43" s="44">
        <v>0</v>
      </c>
      <c r="I43" s="44">
        <v>0</v>
      </c>
      <c r="J43" s="44">
        <v>0</v>
      </c>
      <c r="K43" s="123">
        <v>100000</v>
      </c>
      <c r="L43" s="124">
        <f t="shared" si="0"/>
        <v>10</v>
      </c>
      <c r="M43" s="45">
        <f t="shared" si="1"/>
        <v>1000000</v>
      </c>
      <c r="N43" s="45">
        <f t="shared" si="7"/>
        <v>1000000</v>
      </c>
      <c r="O43" s="45"/>
      <c r="P43" s="45" t="s">
        <v>6729</v>
      </c>
      <c r="Q43" s="45"/>
      <c r="R43" s="45"/>
      <c r="S43" s="45">
        <f t="shared" si="2"/>
        <v>0</v>
      </c>
      <c r="T43" s="44" t="s">
        <v>19</v>
      </c>
      <c r="U43" s="44" t="s">
        <v>20</v>
      </c>
      <c r="V43" s="43" t="s">
        <v>21</v>
      </c>
    </row>
    <row r="44" spans="1:22">
      <c r="A44" s="2">
        <v>44</v>
      </c>
      <c r="B44" s="119">
        <v>202510</v>
      </c>
      <c r="C44" s="44" t="s">
        <v>106</v>
      </c>
      <c r="D44" s="44" t="s">
        <v>107</v>
      </c>
      <c r="E44" s="44" t="s">
        <v>59</v>
      </c>
      <c r="F44" s="44">
        <v>6</v>
      </c>
      <c r="G44" s="44">
        <v>4</v>
      </c>
      <c r="H44" s="44">
        <v>0</v>
      </c>
      <c r="I44" s="44">
        <v>0</v>
      </c>
      <c r="J44" s="44">
        <v>0</v>
      </c>
      <c r="K44" s="123">
        <v>100000</v>
      </c>
      <c r="L44" s="124">
        <f t="shared" si="0"/>
        <v>10</v>
      </c>
      <c r="M44" s="45">
        <f t="shared" si="1"/>
        <v>1000000</v>
      </c>
      <c r="N44" s="45">
        <f t="shared" si="7"/>
        <v>1000000</v>
      </c>
      <c r="O44" s="45"/>
      <c r="P44" s="45" t="s">
        <v>2072</v>
      </c>
      <c r="Q44" s="45"/>
      <c r="R44" s="45"/>
      <c r="S44" s="45">
        <f t="shared" si="2"/>
        <v>0</v>
      </c>
      <c r="T44" s="44" t="s">
        <v>19</v>
      </c>
      <c r="U44" s="44" t="s">
        <v>20</v>
      </c>
      <c r="V44" s="43" t="s">
        <v>21</v>
      </c>
    </row>
    <row r="45" spans="1:22">
      <c r="A45" s="2">
        <v>45</v>
      </c>
      <c r="B45" s="119">
        <v>202510</v>
      </c>
      <c r="C45" s="44" t="s">
        <v>108</v>
      </c>
      <c r="D45" s="44" t="s">
        <v>109</v>
      </c>
      <c r="E45" s="44" t="s">
        <v>59</v>
      </c>
      <c r="F45" s="44">
        <v>6</v>
      </c>
      <c r="G45" s="44">
        <v>4</v>
      </c>
      <c r="H45" s="44">
        <v>0</v>
      </c>
      <c r="I45" s="44">
        <v>0</v>
      </c>
      <c r="J45" s="44">
        <v>0</v>
      </c>
      <c r="K45" s="123">
        <v>100000</v>
      </c>
      <c r="L45" s="124">
        <f t="shared" si="0"/>
        <v>10</v>
      </c>
      <c r="M45" s="45">
        <f t="shared" si="1"/>
        <v>1000000</v>
      </c>
      <c r="N45" s="45">
        <f t="shared" si="7"/>
        <v>1000000</v>
      </c>
      <c r="O45" s="45"/>
      <c r="P45" s="45" t="s">
        <v>2685</v>
      </c>
      <c r="Q45" s="45"/>
      <c r="R45" s="45"/>
      <c r="S45" s="45">
        <f t="shared" si="2"/>
        <v>0</v>
      </c>
      <c r="T45" s="44" t="s">
        <v>19</v>
      </c>
      <c r="U45" s="44" t="s">
        <v>20</v>
      </c>
      <c r="V45" s="43" t="s">
        <v>21</v>
      </c>
    </row>
    <row r="46" spans="1:22">
      <c r="A46" s="2">
        <v>46</v>
      </c>
      <c r="B46" s="119">
        <v>202510</v>
      </c>
      <c r="C46" s="44" t="s">
        <v>110</v>
      </c>
      <c r="D46" s="44" t="s">
        <v>111</v>
      </c>
      <c r="E46" s="44" t="s">
        <v>59</v>
      </c>
      <c r="F46" s="44">
        <v>6</v>
      </c>
      <c r="G46" s="44">
        <v>0</v>
      </c>
      <c r="H46" s="44">
        <v>0</v>
      </c>
      <c r="I46" s="44">
        <v>0</v>
      </c>
      <c r="J46" s="44">
        <v>0</v>
      </c>
      <c r="K46" s="123">
        <v>100000</v>
      </c>
      <c r="L46" s="124">
        <f t="shared" si="0"/>
        <v>6</v>
      </c>
      <c r="M46" s="45">
        <f t="shared" si="1"/>
        <v>600000</v>
      </c>
      <c r="N46" s="45">
        <f t="shared" si="7"/>
        <v>600000</v>
      </c>
      <c r="O46" s="45"/>
      <c r="P46" s="45" t="s">
        <v>3116</v>
      </c>
      <c r="Q46" s="45"/>
      <c r="R46" s="45"/>
      <c r="S46" s="45">
        <f t="shared" si="2"/>
        <v>0</v>
      </c>
      <c r="T46" s="44" t="s">
        <v>19</v>
      </c>
      <c r="U46" s="44" t="s">
        <v>20</v>
      </c>
      <c r="V46" s="43" t="s">
        <v>21</v>
      </c>
    </row>
    <row r="47" spans="1:22">
      <c r="A47" s="2">
        <v>47</v>
      </c>
      <c r="B47" s="119">
        <v>202510</v>
      </c>
      <c r="C47" s="44" t="s">
        <v>112</v>
      </c>
      <c r="D47" s="44" t="s">
        <v>113</v>
      </c>
      <c r="E47" s="44" t="s">
        <v>59</v>
      </c>
      <c r="F47" s="44">
        <v>0</v>
      </c>
      <c r="G47" s="44">
        <v>0</v>
      </c>
      <c r="H47" s="44">
        <v>0</v>
      </c>
      <c r="I47" s="44">
        <v>0</v>
      </c>
      <c r="J47" s="44">
        <v>0</v>
      </c>
      <c r="K47" s="123">
        <v>100000</v>
      </c>
      <c r="L47" s="124">
        <v>0</v>
      </c>
      <c r="M47" s="45">
        <f t="shared" si="1"/>
        <v>0</v>
      </c>
      <c r="N47" s="45"/>
      <c r="O47" s="45"/>
      <c r="P47" s="45"/>
      <c r="Q47" s="45"/>
      <c r="R47" s="45"/>
      <c r="S47" s="45">
        <f t="shared" si="2"/>
        <v>0</v>
      </c>
      <c r="T47" s="44" t="s">
        <v>19</v>
      </c>
      <c r="U47" s="44" t="s">
        <v>20</v>
      </c>
      <c r="V47" s="43" t="s">
        <v>21</v>
      </c>
    </row>
    <row r="48" spans="1:22">
      <c r="A48" s="2">
        <v>48</v>
      </c>
      <c r="B48" s="129">
        <v>202510</v>
      </c>
      <c r="C48" s="68" t="s">
        <v>114</v>
      </c>
      <c r="D48" s="68" t="s">
        <v>115</v>
      </c>
      <c r="E48" s="68" t="s">
        <v>59</v>
      </c>
      <c r="F48" s="68">
        <v>0</v>
      </c>
      <c r="G48" s="68">
        <v>3</v>
      </c>
      <c r="H48" s="68">
        <v>0</v>
      </c>
      <c r="I48" s="68">
        <v>0</v>
      </c>
      <c r="J48" s="68">
        <v>0</v>
      </c>
      <c r="K48" s="127">
        <v>100000</v>
      </c>
      <c r="L48" s="128">
        <f t="shared" ref="L48:L79" si="8">SUM(F48:J48)</f>
        <v>3</v>
      </c>
      <c r="M48" s="65">
        <f t="shared" si="1"/>
        <v>300000</v>
      </c>
      <c r="N48" s="65">
        <v>300000</v>
      </c>
      <c r="O48" s="65"/>
      <c r="P48" s="65" t="s">
        <v>2069</v>
      </c>
      <c r="Q48" s="65"/>
      <c r="R48" s="65"/>
      <c r="S48" s="173">
        <f t="shared" si="2"/>
        <v>0</v>
      </c>
      <c r="T48" s="44" t="s">
        <v>19</v>
      </c>
      <c r="U48" s="44" t="s">
        <v>20</v>
      </c>
      <c r="V48" s="43" t="s">
        <v>21</v>
      </c>
    </row>
    <row r="49" spans="1:22">
      <c r="A49" s="2">
        <v>49</v>
      </c>
      <c r="B49" s="119">
        <v>202510</v>
      </c>
      <c r="C49" s="44" t="s">
        <v>116</v>
      </c>
      <c r="D49" s="44" t="s">
        <v>117</v>
      </c>
      <c r="E49" s="44" t="s">
        <v>59</v>
      </c>
      <c r="F49" s="44">
        <v>0</v>
      </c>
      <c r="G49" s="44">
        <v>4</v>
      </c>
      <c r="H49" s="44">
        <v>5</v>
      </c>
      <c r="I49" s="44">
        <v>4</v>
      </c>
      <c r="J49" s="44">
        <v>0</v>
      </c>
      <c r="K49" s="123">
        <v>100000</v>
      </c>
      <c r="L49" s="124">
        <f t="shared" si="8"/>
        <v>13</v>
      </c>
      <c r="M49" s="45">
        <f t="shared" si="1"/>
        <v>1300000</v>
      </c>
      <c r="N49" s="45">
        <f>M49</f>
        <v>1300000</v>
      </c>
      <c r="O49" s="45"/>
      <c r="P49" s="45" t="s">
        <v>2050</v>
      </c>
      <c r="Q49" s="45"/>
      <c r="R49" s="45"/>
      <c r="S49" s="45">
        <f t="shared" si="2"/>
        <v>0</v>
      </c>
      <c r="T49" s="44" t="s">
        <v>19</v>
      </c>
      <c r="U49" s="44" t="s">
        <v>20</v>
      </c>
      <c r="V49" s="43" t="s">
        <v>21</v>
      </c>
    </row>
    <row r="50" spans="1:22">
      <c r="A50" s="2">
        <v>50</v>
      </c>
      <c r="B50" s="119">
        <v>202510</v>
      </c>
      <c r="C50" s="44" t="s">
        <v>118</v>
      </c>
      <c r="D50" s="44" t="s">
        <v>119</v>
      </c>
      <c r="E50" s="44" t="s">
        <v>59</v>
      </c>
      <c r="F50" s="44">
        <v>6</v>
      </c>
      <c r="G50" s="44">
        <v>4</v>
      </c>
      <c r="H50" s="44">
        <v>5</v>
      </c>
      <c r="I50" s="44">
        <v>4</v>
      </c>
      <c r="J50" s="44">
        <v>0</v>
      </c>
      <c r="K50" s="123">
        <v>100000</v>
      </c>
      <c r="L50" s="124">
        <f t="shared" si="8"/>
        <v>19</v>
      </c>
      <c r="M50" s="45">
        <f t="shared" si="1"/>
        <v>1900000</v>
      </c>
      <c r="N50" s="45">
        <f>M50</f>
        <v>1900000</v>
      </c>
      <c r="O50" s="45"/>
      <c r="P50" s="45" t="s">
        <v>6559</v>
      </c>
      <c r="Q50" s="45"/>
      <c r="R50" s="45"/>
      <c r="S50" s="45">
        <f t="shared" si="2"/>
        <v>0</v>
      </c>
      <c r="T50" s="44" t="s">
        <v>19</v>
      </c>
      <c r="U50" s="44" t="s">
        <v>20</v>
      </c>
      <c r="V50" s="43" t="s">
        <v>21</v>
      </c>
    </row>
    <row r="51" spans="1:22">
      <c r="A51" s="2">
        <v>51</v>
      </c>
      <c r="B51" s="119">
        <v>202510</v>
      </c>
      <c r="C51" s="44" t="s">
        <v>120</v>
      </c>
      <c r="D51" s="44" t="s">
        <v>121</v>
      </c>
      <c r="E51" s="44" t="s">
        <v>59</v>
      </c>
      <c r="F51" s="44">
        <v>6</v>
      </c>
      <c r="G51" s="44">
        <v>4</v>
      </c>
      <c r="H51" s="44">
        <v>5</v>
      </c>
      <c r="I51" s="44">
        <v>4</v>
      </c>
      <c r="J51" s="44">
        <v>0</v>
      </c>
      <c r="K51" s="123">
        <v>100000</v>
      </c>
      <c r="L51" s="124">
        <f t="shared" si="8"/>
        <v>19</v>
      </c>
      <c r="M51" s="45">
        <f t="shared" si="1"/>
        <v>1900000</v>
      </c>
      <c r="N51" s="45">
        <f t="shared" ref="N51:N62" si="9">M51</f>
        <v>1900000</v>
      </c>
      <c r="O51" s="45"/>
      <c r="P51" s="45" t="s">
        <v>3053</v>
      </c>
      <c r="Q51" s="45"/>
      <c r="R51" s="45"/>
      <c r="S51" s="45">
        <f t="shared" si="2"/>
        <v>0</v>
      </c>
      <c r="T51" s="44" t="s">
        <v>19</v>
      </c>
      <c r="U51" s="44" t="s">
        <v>20</v>
      </c>
      <c r="V51" s="43" t="s">
        <v>21</v>
      </c>
    </row>
    <row r="52" spans="1:22">
      <c r="A52" s="2">
        <v>52</v>
      </c>
      <c r="B52" s="119">
        <v>202510</v>
      </c>
      <c r="C52" s="44" t="s">
        <v>122</v>
      </c>
      <c r="D52" s="44" t="s">
        <v>123</v>
      </c>
      <c r="E52" s="44" t="s">
        <v>59</v>
      </c>
      <c r="F52" s="44">
        <v>6</v>
      </c>
      <c r="G52" s="44">
        <v>4</v>
      </c>
      <c r="H52" s="44">
        <v>5</v>
      </c>
      <c r="I52" s="44">
        <v>4</v>
      </c>
      <c r="J52" s="44">
        <v>0</v>
      </c>
      <c r="K52" s="123">
        <v>100000</v>
      </c>
      <c r="L52" s="124">
        <f t="shared" si="8"/>
        <v>19</v>
      </c>
      <c r="M52" s="45">
        <f t="shared" si="1"/>
        <v>1900000</v>
      </c>
      <c r="N52" s="45">
        <f t="shared" si="9"/>
        <v>1900000</v>
      </c>
      <c r="O52" s="45"/>
      <c r="P52" s="45" t="s">
        <v>2781</v>
      </c>
      <c r="Q52" s="45"/>
      <c r="R52" s="45"/>
      <c r="S52" s="45">
        <f t="shared" si="2"/>
        <v>0</v>
      </c>
      <c r="T52" s="44" t="s">
        <v>19</v>
      </c>
      <c r="U52" s="44" t="s">
        <v>20</v>
      </c>
      <c r="V52" s="43" t="s">
        <v>21</v>
      </c>
    </row>
    <row r="53" spans="1:22">
      <c r="A53" s="2">
        <v>53</v>
      </c>
      <c r="B53" s="119">
        <v>202510</v>
      </c>
      <c r="C53" s="44" t="s">
        <v>124</v>
      </c>
      <c r="D53" s="44" t="s">
        <v>125</v>
      </c>
      <c r="E53" s="44" t="s">
        <v>59</v>
      </c>
      <c r="F53" s="44">
        <v>0</v>
      </c>
      <c r="G53" s="44">
        <v>0</v>
      </c>
      <c r="H53" s="44">
        <v>5</v>
      </c>
      <c r="I53" s="44">
        <v>4</v>
      </c>
      <c r="J53" s="44">
        <v>0</v>
      </c>
      <c r="K53" s="123">
        <v>100000</v>
      </c>
      <c r="L53" s="124">
        <f t="shared" si="8"/>
        <v>9</v>
      </c>
      <c r="M53" s="45">
        <f t="shared" si="1"/>
        <v>900000</v>
      </c>
      <c r="N53" s="45">
        <f t="shared" si="9"/>
        <v>900000</v>
      </c>
      <c r="O53" s="45"/>
      <c r="P53" s="45" t="s">
        <v>2079</v>
      </c>
      <c r="Q53" s="45"/>
      <c r="R53" s="45"/>
      <c r="S53" s="45">
        <f t="shared" si="2"/>
        <v>0</v>
      </c>
      <c r="T53" s="44" t="s">
        <v>19</v>
      </c>
      <c r="U53" s="44" t="s">
        <v>20</v>
      </c>
      <c r="V53" s="43" t="s">
        <v>21</v>
      </c>
    </row>
    <row r="54" spans="1:22">
      <c r="A54" s="2">
        <v>54</v>
      </c>
      <c r="B54" s="119">
        <v>202510</v>
      </c>
      <c r="C54" s="44" t="s">
        <v>126</v>
      </c>
      <c r="D54" s="44" t="s">
        <v>127</v>
      </c>
      <c r="E54" s="44" t="s">
        <v>59</v>
      </c>
      <c r="F54" s="44">
        <v>6</v>
      </c>
      <c r="G54" s="44">
        <v>4</v>
      </c>
      <c r="H54" s="44">
        <v>5</v>
      </c>
      <c r="I54" s="44">
        <v>4</v>
      </c>
      <c r="J54" s="44">
        <v>0</v>
      </c>
      <c r="K54" s="123">
        <v>100000</v>
      </c>
      <c r="L54" s="124">
        <f t="shared" si="8"/>
        <v>19</v>
      </c>
      <c r="M54" s="45">
        <f t="shared" si="1"/>
        <v>1900000</v>
      </c>
      <c r="N54" s="45">
        <f t="shared" si="9"/>
        <v>1900000</v>
      </c>
      <c r="O54" s="45"/>
      <c r="P54" s="45" t="s">
        <v>2818</v>
      </c>
      <c r="Q54" s="45"/>
      <c r="R54" s="45"/>
      <c r="S54" s="45">
        <f t="shared" si="2"/>
        <v>0</v>
      </c>
      <c r="T54" s="44" t="s">
        <v>19</v>
      </c>
      <c r="U54" s="44" t="s">
        <v>20</v>
      </c>
      <c r="V54" s="43" t="s">
        <v>21</v>
      </c>
    </row>
    <row r="55" spans="1:22">
      <c r="A55" s="2"/>
      <c r="B55" s="120">
        <v>202510</v>
      </c>
      <c r="C55" s="44" t="s">
        <v>6157</v>
      </c>
      <c r="D55" s="44" t="s">
        <v>105</v>
      </c>
      <c r="E55" s="44" t="s">
        <v>59</v>
      </c>
      <c r="F55" s="44">
        <v>1</v>
      </c>
      <c r="G55" s="44">
        <v>0</v>
      </c>
      <c r="H55" s="44">
        <v>0</v>
      </c>
      <c r="I55" s="44">
        <v>1</v>
      </c>
      <c r="J55" s="44">
        <v>0</v>
      </c>
      <c r="K55" s="124">
        <v>100000</v>
      </c>
      <c r="L55" s="124">
        <f t="shared" si="8"/>
        <v>2</v>
      </c>
      <c r="M55" s="45">
        <f t="shared" si="1"/>
        <v>200000</v>
      </c>
      <c r="N55" s="45">
        <f>M55</f>
        <v>200000</v>
      </c>
      <c r="O55" s="45"/>
      <c r="P55" s="45" t="s">
        <v>6328</v>
      </c>
      <c r="Q55" s="45"/>
      <c r="R55" s="45"/>
      <c r="S55" s="45">
        <f t="shared" si="2"/>
        <v>0</v>
      </c>
      <c r="T55" s="44" t="s">
        <v>19</v>
      </c>
      <c r="U55" s="44" t="s">
        <v>20</v>
      </c>
      <c r="V55" s="43" t="s">
        <v>21</v>
      </c>
    </row>
    <row r="56" spans="1:22">
      <c r="A56" s="2"/>
      <c r="B56" s="120">
        <v>202510</v>
      </c>
      <c r="C56" s="44" t="s">
        <v>6158</v>
      </c>
      <c r="D56" s="44" t="s">
        <v>65</v>
      </c>
      <c r="E56" s="44" t="s">
        <v>59</v>
      </c>
      <c r="F56" s="44">
        <v>0</v>
      </c>
      <c r="G56" s="44">
        <v>2</v>
      </c>
      <c r="H56" s="44">
        <v>4</v>
      </c>
      <c r="I56" s="44">
        <v>0</v>
      </c>
      <c r="J56" s="44">
        <v>0</v>
      </c>
      <c r="K56" s="124">
        <v>100000</v>
      </c>
      <c r="L56" s="124">
        <f t="shared" si="8"/>
        <v>6</v>
      </c>
      <c r="M56" s="45">
        <f t="shared" si="1"/>
        <v>600000</v>
      </c>
      <c r="N56" s="45">
        <f>M56</f>
        <v>600000</v>
      </c>
      <c r="O56" s="45"/>
      <c r="P56" s="45" t="s">
        <v>6552</v>
      </c>
      <c r="Q56" s="45"/>
      <c r="R56" s="45"/>
      <c r="S56" s="45">
        <f t="shared" si="2"/>
        <v>0</v>
      </c>
      <c r="T56" s="44" t="s">
        <v>19</v>
      </c>
      <c r="U56" s="44" t="s">
        <v>20</v>
      </c>
      <c r="V56" s="43" t="s">
        <v>21</v>
      </c>
    </row>
    <row r="57" spans="1:22">
      <c r="A57" s="2">
        <v>55</v>
      </c>
      <c r="B57" s="119">
        <v>202510</v>
      </c>
      <c r="C57" s="44" t="s">
        <v>128</v>
      </c>
      <c r="D57" s="44" t="s">
        <v>129</v>
      </c>
      <c r="E57" s="44" t="s">
        <v>130</v>
      </c>
      <c r="F57" s="44">
        <v>0</v>
      </c>
      <c r="G57" s="44">
        <v>0</v>
      </c>
      <c r="H57" s="44">
        <v>3</v>
      </c>
      <c r="I57" s="44">
        <v>0</v>
      </c>
      <c r="J57" s="44">
        <v>0</v>
      </c>
      <c r="K57" s="123">
        <v>100000</v>
      </c>
      <c r="L57" s="124">
        <f t="shared" si="8"/>
        <v>3</v>
      </c>
      <c r="M57" s="45">
        <f t="shared" si="1"/>
        <v>300000</v>
      </c>
      <c r="N57" s="45">
        <f t="shared" si="9"/>
        <v>300000</v>
      </c>
      <c r="O57" s="45"/>
      <c r="P57" s="45" t="s">
        <v>2826</v>
      </c>
      <c r="Q57" s="45"/>
      <c r="R57" s="45"/>
      <c r="S57" s="45">
        <f t="shared" si="2"/>
        <v>0</v>
      </c>
      <c r="T57" s="44" t="s">
        <v>19</v>
      </c>
      <c r="U57" s="44" t="s">
        <v>20</v>
      </c>
      <c r="V57" s="43" t="s">
        <v>21</v>
      </c>
    </row>
    <row r="58" spans="1:22">
      <c r="A58" s="2">
        <v>56</v>
      </c>
      <c r="B58" s="119">
        <v>202510</v>
      </c>
      <c r="C58" s="44" t="s">
        <v>131</v>
      </c>
      <c r="D58" s="44" t="s">
        <v>132</v>
      </c>
      <c r="E58" s="44" t="s">
        <v>130</v>
      </c>
      <c r="F58" s="44">
        <v>0</v>
      </c>
      <c r="G58" s="44">
        <v>0</v>
      </c>
      <c r="H58" s="44">
        <v>4</v>
      </c>
      <c r="I58" s="44">
        <v>0</v>
      </c>
      <c r="J58" s="44">
        <v>0</v>
      </c>
      <c r="K58" s="123">
        <v>100000</v>
      </c>
      <c r="L58" s="124">
        <f t="shared" si="8"/>
        <v>4</v>
      </c>
      <c r="M58" s="45">
        <f t="shared" si="1"/>
        <v>400000</v>
      </c>
      <c r="N58" s="45">
        <f t="shared" si="9"/>
        <v>400000</v>
      </c>
      <c r="O58" s="45"/>
      <c r="P58" s="45" t="s">
        <v>2694</v>
      </c>
      <c r="Q58" s="45"/>
      <c r="R58" s="45"/>
      <c r="S58" s="45">
        <f t="shared" si="2"/>
        <v>0</v>
      </c>
      <c r="T58" s="44" t="s">
        <v>19</v>
      </c>
      <c r="U58" s="44" t="s">
        <v>20</v>
      </c>
      <c r="V58" s="43" t="s">
        <v>21</v>
      </c>
    </row>
    <row r="59" spans="1:22">
      <c r="A59" s="2">
        <v>57</v>
      </c>
      <c r="B59" s="119">
        <v>202510</v>
      </c>
      <c r="C59" s="44" t="s">
        <v>133</v>
      </c>
      <c r="D59" s="44" t="s">
        <v>134</v>
      </c>
      <c r="E59" s="44" t="s">
        <v>130</v>
      </c>
      <c r="F59" s="44">
        <v>0</v>
      </c>
      <c r="G59" s="44">
        <v>0</v>
      </c>
      <c r="H59" s="44">
        <v>4</v>
      </c>
      <c r="I59" s="44">
        <v>0</v>
      </c>
      <c r="J59" s="44">
        <v>0</v>
      </c>
      <c r="K59" s="123">
        <v>100000</v>
      </c>
      <c r="L59" s="124">
        <f t="shared" si="8"/>
        <v>4</v>
      </c>
      <c r="M59" s="45">
        <f t="shared" si="1"/>
        <v>400000</v>
      </c>
      <c r="N59" s="45">
        <f t="shared" si="9"/>
        <v>400000</v>
      </c>
      <c r="O59" s="45"/>
      <c r="P59" s="45" t="s">
        <v>3088</v>
      </c>
      <c r="Q59" s="45"/>
      <c r="R59" s="45"/>
      <c r="S59" s="45">
        <f t="shared" si="2"/>
        <v>0</v>
      </c>
      <c r="T59" s="44" t="s">
        <v>19</v>
      </c>
      <c r="U59" s="44" t="s">
        <v>20</v>
      </c>
      <c r="V59" s="43" t="s">
        <v>21</v>
      </c>
    </row>
    <row r="60" spans="1:22">
      <c r="A60" s="2">
        <v>58</v>
      </c>
      <c r="B60" s="119">
        <v>202510</v>
      </c>
      <c r="C60" s="44" t="s">
        <v>135</v>
      </c>
      <c r="D60" s="44" t="s">
        <v>136</v>
      </c>
      <c r="E60" s="44" t="s">
        <v>130</v>
      </c>
      <c r="F60" s="44">
        <v>0</v>
      </c>
      <c r="G60" s="44">
        <v>0</v>
      </c>
      <c r="H60" s="44">
        <v>4</v>
      </c>
      <c r="I60" s="44">
        <v>0</v>
      </c>
      <c r="J60" s="44">
        <v>0</v>
      </c>
      <c r="K60" s="123">
        <v>100000</v>
      </c>
      <c r="L60" s="124">
        <f t="shared" si="8"/>
        <v>4</v>
      </c>
      <c r="M60" s="45">
        <f t="shared" si="1"/>
        <v>400000</v>
      </c>
      <c r="N60" s="45">
        <f t="shared" si="9"/>
        <v>400000</v>
      </c>
      <c r="O60" s="45"/>
      <c r="P60" s="45" t="s">
        <v>3111</v>
      </c>
      <c r="Q60" s="45"/>
      <c r="R60" s="45"/>
      <c r="S60" s="45">
        <f t="shared" si="2"/>
        <v>0</v>
      </c>
      <c r="T60" s="44" t="s">
        <v>19</v>
      </c>
      <c r="U60" s="44" t="s">
        <v>20</v>
      </c>
      <c r="V60" s="43" t="s">
        <v>21</v>
      </c>
    </row>
    <row r="61" spans="1:22">
      <c r="A61" s="2">
        <v>59</v>
      </c>
      <c r="B61" s="119">
        <v>202510</v>
      </c>
      <c r="C61" s="44" t="s">
        <v>137</v>
      </c>
      <c r="D61" s="44" t="s">
        <v>138</v>
      </c>
      <c r="E61" s="44" t="s">
        <v>130</v>
      </c>
      <c r="F61" s="44">
        <v>0</v>
      </c>
      <c r="G61" s="44">
        <v>0</v>
      </c>
      <c r="H61" s="44">
        <v>3</v>
      </c>
      <c r="I61" s="44">
        <v>0</v>
      </c>
      <c r="J61" s="44">
        <v>0</v>
      </c>
      <c r="K61" s="123">
        <v>100000</v>
      </c>
      <c r="L61" s="124">
        <f t="shared" si="8"/>
        <v>3</v>
      </c>
      <c r="M61" s="45">
        <f t="shared" si="1"/>
        <v>300000</v>
      </c>
      <c r="N61" s="45">
        <f t="shared" si="9"/>
        <v>300000</v>
      </c>
      <c r="O61" s="45"/>
      <c r="P61" s="45" t="s">
        <v>2807</v>
      </c>
      <c r="Q61" s="45"/>
      <c r="R61" s="45"/>
      <c r="S61" s="45">
        <f t="shared" si="2"/>
        <v>0</v>
      </c>
      <c r="T61" s="44" t="s">
        <v>19</v>
      </c>
      <c r="U61" s="44" t="s">
        <v>20</v>
      </c>
      <c r="V61" s="43" t="s">
        <v>21</v>
      </c>
    </row>
    <row r="62" spans="1:22">
      <c r="A62" s="2">
        <v>60</v>
      </c>
      <c r="B62" s="119">
        <v>202510</v>
      </c>
      <c r="C62" s="44" t="s">
        <v>139</v>
      </c>
      <c r="D62" s="44" t="s">
        <v>140</v>
      </c>
      <c r="E62" s="44" t="s">
        <v>130</v>
      </c>
      <c r="F62" s="44">
        <v>0</v>
      </c>
      <c r="G62" s="44">
        <v>0</v>
      </c>
      <c r="H62" s="44">
        <v>4</v>
      </c>
      <c r="I62" s="44">
        <v>0</v>
      </c>
      <c r="J62" s="44">
        <v>0</v>
      </c>
      <c r="K62" s="123">
        <v>100000</v>
      </c>
      <c r="L62" s="124">
        <f t="shared" si="8"/>
        <v>4</v>
      </c>
      <c r="M62" s="45">
        <f t="shared" si="1"/>
        <v>400000</v>
      </c>
      <c r="N62" s="45">
        <f t="shared" si="9"/>
        <v>400000</v>
      </c>
      <c r="O62" s="45"/>
      <c r="P62" s="45" t="s">
        <v>2816</v>
      </c>
      <c r="Q62" s="45"/>
      <c r="R62" s="45"/>
      <c r="S62" s="45">
        <f t="shared" si="2"/>
        <v>0</v>
      </c>
      <c r="T62" s="44" t="s">
        <v>19</v>
      </c>
      <c r="U62" s="44" t="s">
        <v>20</v>
      </c>
      <c r="V62" s="43" t="s">
        <v>21</v>
      </c>
    </row>
    <row r="63" spans="1:22" ht="15" customHeight="1">
      <c r="A63" s="2">
        <v>61</v>
      </c>
      <c r="B63" s="119">
        <v>202510</v>
      </c>
      <c r="C63" s="44" t="s">
        <v>141</v>
      </c>
      <c r="D63" s="44" t="s">
        <v>142</v>
      </c>
      <c r="E63" s="44" t="s">
        <v>130</v>
      </c>
      <c r="F63" s="44">
        <v>0</v>
      </c>
      <c r="G63" s="44">
        <v>0</v>
      </c>
      <c r="H63" s="44">
        <v>4</v>
      </c>
      <c r="I63" s="44">
        <v>0</v>
      </c>
      <c r="J63" s="44">
        <v>0</v>
      </c>
      <c r="K63" s="123">
        <v>100000</v>
      </c>
      <c r="L63" s="124">
        <f t="shared" si="8"/>
        <v>4</v>
      </c>
      <c r="M63" s="45">
        <f t="shared" si="1"/>
        <v>400000</v>
      </c>
      <c r="N63" s="45">
        <f>M63+200000</f>
        <v>600000</v>
      </c>
      <c r="O63" s="45"/>
      <c r="P63" s="61" t="s">
        <v>7078</v>
      </c>
      <c r="Q63" s="45"/>
      <c r="R63" s="45"/>
      <c r="S63" s="62">
        <f t="shared" si="2"/>
        <v>-200000</v>
      </c>
      <c r="T63" s="44" t="s">
        <v>19</v>
      </c>
      <c r="U63" s="44" t="s">
        <v>20</v>
      </c>
      <c r="V63" s="43" t="s">
        <v>21</v>
      </c>
    </row>
    <row r="64" spans="1:22">
      <c r="A64" s="2">
        <v>62</v>
      </c>
      <c r="B64" s="119">
        <v>202510</v>
      </c>
      <c r="C64" s="44" t="s">
        <v>143</v>
      </c>
      <c r="D64" s="44" t="s">
        <v>144</v>
      </c>
      <c r="E64" s="44" t="s">
        <v>130</v>
      </c>
      <c r="F64" s="44">
        <v>0</v>
      </c>
      <c r="G64" s="44">
        <v>0</v>
      </c>
      <c r="H64" s="44">
        <v>4</v>
      </c>
      <c r="I64" s="44">
        <v>0</v>
      </c>
      <c r="J64" s="44">
        <v>0</v>
      </c>
      <c r="K64" s="123">
        <v>100000</v>
      </c>
      <c r="L64" s="124">
        <f t="shared" si="8"/>
        <v>4</v>
      </c>
      <c r="M64" s="45">
        <f t="shared" si="1"/>
        <v>400000</v>
      </c>
      <c r="N64" s="45">
        <f>M64</f>
        <v>400000</v>
      </c>
      <c r="O64" s="45"/>
      <c r="P64" s="45" t="s">
        <v>2672</v>
      </c>
      <c r="Q64" s="45"/>
      <c r="R64" s="45"/>
      <c r="S64" s="45">
        <f t="shared" si="2"/>
        <v>0</v>
      </c>
      <c r="T64" s="44" t="s">
        <v>19</v>
      </c>
      <c r="U64" s="44" t="s">
        <v>20</v>
      </c>
      <c r="V64" s="43" t="s">
        <v>21</v>
      </c>
    </row>
    <row r="65" spans="1:22">
      <c r="A65" s="2">
        <v>63</v>
      </c>
      <c r="B65" s="119">
        <v>202510</v>
      </c>
      <c r="C65" s="44" t="s">
        <v>145</v>
      </c>
      <c r="D65" s="44" t="s">
        <v>146</v>
      </c>
      <c r="E65" s="44" t="s">
        <v>130</v>
      </c>
      <c r="F65" s="44">
        <v>0</v>
      </c>
      <c r="G65" s="44">
        <v>0</v>
      </c>
      <c r="H65" s="44">
        <v>4</v>
      </c>
      <c r="I65" s="44">
        <v>0</v>
      </c>
      <c r="J65" s="44">
        <v>0</v>
      </c>
      <c r="K65" s="123">
        <v>100000</v>
      </c>
      <c r="L65" s="124">
        <f t="shared" si="8"/>
        <v>4</v>
      </c>
      <c r="M65" s="45">
        <f t="shared" si="1"/>
        <v>400000</v>
      </c>
      <c r="N65" s="45">
        <f>M65</f>
        <v>400000</v>
      </c>
      <c r="O65" s="45"/>
      <c r="P65" s="45" t="s">
        <v>2779</v>
      </c>
      <c r="Q65" s="45"/>
      <c r="R65" s="45"/>
      <c r="S65" s="45">
        <f t="shared" si="2"/>
        <v>0</v>
      </c>
      <c r="T65" s="44" t="s">
        <v>19</v>
      </c>
      <c r="U65" s="44" t="s">
        <v>20</v>
      </c>
      <c r="V65" s="43" t="s">
        <v>21</v>
      </c>
    </row>
    <row r="66" spans="1:22">
      <c r="A66" s="2">
        <v>65</v>
      </c>
      <c r="B66" s="119">
        <v>202510</v>
      </c>
      <c r="C66" s="44" t="s">
        <v>147</v>
      </c>
      <c r="D66" s="44" t="s">
        <v>148</v>
      </c>
      <c r="E66" s="44" t="s">
        <v>130</v>
      </c>
      <c r="F66" s="44">
        <v>0</v>
      </c>
      <c r="G66" s="44">
        <v>0</v>
      </c>
      <c r="H66" s="44">
        <v>4</v>
      </c>
      <c r="I66" s="44">
        <v>0</v>
      </c>
      <c r="J66" s="44">
        <v>0</v>
      </c>
      <c r="K66" s="123">
        <v>100000</v>
      </c>
      <c r="L66" s="124">
        <f t="shared" si="8"/>
        <v>4</v>
      </c>
      <c r="M66" s="45">
        <f t="shared" ref="M66:M128" si="10">L66*K66</f>
        <v>400000</v>
      </c>
      <c r="N66" s="45">
        <f t="shared" ref="N66:N71" si="11">M66</f>
        <v>400000</v>
      </c>
      <c r="O66" s="45"/>
      <c r="P66" s="45" t="s">
        <v>3128</v>
      </c>
      <c r="Q66" s="45"/>
      <c r="R66" s="45"/>
      <c r="S66" s="45">
        <f t="shared" si="2"/>
        <v>0</v>
      </c>
      <c r="T66" s="44" t="s">
        <v>19</v>
      </c>
      <c r="U66" s="44" t="s">
        <v>20</v>
      </c>
      <c r="V66" s="43" t="s">
        <v>21</v>
      </c>
    </row>
    <row r="67" spans="1:22">
      <c r="A67" s="2">
        <v>66</v>
      </c>
      <c r="B67" s="119">
        <v>202510</v>
      </c>
      <c r="C67" s="44" t="s">
        <v>149</v>
      </c>
      <c r="D67" s="44" t="s">
        <v>150</v>
      </c>
      <c r="E67" s="44" t="s">
        <v>130</v>
      </c>
      <c r="F67" s="44">
        <v>0</v>
      </c>
      <c r="G67" s="44">
        <v>0</v>
      </c>
      <c r="H67" s="44">
        <v>4</v>
      </c>
      <c r="I67" s="44">
        <v>0</v>
      </c>
      <c r="J67" s="44">
        <v>0</v>
      </c>
      <c r="K67" s="123">
        <v>100000</v>
      </c>
      <c r="L67" s="124">
        <f t="shared" si="8"/>
        <v>4</v>
      </c>
      <c r="M67" s="45">
        <f t="shared" si="10"/>
        <v>400000</v>
      </c>
      <c r="N67" s="45">
        <f t="shared" si="11"/>
        <v>400000</v>
      </c>
      <c r="O67" s="45"/>
      <c r="P67" s="45" t="s">
        <v>2114</v>
      </c>
      <c r="Q67" s="45"/>
      <c r="R67" s="45"/>
      <c r="S67" s="45">
        <f t="shared" ref="S67:S129" si="12">M67-N67</f>
        <v>0</v>
      </c>
      <c r="T67" s="44" t="s">
        <v>19</v>
      </c>
      <c r="U67" s="44" t="s">
        <v>20</v>
      </c>
      <c r="V67" s="43" t="s">
        <v>21</v>
      </c>
    </row>
    <row r="68" spans="1:22">
      <c r="A68" s="2">
        <v>67</v>
      </c>
      <c r="B68" s="119">
        <v>202510</v>
      </c>
      <c r="C68" s="44" t="s">
        <v>151</v>
      </c>
      <c r="D68" s="44" t="s">
        <v>152</v>
      </c>
      <c r="E68" s="44" t="s">
        <v>130</v>
      </c>
      <c r="F68" s="44">
        <v>0</v>
      </c>
      <c r="G68" s="44">
        <v>0</v>
      </c>
      <c r="H68" s="44">
        <v>4</v>
      </c>
      <c r="I68" s="44">
        <v>0</v>
      </c>
      <c r="J68" s="44">
        <v>0</v>
      </c>
      <c r="K68" s="123">
        <v>100000</v>
      </c>
      <c r="L68" s="124">
        <f t="shared" si="8"/>
        <v>4</v>
      </c>
      <c r="M68" s="45">
        <f t="shared" si="10"/>
        <v>400000</v>
      </c>
      <c r="N68" s="45">
        <f t="shared" si="11"/>
        <v>400000</v>
      </c>
      <c r="O68" s="45"/>
      <c r="P68" s="45" t="s">
        <v>3091</v>
      </c>
      <c r="Q68" s="45"/>
      <c r="R68" s="45"/>
      <c r="S68" s="45">
        <f t="shared" si="12"/>
        <v>0</v>
      </c>
      <c r="T68" s="44" t="s">
        <v>19</v>
      </c>
      <c r="U68" s="44" t="s">
        <v>20</v>
      </c>
      <c r="V68" s="43" t="s">
        <v>21</v>
      </c>
    </row>
    <row r="69" spans="1:22">
      <c r="A69" s="2">
        <v>68</v>
      </c>
      <c r="B69" s="119">
        <v>202510</v>
      </c>
      <c r="C69" s="44" t="s">
        <v>153</v>
      </c>
      <c r="D69" s="44" t="s">
        <v>154</v>
      </c>
      <c r="E69" s="44" t="s">
        <v>130</v>
      </c>
      <c r="F69" s="44">
        <v>0</v>
      </c>
      <c r="G69" s="44">
        <v>0</v>
      </c>
      <c r="H69" s="44">
        <v>4</v>
      </c>
      <c r="I69" s="44">
        <v>0</v>
      </c>
      <c r="J69" s="44">
        <v>0</v>
      </c>
      <c r="K69" s="123">
        <v>100000</v>
      </c>
      <c r="L69" s="124">
        <f t="shared" si="8"/>
        <v>4</v>
      </c>
      <c r="M69" s="45">
        <f t="shared" si="10"/>
        <v>400000</v>
      </c>
      <c r="N69" s="45">
        <f t="shared" si="11"/>
        <v>400000</v>
      </c>
      <c r="O69" s="45"/>
      <c r="P69" s="45" t="s">
        <v>2051</v>
      </c>
      <c r="Q69" s="45"/>
      <c r="R69" s="45"/>
      <c r="S69" s="45">
        <f t="shared" si="12"/>
        <v>0</v>
      </c>
      <c r="T69" s="44" t="s">
        <v>19</v>
      </c>
      <c r="U69" s="44" t="s">
        <v>20</v>
      </c>
      <c r="V69" s="43" t="s">
        <v>21</v>
      </c>
    </row>
    <row r="70" spans="1:22">
      <c r="A70" s="2">
        <v>69</v>
      </c>
      <c r="B70" s="119">
        <v>202510</v>
      </c>
      <c r="C70" s="44" t="s">
        <v>155</v>
      </c>
      <c r="D70" s="44" t="s">
        <v>156</v>
      </c>
      <c r="E70" s="44" t="s">
        <v>130</v>
      </c>
      <c r="F70" s="44">
        <v>0</v>
      </c>
      <c r="G70" s="44">
        <v>0</v>
      </c>
      <c r="H70" s="44">
        <v>4</v>
      </c>
      <c r="I70" s="44">
        <v>0</v>
      </c>
      <c r="J70" s="44">
        <v>0</v>
      </c>
      <c r="K70" s="123">
        <v>100000</v>
      </c>
      <c r="L70" s="124">
        <f t="shared" si="8"/>
        <v>4</v>
      </c>
      <c r="M70" s="45">
        <f t="shared" si="10"/>
        <v>400000</v>
      </c>
      <c r="N70" s="45">
        <f t="shared" si="11"/>
        <v>400000</v>
      </c>
      <c r="O70" s="45"/>
      <c r="P70" s="45" t="s">
        <v>3089</v>
      </c>
      <c r="Q70" s="45"/>
      <c r="R70" s="45"/>
      <c r="S70" s="45">
        <f t="shared" si="12"/>
        <v>0</v>
      </c>
      <c r="T70" s="44" t="s">
        <v>19</v>
      </c>
      <c r="U70" s="44" t="s">
        <v>20</v>
      </c>
      <c r="V70" s="43" t="s">
        <v>21</v>
      </c>
    </row>
    <row r="71" spans="1:22">
      <c r="A71" s="2">
        <v>70</v>
      </c>
      <c r="B71" s="119">
        <v>202510</v>
      </c>
      <c r="C71" s="44" t="s">
        <v>157</v>
      </c>
      <c r="D71" s="44" t="s">
        <v>158</v>
      </c>
      <c r="E71" s="44" t="s">
        <v>159</v>
      </c>
      <c r="F71" s="44">
        <v>0</v>
      </c>
      <c r="G71" s="44">
        <v>0</v>
      </c>
      <c r="H71" s="44">
        <v>5</v>
      </c>
      <c r="I71" s="44">
        <v>0</v>
      </c>
      <c r="J71" s="44">
        <v>0</v>
      </c>
      <c r="K71" s="123">
        <v>100000</v>
      </c>
      <c r="L71" s="124">
        <f t="shared" si="8"/>
        <v>5</v>
      </c>
      <c r="M71" s="45">
        <f t="shared" si="10"/>
        <v>500000</v>
      </c>
      <c r="N71" s="45">
        <f t="shared" si="11"/>
        <v>500000</v>
      </c>
      <c r="O71" s="45"/>
      <c r="P71" s="45" t="s">
        <v>2077</v>
      </c>
      <c r="Q71" s="45"/>
      <c r="R71" s="45"/>
      <c r="S71" s="45">
        <f t="shared" si="12"/>
        <v>0</v>
      </c>
      <c r="T71" s="44" t="s">
        <v>19</v>
      </c>
      <c r="U71" s="44" t="s">
        <v>20</v>
      </c>
      <c r="V71" s="43" t="s">
        <v>21</v>
      </c>
    </row>
    <row r="72" spans="1:22">
      <c r="A72" s="2">
        <v>71</v>
      </c>
      <c r="B72" s="119">
        <v>202510</v>
      </c>
      <c r="C72" s="44" t="s">
        <v>160</v>
      </c>
      <c r="D72" s="44" t="s">
        <v>161</v>
      </c>
      <c r="E72" s="44" t="s">
        <v>159</v>
      </c>
      <c r="F72" s="44">
        <v>0</v>
      </c>
      <c r="G72" s="44">
        <v>0</v>
      </c>
      <c r="H72" s="44">
        <v>5</v>
      </c>
      <c r="I72" s="44">
        <v>0</v>
      </c>
      <c r="J72" s="44">
        <v>0</v>
      </c>
      <c r="K72" s="123">
        <v>100000</v>
      </c>
      <c r="L72" s="124">
        <f t="shared" si="8"/>
        <v>5</v>
      </c>
      <c r="M72" s="45">
        <f t="shared" si="10"/>
        <v>500000</v>
      </c>
      <c r="N72" s="45">
        <f>M72</f>
        <v>500000</v>
      </c>
      <c r="O72" s="45"/>
      <c r="P72" s="45" t="s">
        <v>6288</v>
      </c>
      <c r="Q72" s="45"/>
      <c r="R72" s="45"/>
      <c r="S72" s="45">
        <f t="shared" si="12"/>
        <v>0</v>
      </c>
      <c r="T72" s="44" t="s">
        <v>19</v>
      </c>
      <c r="U72" s="44" t="s">
        <v>20</v>
      </c>
      <c r="V72" s="43" t="s">
        <v>21</v>
      </c>
    </row>
    <row r="73" spans="1:22">
      <c r="A73" s="2">
        <v>72</v>
      </c>
      <c r="B73" s="119">
        <v>202510</v>
      </c>
      <c r="C73" s="44" t="s">
        <v>162</v>
      </c>
      <c r="D73" s="44" t="s">
        <v>163</v>
      </c>
      <c r="E73" s="44" t="s">
        <v>159</v>
      </c>
      <c r="F73" s="44">
        <v>4</v>
      </c>
      <c r="G73" s="44">
        <v>0</v>
      </c>
      <c r="H73" s="44">
        <v>5</v>
      </c>
      <c r="I73" s="44">
        <v>4</v>
      </c>
      <c r="J73" s="44">
        <v>0</v>
      </c>
      <c r="K73" s="123">
        <v>100000</v>
      </c>
      <c r="L73" s="124">
        <f t="shared" si="8"/>
        <v>13</v>
      </c>
      <c r="M73" s="45">
        <f t="shared" si="10"/>
        <v>1300000</v>
      </c>
      <c r="N73" s="45">
        <f>M73</f>
        <v>1300000</v>
      </c>
      <c r="O73" s="45"/>
      <c r="P73" s="45" t="s">
        <v>3129</v>
      </c>
      <c r="Q73" s="45"/>
      <c r="R73" s="45"/>
      <c r="S73" s="45">
        <f t="shared" si="12"/>
        <v>0</v>
      </c>
      <c r="T73" s="44" t="s">
        <v>19</v>
      </c>
      <c r="U73" s="44" t="s">
        <v>20</v>
      </c>
      <c r="V73" s="43" t="s">
        <v>21</v>
      </c>
    </row>
    <row r="74" spans="1:22">
      <c r="A74" s="2">
        <v>73</v>
      </c>
      <c r="B74" s="129">
        <v>202510</v>
      </c>
      <c r="C74" s="64" t="s">
        <v>164</v>
      </c>
      <c r="D74" s="64" t="s">
        <v>165</v>
      </c>
      <c r="E74" s="64" t="s">
        <v>159</v>
      </c>
      <c r="F74" s="64">
        <v>0</v>
      </c>
      <c r="G74" s="64">
        <v>3</v>
      </c>
      <c r="H74" s="64">
        <v>0</v>
      </c>
      <c r="I74" s="64">
        <v>0</v>
      </c>
      <c r="J74" s="64">
        <v>0</v>
      </c>
      <c r="K74" s="126">
        <v>100000</v>
      </c>
      <c r="L74" s="134">
        <f t="shared" si="8"/>
        <v>3</v>
      </c>
      <c r="M74" s="62">
        <f t="shared" si="10"/>
        <v>300000</v>
      </c>
      <c r="N74" s="45"/>
      <c r="O74" s="45"/>
      <c r="P74" s="45"/>
      <c r="Q74" s="45"/>
      <c r="R74" s="62" t="s">
        <v>7192</v>
      </c>
      <c r="S74" s="45">
        <f t="shared" si="12"/>
        <v>300000</v>
      </c>
      <c r="T74" s="44" t="s">
        <v>19</v>
      </c>
      <c r="U74" s="44" t="s">
        <v>20</v>
      </c>
      <c r="V74" s="43" t="s">
        <v>21</v>
      </c>
    </row>
    <row r="75" spans="1:22">
      <c r="A75" s="2">
        <v>74</v>
      </c>
      <c r="B75" s="119">
        <v>202510</v>
      </c>
      <c r="C75" s="44" t="s">
        <v>166</v>
      </c>
      <c r="D75" s="44" t="s">
        <v>167</v>
      </c>
      <c r="E75" s="44" t="s">
        <v>159</v>
      </c>
      <c r="F75" s="44">
        <v>4</v>
      </c>
      <c r="G75" s="44">
        <v>0</v>
      </c>
      <c r="H75" s="44">
        <v>5</v>
      </c>
      <c r="I75" s="44">
        <v>4</v>
      </c>
      <c r="J75" s="44">
        <v>0</v>
      </c>
      <c r="K75" s="123">
        <v>100000</v>
      </c>
      <c r="L75" s="124">
        <f t="shared" si="8"/>
        <v>13</v>
      </c>
      <c r="M75" s="45">
        <f t="shared" si="10"/>
        <v>1300000</v>
      </c>
      <c r="N75" s="45">
        <f>M75</f>
        <v>1300000</v>
      </c>
      <c r="O75" s="45"/>
      <c r="P75" s="45" t="s">
        <v>7151</v>
      </c>
      <c r="Q75" s="45"/>
      <c r="R75" s="45"/>
      <c r="S75" s="45">
        <f t="shared" si="12"/>
        <v>0</v>
      </c>
      <c r="T75" s="44" t="s">
        <v>19</v>
      </c>
      <c r="U75" s="44" t="s">
        <v>20</v>
      </c>
      <c r="V75" s="43" t="s">
        <v>21</v>
      </c>
    </row>
    <row r="76" spans="1:22">
      <c r="A76" s="2">
        <v>75</v>
      </c>
      <c r="B76" s="119">
        <v>202510</v>
      </c>
      <c r="C76" s="44" t="s">
        <v>168</v>
      </c>
      <c r="D76" s="44" t="s">
        <v>169</v>
      </c>
      <c r="E76" s="44" t="s">
        <v>159</v>
      </c>
      <c r="F76" s="44">
        <v>0</v>
      </c>
      <c r="G76" s="44">
        <v>0</v>
      </c>
      <c r="H76" s="44">
        <v>0</v>
      </c>
      <c r="I76" s="44">
        <v>0</v>
      </c>
      <c r="J76" s="44">
        <v>0</v>
      </c>
      <c r="K76" s="123">
        <v>100000</v>
      </c>
      <c r="L76" s="124">
        <f t="shared" si="8"/>
        <v>0</v>
      </c>
      <c r="M76" s="45">
        <f t="shared" si="10"/>
        <v>0</v>
      </c>
      <c r="N76" s="45"/>
      <c r="O76" s="45"/>
      <c r="P76" s="45"/>
      <c r="Q76" s="45"/>
      <c r="R76" s="45"/>
      <c r="S76" s="45">
        <f t="shared" si="12"/>
        <v>0</v>
      </c>
      <c r="T76" s="44" t="s">
        <v>19</v>
      </c>
      <c r="U76" s="44" t="s">
        <v>20</v>
      </c>
      <c r="V76" s="43" t="s">
        <v>21</v>
      </c>
    </row>
    <row r="77" spans="1:22">
      <c r="A77" s="2">
        <v>76</v>
      </c>
      <c r="B77" s="119">
        <v>202510</v>
      </c>
      <c r="C77" s="44" t="s">
        <v>170</v>
      </c>
      <c r="D77" s="44" t="s">
        <v>171</v>
      </c>
      <c r="E77" s="44" t="s">
        <v>159</v>
      </c>
      <c r="F77" s="44">
        <v>4</v>
      </c>
      <c r="G77" s="44">
        <v>3</v>
      </c>
      <c r="H77" s="44">
        <v>0</v>
      </c>
      <c r="I77" s="44">
        <v>4</v>
      </c>
      <c r="J77" s="44">
        <v>0</v>
      </c>
      <c r="K77" s="123">
        <v>100000</v>
      </c>
      <c r="L77" s="124">
        <f t="shared" si="8"/>
        <v>11</v>
      </c>
      <c r="M77" s="45">
        <f t="shared" si="10"/>
        <v>1100000</v>
      </c>
      <c r="N77" s="45">
        <f t="shared" ref="N77:N91" si="13">M77</f>
        <v>1100000</v>
      </c>
      <c r="O77" s="45"/>
      <c r="P77" s="45" t="s">
        <v>2806</v>
      </c>
      <c r="Q77" s="45"/>
      <c r="R77" s="45"/>
      <c r="S77" s="45">
        <f t="shared" si="12"/>
        <v>0</v>
      </c>
      <c r="T77" s="44" t="s">
        <v>19</v>
      </c>
      <c r="U77" s="44" t="s">
        <v>20</v>
      </c>
      <c r="V77" s="43" t="s">
        <v>21</v>
      </c>
    </row>
    <row r="78" spans="1:22">
      <c r="A78" s="2">
        <v>77</v>
      </c>
      <c r="B78" s="119">
        <v>202510</v>
      </c>
      <c r="C78" s="44" t="s">
        <v>172</v>
      </c>
      <c r="D78" s="44" t="s">
        <v>173</v>
      </c>
      <c r="E78" s="44" t="s">
        <v>159</v>
      </c>
      <c r="F78" s="44">
        <v>4</v>
      </c>
      <c r="G78" s="44">
        <v>3</v>
      </c>
      <c r="H78" s="44">
        <v>0</v>
      </c>
      <c r="I78" s="44">
        <v>4</v>
      </c>
      <c r="J78" s="44">
        <v>0</v>
      </c>
      <c r="K78" s="123">
        <v>100000</v>
      </c>
      <c r="L78" s="124">
        <f t="shared" si="8"/>
        <v>11</v>
      </c>
      <c r="M78" s="45">
        <f t="shared" si="10"/>
        <v>1100000</v>
      </c>
      <c r="N78" s="45">
        <f t="shared" si="13"/>
        <v>1100000</v>
      </c>
      <c r="O78" s="45"/>
      <c r="P78" s="45" t="s">
        <v>6733</v>
      </c>
      <c r="Q78" s="45"/>
      <c r="R78" s="45"/>
      <c r="S78" s="45">
        <f t="shared" si="12"/>
        <v>0</v>
      </c>
      <c r="T78" s="44" t="s">
        <v>19</v>
      </c>
      <c r="U78" s="44" t="s">
        <v>20</v>
      </c>
      <c r="V78" s="43" t="s">
        <v>21</v>
      </c>
    </row>
    <row r="79" spans="1:22">
      <c r="A79" s="2">
        <v>78</v>
      </c>
      <c r="B79" s="119">
        <v>202510</v>
      </c>
      <c r="C79" s="44" t="s">
        <v>174</v>
      </c>
      <c r="D79" s="44" t="s">
        <v>175</v>
      </c>
      <c r="E79" s="44" t="s">
        <v>159</v>
      </c>
      <c r="F79" s="44">
        <v>4</v>
      </c>
      <c r="G79" s="44">
        <v>3</v>
      </c>
      <c r="H79" s="44">
        <v>0</v>
      </c>
      <c r="I79" s="44">
        <v>4</v>
      </c>
      <c r="J79" s="44">
        <v>0</v>
      </c>
      <c r="K79" s="123">
        <v>100000</v>
      </c>
      <c r="L79" s="124">
        <f t="shared" si="8"/>
        <v>11</v>
      </c>
      <c r="M79" s="45">
        <f t="shared" si="10"/>
        <v>1100000</v>
      </c>
      <c r="N79" s="45">
        <f t="shared" si="13"/>
        <v>1100000</v>
      </c>
      <c r="O79" s="45"/>
      <c r="P79" s="45" t="s">
        <v>7090</v>
      </c>
      <c r="Q79" s="45"/>
      <c r="R79" s="45"/>
      <c r="S79" s="45">
        <f t="shared" si="12"/>
        <v>0</v>
      </c>
      <c r="T79" s="44" t="s">
        <v>19</v>
      </c>
      <c r="U79" s="44" t="s">
        <v>20</v>
      </c>
      <c r="V79" s="43" t="s">
        <v>21</v>
      </c>
    </row>
    <row r="80" spans="1:22">
      <c r="A80" s="2">
        <v>79</v>
      </c>
      <c r="B80" s="119">
        <v>202510</v>
      </c>
      <c r="C80" s="44" t="s">
        <v>176</v>
      </c>
      <c r="D80" s="44" t="s">
        <v>177</v>
      </c>
      <c r="E80" s="44" t="s">
        <v>159</v>
      </c>
      <c r="F80" s="44">
        <v>4</v>
      </c>
      <c r="G80" s="44">
        <v>3</v>
      </c>
      <c r="H80" s="44">
        <v>0</v>
      </c>
      <c r="I80" s="44">
        <v>4</v>
      </c>
      <c r="J80" s="44">
        <v>0</v>
      </c>
      <c r="K80" s="123">
        <v>100000</v>
      </c>
      <c r="L80" s="124">
        <f t="shared" ref="L80:L110" si="14">SUM(F80:J80)</f>
        <v>11</v>
      </c>
      <c r="M80" s="45">
        <f t="shared" si="10"/>
        <v>1100000</v>
      </c>
      <c r="N80" s="45">
        <f t="shared" si="13"/>
        <v>1100000</v>
      </c>
      <c r="O80" s="45"/>
      <c r="P80" s="45" t="s">
        <v>6643</v>
      </c>
      <c r="Q80" s="45"/>
      <c r="R80" s="45"/>
      <c r="S80" s="45">
        <f t="shared" si="12"/>
        <v>0</v>
      </c>
      <c r="T80" s="44" t="s">
        <v>19</v>
      </c>
      <c r="U80" s="44" t="s">
        <v>20</v>
      </c>
      <c r="V80" s="43" t="s">
        <v>21</v>
      </c>
    </row>
    <row r="81" spans="1:22">
      <c r="A81" s="2">
        <v>80</v>
      </c>
      <c r="B81" s="119">
        <v>202510</v>
      </c>
      <c r="C81" s="44" t="s">
        <v>178</v>
      </c>
      <c r="D81" s="44" t="s">
        <v>179</v>
      </c>
      <c r="E81" s="44" t="s">
        <v>159</v>
      </c>
      <c r="F81" s="44">
        <v>4</v>
      </c>
      <c r="G81" s="44">
        <v>3</v>
      </c>
      <c r="H81" s="44">
        <v>0</v>
      </c>
      <c r="I81" s="44">
        <v>4</v>
      </c>
      <c r="J81" s="44">
        <v>0</v>
      </c>
      <c r="K81" s="123">
        <v>100000</v>
      </c>
      <c r="L81" s="124">
        <f t="shared" si="14"/>
        <v>11</v>
      </c>
      <c r="M81" s="45">
        <f t="shared" si="10"/>
        <v>1100000</v>
      </c>
      <c r="N81" s="45">
        <f t="shared" si="13"/>
        <v>1100000</v>
      </c>
      <c r="O81" s="45"/>
      <c r="P81" s="45" t="s">
        <v>6366</v>
      </c>
      <c r="Q81" s="45"/>
      <c r="R81" s="45"/>
      <c r="S81" s="45">
        <f t="shared" si="12"/>
        <v>0</v>
      </c>
      <c r="T81" s="44" t="s">
        <v>19</v>
      </c>
      <c r="U81" s="44" t="s">
        <v>20</v>
      </c>
      <c r="V81" s="43" t="s">
        <v>21</v>
      </c>
    </row>
    <row r="82" spans="1:22">
      <c r="A82" s="2">
        <v>81</v>
      </c>
      <c r="B82" s="119">
        <v>202510</v>
      </c>
      <c r="C82" s="44" t="s">
        <v>180</v>
      </c>
      <c r="D82" s="44" t="s">
        <v>181</v>
      </c>
      <c r="E82" s="44" t="s">
        <v>159</v>
      </c>
      <c r="F82" s="44">
        <v>0</v>
      </c>
      <c r="G82" s="44">
        <v>0</v>
      </c>
      <c r="H82" s="44">
        <v>5</v>
      </c>
      <c r="I82" s="44">
        <v>0</v>
      </c>
      <c r="J82" s="44">
        <v>0</v>
      </c>
      <c r="K82" s="123">
        <v>100000</v>
      </c>
      <c r="L82" s="124">
        <f t="shared" si="14"/>
        <v>5</v>
      </c>
      <c r="M82" s="45">
        <f t="shared" si="10"/>
        <v>500000</v>
      </c>
      <c r="N82" s="45">
        <f t="shared" si="13"/>
        <v>500000</v>
      </c>
      <c r="O82" s="45"/>
      <c r="P82" s="45" t="s">
        <v>7170</v>
      </c>
      <c r="Q82" s="45"/>
      <c r="R82" s="45"/>
      <c r="S82" s="45">
        <f t="shared" si="12"/>
        <v>0</v>
      </c>
      <c r="T82" s="44" t="s">
        <v>19</v>
      </c>
      <c r="U82" s="44" t="s">
        <v>20</v>
      </c>
      <c r="V82" s="43" t="s">
        <v>21</v>
      </c>
    </row>
    <row r="83" spans="1:22">
      <c r="A83" s="2">
        <v>82</v>
      </c>
      <c r="B83" s="119">
        <v>202510</v>
      </c>
      <c r="C83" s="44" t="s">
        <v>182</v>
      </c>
      <c r="D83" s="44" t="s">
        <v>183</v>
      </c>
      <c r="E83" s="44" t="s">
        <v>159</v>
      </c>
      <c r="F83" s="44">
        <v>4</v>
      </c>
      <c r="G83" s="44">
        <v>0</v>
      </c>
      <c r="H83" s="44">
        <v>0</v>
      </c>
      <c r="I83" s="44">
        <v>0</v>
      </c>
      <c r="J83" s="44">
        <v>0</v>
      </c>
      <c r="K83" s="123">
        <v>100000</v>
      </c>
      <c r="L83" s="124">
        <f t="shared" si="14"/>
        <v>4</v>
      </c>
      <c r="M83" s="45">
        <f t="shared" si="10"/>
        <v>400000</v>
      </c>
      <c r="N83" s="45">
        <f t="shared" si="13"/>
        <v>400000</v>
      </c>
      <c r="O83" s="45"/>
      <c r="P83" s="45" t="s">
        <v>7115</v>
      </c>
      <c r="Q83" s="45"/>
      <c r="R83" s="45"/>
      <c r="S83" s="45">
        <f t="shared" si="12"/>
        <v>0</v>
      </c>
      <c r="T83" s="44" t="s">
        <v>19</v>
      </c>
      <c r="U83" s="44" t="s">
        <v>20</v>
      </c>
      <c r="V83" s="43" t="s">
        <v>21</v>
      </c>
    </row>
    <row r="84" spans="1:22">
      <c r="A84" s="2">
        <v>83</v>
      </c>
      <c r="B84" s="119">
        <v>202510</v>
      </c>
      <c r="C84" s="44" t="s">
        <v>184</v>
      </c>
      <c r="D84" s="44" t="s">
        <v>185</v>
      </c>
      <c r="E84" s="44" t="s">
        <v>159</v>
      </c>
      <c r="F84" s="44">
        <v>4</v>
      </c>
      <c r="G84" s="44">
        <v>3</v>
      </c>
      <c r="H84" s="44">
        <v>0</v>
      </c>
      <c r="I84" s="44">
        <v>0</v>
      </c>
      <c r="J84" s="44">
        <v>0</v>
      </c>
      <c r="K84" s="123">
        <v>100000</v>
      </c>
      <c r="L84" s="124">
        <f t="shared" si="14"/>
        <v>7</v>
      </c>
      <c r="M84" s="45">
        <f t="shared" si="10"/>
        <v>700000</v>
      </c>
      <c r="N84" s="45">
        <f t="shared" si="13"/>
        <v>700000</v>
      </c>
      <c r="O84" s="45"/>
      <c r="P84" s="45" t="s">
        <v>6361</v>
      </c>
      <c r="Q84" s="45"/>
      <c r="R84" s="45"/>
      <c r="S84" s="45">
        <f t="shared" si="12"/>
        <v>0</v>
      </c>
      <c r="T84" s="44" t="s">
        <v>19</v>
      </c>
      <c r="U84" s="44" t="s">
        <v>20</v>
      </c>
      <c r="V84" s="43" t="s">
        <v>21</v>
      </c>
    </row>
    <row r="85" spans="1:22">
      <c r="A85" s="2">
        <v>85</v>
      </c>
      <c r="B85" s="119">
        <v>202510</v>
      </c>
      <c r="C85" s="44" t="s">
        <v>186</v>
      </c>
      <c r="D85" s="44" t="s">
        <v>187</v>
      </c>
      <c r="E85" s="44" t="s">
        <v>159</v>
      </c>
      <c r="F85" s="44">
        <v>4</v>
      </c>
      <c r="G85" s="44">
        <v>0</v>
      </c>
      <c r="H85" s="44">
        <v>5</v>
      </c>
      <c r="I85" s="44">
        <v>4</v>
      </c>
      <c r="J85" s="44">
        <v>0</v>
      </c>
      <c r="K85" s="123">
        <v>100000</v>
      </c>
      <c r="L85" s="124">
        <f t="shared" si="14"/>
        <v>13</v>
      </c>
      <c r="M85" s="45">
        <f t="shared" si="10"/>
        <v>1300000</v>
      </c>
      <c r="N85" s="45">
        <f t="shared" si="13"/>
        <v>1300000</v>
      </c>
      <c r="O85" s="45"/>
      <c r="P85" s="45" t="s">
        <v>2693</v>
      </c>
      <c r="Q85" s="45"/>
      <c r="R85" s="45"/>
      <c r="S85" s="45">
        <f t="shared" si="12"/>
        <v>0</v>
      </c>
      <c r="T85" s="44" t="s">
        <v>19</v>
      </c>
      <c r="U85" s="44" t="s">
        <v>20</v>
      </c>
      <c r="V85" s="43" t="s">
        <v>21</v>
      </c>
    </row>
    <row r="86" spans="1:22">
      <c r="A86" s="2">
        <v>86</v>
      </c>
      <c r="B86" s="119">
        <v>202510</v>
      </c>
      <c r="C86" s="44" t="s">
        <v>188</v>
      </c>
      <c r="D86" s="44" t="s">
        <v>189</v>
      </c>
      <c r="E86" s="44" t="s">
        <v>159</v>
      </c>
      <c r="F86" s="44">
        <v>4</v>
      </c>
      <c r="G86" s="44">
        <v>3</v>
      </c>
      <c r="H86" s="44">
        <v>5</v>
      </c>
      <c r="I86" s="44">
        <v>4</v>
      </c>
      <c r="J86" s="44">
        <v>0</v>
      </c>
      <c r="K86" s="123">
        <v>100000</v>
      </c>
      <c r="L86" s="124">
        <f t="shared" si="14"/>
        <v>16</v>
      </c>
      <c r="M86" s="45">
        <f t="shared" si="10"/>
        <v>1600000</v>
      </c>
      <c r="N86" s="45">
        <f t="shared" si="13"/>
        <v>1600000</v>
      </c>
      <c r="O86" s="45"/>
      <c r="P86" s="45" t="s">
        <v>6432</v>
      </c>
      <c r="Q86" s="45"/>
      <c r="R86" s="45"/>
      <c r="S86" s="45">
        <f t="shared" si="12"/>
        <v>0</v>
      </c>
      <c r="T86" s="44" t="s">
        <v>19</v>
      </c>
      <c r="U86" s="44" t="s">
        <v>20</v>
      </c>
      <c r="V86" s="43" t="s">
        <v>21</v>
      </c>
    </row>
    <row r="87" spans="1:22">
      <c r="A87" s="2">
        <v>87</v>
      </c>
      <c r="B87" s="119">
        <v>202510</v>
      </c>
      <c r="C87" s="44" t="s">
        <v>190</v>
      </c>
      <c r="D87" s="44" t="s">
        <v>191</v>
      </c>
      <c r="E87" s="44" t="s">
        <v>159</v>
      </c>
      <c r="F87" s="44">
        <v>4</v>
      </c>
      <c r="G87" s="44">
        <v>3</v>
      </c>
      <c r="H87" s="44">
        <v>5</v>
      </c>
      <c r="I87" s="44">
        <v>0</v>
      </c>
      <c r="J87" s="44">
        <v>0</v>
      </c>
      <c r="K87" s="123">
        <v>100000</v>
      </c>
      <c r="L87" s="124">
        <f t="shared" si="14"/>
        <v>12</v>
      </c>
      <c r="M87" s="45">
        <f t="shared" si="10"/>
        <v>1200000</v>
      </c>
      <c r="N87" s="45">
        <f t="shared" si="13"/>
        <v>1200000</v>
      </c>
      <c r="O87" s="45"/>
      <c r="P87" s="45" t="s">
        <v>6279</v>
      </c>
      <c r="Q87" s="45"/>
      <c r="R87" s="45"/>
      <c r="S87" s="45">
        <f t="shared" si="12"/>
        <v>0</v>
      </c>
      <c r="T87" s="44" t="s">
        <v>19</v>
      </c>
      <c r="U87" s="44" t="s">
        <v>20</v>
      </c>
      <c r="V87" s="43" t="s">
        <v>21</v>
      </c>
    </row>
    <row r="88" spans="1:22">
      <c r="A88" s="2">
        <v>88</v>
      </c>
      <c r="B88" s="119">
        <v>202510</v>
      </c>
      <c r="C88" s="44" t="s">
        <v>192</v>
      </c>
      <c r="D88" s="44" t="s">
        <v>193</v>
      </c>
      <c r="E88" s="44" t="s">
        <v>159</v>
      </c>
      <c r="F88" s="44">
        <v>4</v>
      </c>
      <c r="G88" s="44">
        <v>3</v>
      </c>
      <c r="H88" s="44">
        <v>5</v>
      </c>
      <c r="I88" s="44">
        <v>4</v>
      </c>
      <c r="J88" s="44">
        <v>0</v>
      </c>
      <c r="K88" s="123">
        <v>100000</v>
      </c>
      <c r="L88" s="124">
        <f t="shared" si="14"/>
        <v>16</v>
      </c>
      <c r="M88" s="45">
        <f t="shared" si="10"/>
        <v>1600000</v>
      </c>
      <c r="N88" s="45">
        <f t="shared" si="13"/>
        <v>1600000</v>
      </c>
      <c r="O88" s="45"/>
      <c r="P88" s="45" t="s">
        <v>6072</v>
      </c>
      <c r="Q88" s="45"/>
      <c r="R88" s="45"/>
      <c r="S88" s="45">
        <f t="shared" si="12"/>
        <v>0</v>
      </c>
      <c r="T88" s="44" t="s">
        <v>19</v>
      </c>
      <c r="U88" s="44" t="s">
        <v>20</v>
      </c>
      <c r="V88" s="43" t="s">
        <v>21</v>
      </c>
    </row>
    <row r="89" spans="1:22">
      <c r="A89" s="2">
        <v>89</v>
      </c>
      <c r="B89" s="119">
        <v>202510</v>
      </c>
      <c r="C89" s="44" t="s">
        <v>194</v>
      </c>
      <c r="D89" s="44" t="s">
        <v>195</v>
      </c>
      <c r="E89" s="44" t="s">
        <v>159</v>
      </c>
      <c r="F89" s="44">
        <v>0</v>
      </c>
      <c r="G89" s="44">
        <v>0</v>
      </c>
      <c r="H89" s="44">
        <v>5</v>
      </c>
      <c r="I89" s="44">
        <v>0</v>
      </c>
      <c r="J89" s="44">
        <v>0</v>
      </c>
      <c r="K89" s="123">
        <v>100000</v>
      </c>
      <c r="L89" s="124">
        <f t="shared" si="14"/>
        <v>5</v>
      </c>
      <c r="M89" s="45">
        <f t="shared" si="10"/>
        <v>500000</v>
      </c>
      <c r="N89" s="45">
        <f t="shared" si="13"/>
        <v>500000</v>
      </c>
      <c r="O89" s="45"/>
      <c r="P89" s="45" t="s">
        <v>7168</v>
      </c>
      <c r="Q89" s="45"/>
      <c r="R89" s="45"/>
      <c r="S89" s="45">
        <f t="shared" si="12"/>
        <v>0</v>
      </c>
      <c r="T89" s="44" t="s">
        <v>19</v>
      </c>
      <c r="U89" s="44" t="s">
        <v>20</v>
      </c>
      <c r="V89" s="43" t="s">
        <v>21</v>
      </c>
    </row>
    <row r="90" spans="1:22">
      <c r="A90" s="2">
        <v>90</v>
      </c>
      <c r="B90" s="119">
        <v>202510</v>
      </c>
      <c r="C90" s="44" t="s">
        <v>196</v>
      </c>
      <c r="D90" s="44" t="s">
        <v>197</v>
      </c>
      <c r="E90" s="44" t="s">
        <v>159</v>
      </c>
      <c r="F90" s="44">
        <v>4</v>
      </c>
      <c r="G90" s="44">
        <v>0</v>
      </c>
      <c r="H90" s="44">
        <v>5</v>
      </c>
      <c r="I90" s="44">
        <v>0</v>
      </c>
      <c r="J90" s="44">
        <v>0</v>
      </c>
      <c r="K90" s="123">
        <v>100000</v>
      </c>
      <c r="L90" s="124">
        <f t="shared" si="14"/>
        <v>9</v>
      </c>
      <c r="M90" s="45">
        <f t="shared" si="10"/>
        <v>900000</v>
      </c>
      <c r="N90" s="45">
        <f t="shared" si="13"/>
        <v>900000</v>
      </c>
      <c r="O90" s="45"/>
      <c r="P90" s="45" t="s">
        <v>2070</v>
      </c>
      <c r="Q90" s="45"/>
      <c r="R90" s="45"/>
      <c r="S90" s="45">
        <f t="shared" si="12"/>
        <v>0</v>
      </c>
      <c r="T90" s="44" t="s">
        <v>19</v>
      </c>
      <c r="U90" s="44" t="s">
        <v>20</v>
      </c>
      <c r="V90" s="43" t="s">
        <v>21</v>
      </c>
    </row>
    <row r="91" spans="1:22">
      <c r="A91" s="2">
        <v>91</v>
      </c>
      <c r="B91" s="119">
        <v>202510</v>
      </c>
      <c r="C91" s="44" t="s">
        <v>198</v>
      </c>
      <c r="D91" s="44" t="s">
        <v>199</v>
      </c>
      <c r="E91" s="44" t="s">
        <v>159</v>
      </c>
      <c r="F91" s="44">
        <v>4</v>
      </c>
      <c r="G91" s="44">
        <v>0</v>
      </c>
      <c r="H91" s="44">
        <v>5</v>
      </c>
      <c r="I91" s="44">
        <v>0</v>
      </c>
      <c r="J91" s="44">
        <v>0</v>
      </c>
      <c r="K91" s="123">
        <v>100000</v>
      </c>
      <c r="L91" s="124">
        <f t="shared" si="14"/>
        <v>9</v>
      </c>
      <c r="M91" s="45">
        <f t="shared" si="10"/>
        <v>900000</v>
      </c>
      <c r="N91" s="45">
        <f t="shared" si="13"/>
        <v>900000</v>
      </c>
      <c r="O91" s="45"/>
      <c r="P91" s="45" t="s">
        <v>7169</v>
      </c>
      <c r="Q91" s="45"/>
      <c r="R91" s="45"/>
      <c r="S91" s="45">
        <f t="shared" si="12"/>
        <v>0</v>
      </c>
      <c r="T91" s="44" t="s">
        <v>19</v>
      </c>
      <c r="U91" s="44" t="s">
        <v>20</v>
      </c>
      <c r="V91" s="43" t="s">
        <v>21</v>
      </c>
    </row>
    <row r="92" spans="1:22">
      <c r="A92" s="2"/>
      <c r="B92" s="120">
        <v>202510</v>
      </c>
      <c r="C92" s="44" t="s">
        <v>200</v>
      </c>
      <c r="D92" s="44" t="s">
        <v>201</v>
      </c>
      <c r="E92" s="44" t="s">
        <v>202</v>
      </c>
      <c r="F92" s="44">
        <v>5</v>
      </c>
      <c r="G92" s="44">
        <v>0</v>
      </c>
      <c r="H92" s="44">
        <v>5</v>
      </c>
      <c r="I92" s="44">
        <v>0</v>
      </c>
      <c r="J92" s="44">
        <v>0</v>
      </c>
      <c r="K92" s="124">
        <v>100000</v>
      </c>
      <c r="L92" s="124">
        <f t="shared" si="14"/>
        <v>10</v>
      </c>
      <c r="M92" s="45">
        <f t="shared" si="10"/>
        <v>1000000</v>
      </c>
      <c r="N92" s="45">
        <f t="shared" ref="N92:N98" si="15">M92</f>
        <v>1000000</v>
      </c>
      <c r="O92" s="45"/>
      <c r="P92" s="45" t="s">
        <v>2796</v>
      </c>
      <c r="Q92" s="45"/>
      <c r="R92" s="45"/>
      <c r="S92" s="45">
        <f t="shared" si="12"/>
        <v>0</v>
      </c>
      <c r="T92" s="44" t="s">
        <v>19</v>
      </c>
      <c r="U92" s="44" t="s">
        <v>20</v>
      </c>
      <c r="V92" t="s">
        <v>21</v>
      </c>
    </row>
    <row r="93" spans="1:22">
      <c r="A93" s="2"/>
      <c r="B93" s="120">
        <v>202510</v>
      </c>
      <c r="C93" s="44" t="s">
        <v>82</v>
      </c>
      <c r="D93" s="44" t="s">
        <v>204</v>
      </c>
      <c r="E93" s="44" t="s">
        <v>202</v>
      </c>
      <c r="F93" s="44">
        <v>0</v>
      </c>
      <c r="G93" s="44">
        <v>0</v>
      </c>
      <c r="H93" s="44">
        <v>4</v>
      </c>
      <c r="I93" s="44">
        <v>0</v>
      </c>
      <c r="J93" s="44">
        <v>0</v>
      </c>
      <c r="K93" s="124">
        <v>100000</v>
      </c>
      <c r="L93" s="124">
        <f t="shared" si="14"/>
        <v>4</v>
      </c>
      <c r="M93" s="45">
        <f t="shared" si="10"/>
        <v>400000</v>
      </c>
      <c r="N93" s="45">
        <f t="shared" si="15"/>
        <v>400000</v>
      </c>
      <c r="O93" s="45"/>
      <c r="P93" s="45" t="s">
        <v>6582</v>
      </c>
      <c r="Q93" s="45"/>
      <c r="R93" s="45"/>
      <c r="S93" s="45">
        <f t="shared" si="12"/>
        <v>0</v>
      </c>
      <c r="T93" s="44" t="s">
        <v>19</v>
      </c>
      <c r="U93" s="44" t="s">
        <v>20</v>
      </c>
      <c r="V93" t="s">
        <v>21</v>
      </c>
    </row>
    <row r="94" spans="1:22">
      <c r="A94" s="2"/>
      <c r="B94" s="120">
        <v>202510</v>
      </c>
      <c r="C94" s="44" t="s">
        <v>2193</v>
      </c>
      <c r="D94" s="44" t="s">
        <v>206</v>
      </c>
      <c r="E94" s="44" t="s">
        <v>202</v>
      </c>
      <c r="F94" s="44">
        <v>0</v>
      </c>
      <c r="G94" s="44">
        <v>0</v>
      </c>
      <c r="H94" s="44">
        <v>5</v>
      </c>
      <c r="I94" s="44">
        <v>0</v>
      </c>
      <c r="J94" s="44">
        <v>0</v>
      </c>
      <c r="K94" s="124">
        <v>100000</v>
      </c>
      <c r="L94" s="124">
        <f t="shared" si="14"/>
        <v>5</v>
      </c>
      <c r="M94" s="45">
        <f t="shared" si="10"/>
        <v>500000</v>
      </c>
      <c r="N94" s="45">
        <f t="shared" si="15"/>
        <v>500000</v>
      </c>
      <c r="O94" s="45"/>
      <c r="P94" s="45" t="s">
        <v>6296</v>
      </c>
      <c r="Q94" s="45"/>
      <c r="R94" s="45"/>
      <c r="S94" s="45">
        <f t="shared" si="12"/>
        <v>0</v>
      </c>
      <c r="T94" s="44" t="s">
        <v>19</v>
      </c>
      <c r="U94" s="44" t="s">
        <v>20</v>
      </c>
      <c r="V94" t="s">
        <v>21</v>
      </c>
    </row>
    <row r="95" spans="1:22">
      <c r="A95" s="2"/>
      <c r="B95" s="120">
        <v>202510</v>
      </c>
      <c r="C95" s="44" t="s">
        <v>2194</v>
      </c>
      <c r="D95" s="44" t="s">
        <v>208</v>
      </c>
      <c r="E95" s="44" t="s">
        <v>202</v>
      </c>
      <c r="F95" s="44">
        <v>0</v>
      </c>
      <c r="G95" s="44">
        <v>0</v>
      </c>
      <c r="H95" s="44">
        <v>5</v>
      </c>
      <c r="I95" s="44">
        <v>0</v>
      </c>
      <c r="J95" s="44">
        <v>0</v>
      </c>
      <c r="K95" s="124">
        <v>100000</v>
      </c>
      <c r="L95" s="124">
        <f t="shared" si="14"/>
        <v>5</v>
      </c>
      <c r="M95" s="45">
        <f t="shared" si="10"/>
        <v>500000</v>
      </c>
      <c r="N95" s="45">
        <f t="shared" si="15"/>
        <v>500000</v>
      </c>
      <c r="O95" s="45"/>
      <c r="P95" s="45" t="s">
        <v>6555</v>
      </c>
      <c r="Q95" s="45"/>
      <c r="R95" s="45"/>
      <c r="S95" s="45">
        <f t="shared" si="12"/>
        <v>0</v>
      </c>
      <c r="T95" s="44" t="s">
        <v>19</v>
      </c>
      <c r="U95" s="44" t="s">
        <v>20</v>
      </c>
      <c r="V95" t="s">
        <v>21</v>
      </c>
    </row>
    <row r="96" spans="1:22">
      <c r="A96" s="2"/>
      <c r="B96" s="120">
        <v>202510</v>
      </c>
      <c r="C96" s="44" t="s">
        <v>209</v>
      </c>
      <c r="D96" s="44" t="s">
        <v>210</v>
      </c>
      <c r="E96" s="44" t="s">
        <v>202</v>
      </c>
      <c r="F96" s="44">
        <v>4</v>
      </c>
      <c r="G96" s="44">
        <v>0</v>
      </c>
      <c r="H96" s="44">
        <v>4</v>
      </c>
      <c r="I96" s="44">
        <v>0</v>
      </c>
      <c r="J96" s="44">
        <v>0</v>
      </c>
      <c r="K96" s="124">
        <v>100000</v>
      </c>
      <c r="L96" s="124">
        <f t="shared" si="14"/>
        <v>8</v>
      </c>
      <c r="M96" s="45">
        <f t="shared" si="10"/>
        <v>800000</v>
      </c>
      <c r="N96" s="45">
        <f t="shared" si="15"/>
        <v>800000</v>
      </c>
      <c r="O96" s="45"/>
      <c r="P96" s="45" t="s">
        <v>6375</v>
      </c>
      <c r="Q96" s="45"/>
      <c r="R96" s="45"/>
      <c r="S96" s="45">
        <f t="shared" si="12"/>
        <v>0</v>
      </c>
      <c r="T96" s="44" t="s">
        <v>19</v>
      </c>
      <c r="U96" s="44" t="s">
        <v>20</v>
      </c>
      <c r="V96" t="s">
        <v>21</v>
      </c>
    </row>
    <row r="97" spans="1:22">
      <c r="A97" s="2"/>
      <c r="B97" s="120">
        <v>202510</v>
      </c>
      <c r="C97" s="44" t="s">
        <v>211</v>
      </c>
      <c r="D97" s="44" t="s">
        <v>212</v>
      </c>
      <c r="E97" s="44" t="s">
        <v>202</v>
      </c>
      <c r="F97" s="44">
        <v>5</v>
      </c>
      <c r="G97" s="44">
        <v>0</v>
      </c>
      <c r="H97" s="44">
        <v>5</v>
      </c>
      <c r="I97" s="44">
        <v>0</v>
      </c>
      <c r="J97" s="44">
        <v>0</v>
      </c>
      <c r="K97" s="124">
        <v>100000</v>
      </c>
      <c r="L97" s="124">
        <f t="shared" si="14"/>
        <v>10</v>
      </c>
      <c r="M97" s="45">
        <f t="shared" si="10"/>
        <v>1000000</v>
      </c>
      <c r="N97" s="45">
        <f t="shared" si="15"/>
        <v>1000000</v>
      </c>
      <c r="O97" s="45"/>
      <c r="P97" s="45" t="s">
        <v>6292</v>
      </c>
      <c r="Q97" s="45"/>
      <c r="R97" s="45"/>
      <c r="S97" s="45">
        <f t="shared" si="12"/>
        <v>0</v>
      </c>
      <c r="T97" s="44" t="s">
        <v>19</v>
      </c>
      <c r="U97" s="44" t="s">
        <v>20</v>
      </c>
      <c r="V97" t="s">
        <v>21</v>
      </c>
    </row>
    <row r="98" spans="1:22">
      <c r="A98" s="2"/>
      <c r="B98" s="120">
        <v>202510</v>
      </c>
      <c r="C98" s="44" t="s">
        <v>2195</v>
      </c>
      <c r="D98" s="44" t="s">
        <v>214</v>
      </c>
      <c r="E98" s="44" t="s">
        <v>202</v>
      </c>
      <c r="F98" s="44">
        <v>0</v>
      </c>
      <c r="G98" s="44">
        <v>0</v>
      </c>
      <c r="H98" s="44">
        <v>5</v>
      </c>
      <c r="I98" s="44">
        <v>0</v>
      </c>
      <c r="J98" s="44">
        <v>0</v>
      </c>
      <c r="K98" s="124">
        <v>100000</v>
      </c>
      <c r="L98" s="124">
        <f t="shared" si="14"/>
        <v>5</v>
      </c>
      <c r="M98" s="45">
        <f t="shared" si="10"/>
        <v>500000</v>
      </c>
      <c r="N98" s="45">
        <f t="shared" si="15"/>
        <v>500000</v>
      </c>
      <c r="O98" s="45"/>
      <c r="P98" s="45" t="s">
        <v>6565</v>
      </c>
      <c r="Q98" s="45"/>
      <c r="R98" s="45"/>
      <c r="S98" s="45">
        <f t="shared" si="12"/>
        <v>0</v>
      </c>
      <c r="T98" s="44" t="s">
        <v>19</v>
      </c>
      <c r="U98" s="44" t="s">
        <v>20</v>
      </c>
      <c r="V98" t="s">
        <v>21</v>
      </c>
    </row>
    <row r="99" spans="1:22" ht="26.4">
      <c r="A99" s="2"/>
      <c r="B99" s="120">
        <v>202510</v>
      </c>
      <c r="C99" s="68" t="s">
        <v>215</v>
      </c>
      <c r="D99" s="68" t="s">
        <v>216</v>
      </c>
      <c r="E99" s="68" t="s">
        <v>202</v>
      </c>
      <c r="F99" s="68">
        <v>4</v>
      </c>
      <c r="G99" s="68">
        <v>0</v>
      </c>
      <c r="H99" s="68">
        <v>5</v>
      </c>
      <c r="I99" s="68">
        <v>0</v>
      </c>
      <c r="J99" s="68">
        <v>0</v>
      </c>
      <c r="K99" s="128">
        <v>100000</v>
      </c>
      <c r="L99" s="128">
        <f t="shared" si="14"/>
        <v>9</v>
      </c>
      <c r="M99" s="45">
        <f t="shared" si="10"/>
        <v>900000</v>
      </c>
      <c r="N99" s="65">
        <f>500000+400000</f>
        <v>900000</v>
      </c>
      <c r="O99" s="45"/>
      <c r="P99" s="61" t="s">
        <v>6274</v>
      </c>
      <c r="Q99" s="45"/>
      <c r="R99" s="45"/>
      <c r="S99" s="45">
        <f t="shared" si="12"/>
        <v>0</v>
      </c>
      <c r="T99" s="44" t="s">
        <v>19</v>
      </c>
      <c r="U99" s="44" t="s">
        <v>20</v>
      </c>
      <c r="V99" t="s">
        <v>21</v>
      </c>
    </row>
    <row r="100" spans="1:22">
      <c r="A100" s="2"/>
      <c r="B100" s="120">
        <v>202510</v>
      </c>
      <c r="C100" s="44" t="s">
        <v>164</v>
      </c>
      <c r="D100" s="44" t="s">
        <v>218</v>
      </c>
      <c r="E100" s="44" t="s">
        <v>202</v>
      </c>
      <c r="F100" s="44">
        <v>0</v>
      </c>
      <c r="G100" s="44">
        <v>0</v>
      </c>
      <c r="H100" s="44">
        <v>5</v>
      </c>
      <c r="I100" s="44">
        <v>0</v>
      </c>
      <c r="J100" s="44">
        <v>0</v>
      </c>
      <c r="K100" s="124">
        <v>100000</v>
      </c>
      <c r="L100" s="124">
        <f t="shared" si="14"/>
        <v>5</v>
      </c>
      <c r="M100" s="45">
        <f t="shared" si="10"/>
        <v>500000</v>
      </c>
      <c r="N100" s="45">
        <f>M100</f>
        <v>500000</v>
      </c>
      <c r="O100" s="45"/>
      <c r="P100" s="45" t="s">
        <v>6311</v>
      </c>
      <c r="Q100" s="45"/>
      <c r="R100" s="45"/>
      <c r="S100" s="45">
        <f t="shared" si="12"/>
        <v>0</v>
      </c>
      <c r="T100" s="44" t="s">
        <v>19</v>
      </c>
      <c r="U100" s="44" t="s">
        <v>20</v>
      </c>
      <c r="V100" t="s">
        <v>21</v>
      </c>
    </row>
    <row r="101" spans="1:22">
      <c r="A101" s="2"/>
      <c r="B101" s="120">
        <v>202510</v>
      </c>
      <c r="C101" s="44" t="s">
        <v>2196</v>
      </c>
      <c r="D101" s="44" t="s">
        <v>220</v>
      </c>
      <c r="E101" s="44" t="s">
        <v>202</v>
      </c>
      <c r="F101" s="44">
        <v>0</v>
      </c>
      <c r="G101" s="44">
        <v>0</v>
      </c>
      <c r="H101" s="44">
        <v>5</v>
      </c>
      <c r="I101" s="44">
        <v>0</v>
      </c>
      <c r="J101" s="44">
        <v>0</v>
      </c>
      <c r="K101" s="124">
        <v>100000</v>
      </c>
      <c r="L101" s="124">
        <f t="shared" si="14"/>
        <v>5</v>
      </c>
      <c r="M101" s="45">
        <f t="shared" si="10"/>
        <v>500000</v>
      </c>
      <c r="N101" s="45">
        <f>M101</f>
        <v>500000</v>
      </c>
      <c r="O101" s="45"/>
      <c r="P101" s="45" t="s">
        <v>6363</v>
      </c>
      <c r="Q101" s="45"/>
      <c r="R101" s="45"/>
      <c r="S101" s="45">
        <f t="shared" si="12"/>
        <v>0</v>
      </c>
      <c r="T101" s="44" t="s">
        <v>19</v>
      </c>
      <c r="U101" s="44" t="s">
        <v>20</v>
      </c>
      <c r="V101" t="s">
        <v>21</v>
      </c>
    </row>
    <row r="102" spans="1:22">
      <c r="A102" s="2"/>
      <c r="B102" s="120">
        <v>202510</v>
      </c>
      <c r="C102" s="44" t="s">
        <v>2197</v>
      </c>
      <c r="D102" s="44" t="s">
        <v>2198</v>
      </c>
      <c r="E102" s="44" t="s">
        <v>202</v>
      </c>
      <c r="F102" s="44">
        <v>0</v>
      </c>
      <c r="G102" s="44">
        <v>0</v>
      </c>
      <c r="H102" s="44">
        <v>5</v>
      </c>
      <c r="I102" s="44">
        <v>0</v>
      </c>
      <c r="J102" s="44">
        <v>0</v>
      </c>
      <c r="K102" s="124">
        <v>100000</v>
      </c>
      <c r="L102" s="124">
        <f t="shared" si="14"/>
        <v>5</v>
      </c>
      <c r="M102" s="45">
        <f t="shared" si="10"/>
        <v>500000</v>
      </c>
      <c r="N102" s="45">
        <f>M102</f>
        <v>500000</v>
      </c>
      <c r="O102" s="45"/>
      <c r="P102" s="45" t="s">
        <v>6439</v>
      </c>
      <c r="Q102" s="45"/>
      <c r="R102" s="45"/>
      <c r="S102" s="45">
        <f t="shared" si="12"/>
        <v>0</v>
      </c>
      <c r="T102" s="44" t="s">
        <v>19</v>
      </c>
      <c r="U102" s="44" t="s">
        <v>20</v>
      </c>
      <c r="V102" t="s">
        <v>21</v>
      </c>
    </row>
    <row r="103" spans="1:22" ht="18.600000000000001" customHeight="1">
      <c r="A103" s="2"/>
      <c r="B103" s="120">
        <v>202510</v>
      </c>
      <c r="C103" s="44" t="s">
        <v>221</v>
      </c>
      <c r="D103" s="44" t="s">
        <v>222</v>
      </c>
      <c r="E103" s="44" t="s">
        <v>202</v>
      </c>
      <c r="F103" s="44">
        <v>5</v>
      </c>
      <c r="G103" s="44">
        <v>0</v>
      </c>
      <c r="H103" s="44">
        <v>5</v>
      </c>
      <c r="I103" s="44">
        <v>0</v>
      </c>
      <c r="J103" s="44">
        <v>0</v>
      </c>
      <c r="K103" s="124">
        <v>100000</v>
      </c>
      <c r="L103" s="124">
        <f t="shared" si="14"/>
        <v>10</v>
      </c>
      <c r="M103" s="45">
        <f t="shared" si="10"/>
        <v>1000000</v>
      </c>
      <c r="N103" s="45">
        <f>M103</f>
        <v>1000000</v>
      </c>
      <c r="O103" s="45"/>
      <c r="P103" s="45" t="s">
        <v>6285</v>
      </c>
      <c r="Q103" s="45"/>
      <c r="R103" s="45"/>
      <c r="S103" s="45">
        <f t="shared" si="12"/>
        <v>0</v>
      </c>
      <c r="T103" s="44" t="s">
        <v>19</v>
      </c>
      <c r="U103" s="44" t="s">
        <v>20</v>
      </c>
      <c r="V103" t="s">
        <v>21</v>
      </c>
    </row>
    <row r="104" spans="1:22" ht="18" customHeight="1">
      <c r="A104" s="2"/>
      <c r="B104" s="120">
        <v>202510</v>
      </c>
      <c r="C104" s="44" t="s">
        <v>219</v>
      </c>
      <c r="D104" s="44" t="s">
        <v>2199</v>
      </c>
      <c r="E104" s="44" t="s">
        <v>202</v>
      </c>
      <c r="F104" s="44">
        <v>5</v>
      </c>
      <c r="G104" s="44">
        <v>0</v>
      </c>
      <c r="H104" s="44">
        <v>5</v>
      </c>
      <c r="I104" s="44">
        <v>0</v>
      </c>
      <c r="J104" s="44">
        <v>0</v>
      </c>
      <c r="K104" s="124">
        <v>100000</v>
      </c>
      <c r="L104" s="124">
        <f t="shared" si="14"/>
        <v>10</v>
      </c>
      <c r="M104" s="45">
        <f t="shared" si="10"/>
        <v>1000000</v>
      </c>
      <c r="N104" s="45">
        <f>M104+500000</f>
        <v>1500000</v>
      </c>
      <c r="O104" s="45"/>
      <c r="P104" s="61" t="s">
        <v>6584</v>
      </c>
      <c r="Q104" s="45"/>
      <c r="R104" s="45"/>
      <c r="S104" s="62">
        <f t="shared" si="12"/>
        <v>-500000</v>
      </c>
      <c r="T104" s="44" t="s">
        <v>19</v>
      </c>
      <c r="U104" s="44" t="s">
        <v>20</v>
      </c>
      <c r="V104" t="s">
        <v>21</v>
      </c>
    </row>
    <row r="105" spans="1:22">
      <c r="A105" s="2"/>
      <c r="B105" s="120">
        <v>202510</v>
      </c>
      <c r="C105" s="44" t="s">
        <v>223</v>
      </c>
      <c r="D105" s="44" t="s">
        <v>2200</v>
      </c>
      <c r="E105" s="44" t="s">
        <v>202</v>
      </c>
      <c r="F105" s="44">
        <v>5</v>
      </c>
      <c r="G105" s="44">
        <v>0</v>
      </c>
      <c r="H105" s="44">
        <v>0</v>
      </c>
      <c r="I105" s="44">
        <v>0</v>
      </c>
      <c r="J105" s="44">
        <v>0</v>
      </c>
      <c r="K105" s="124">
        <v>100000</v>
      </c>
      <c r="L105" s="124">
        <f t="shared" si="14"/>
        <v>5</v>
      </c>
      <c r="M105" s="45">
        <f t="shared" si="10"/>
        <v>500000</v>
      </c>
      <c r="N105" s="45">
        <f t="shared" ref="N105:N110" si="16">M105</f>
        <v>500000</v>
      </c>
      <c r="O105" s="45"/>
      <c r="P105" s="45" t="s">
        <v>6310</v>
      </c>
      <c r="Q105" s="45"/>
      <c r="R105" s="45"/>
      <c r="S105" s="45">
        <f t="shared" si="12"/>
        <v>0</v>
      </c>
      <c r="T105" s="44" t="s">
        <v>19</v>
      </c>
      <c r="U105" s="44" t="s">
        <v>20</v>
      </c>
      <c r="V105" t="s">
        <v>21</v>
      </c>
    </row>
    <row r="106" spans="1:22">
      <c r="A106" s="2"/>
      <c r="B106" s="120">
        <v>202510</v>
      </c>
      <c r="C106" s="44" t="s">
        <v>227</v>
      </c>
      <c r="D106" s="44" t="s">
        <v>2201</v>
      </c>
      <c r="E106" s="44" t="s">
        <v>202</v>
      </c>
      <c r="F106" s="44">
        <v>3</v>
      </c>
      <c r="G106" s="44">
        <v>0</v>
      </c>
      <c r="H106" s="44">
        <v>0</v>
      </c>
      <c r="I106" s="44">
        <v>0</v>
      </c>
      <c r="J106" s="44">
        <v>0</v>
      </c>
      <c r="K106" s="124">
        <v>100000</v>
      </c>
      <c r="L106" s="124">
        <f t="shared" si="14"/>
        <v>3</v>
      </c>
      <c r="M106" s="45">
        <f t="shared" si="10"/>
        <v>300000</v>
      </c>
      <c r="N106" s="45">
        <f t="shared" si="16"/>
        <v>300000</v>
      </c>
      <c r="O106" s="45"/>
      <c r="P106" s="45" t="s">
        <v>6560</v>
      </c>
      <c r="Q106" s="45"/>
      <c r="R106" s="45"/>
      <c r="S106" s="45">
        <f t="shared" si="12"/>
        <v>0</v>
      </c>
      <c r="T106" s="44" t="s">
        <v>19</v>
      </c>
      <c r="U106" s="44" t="s">
        <v>20</v>
      </c>
      <c r="V106" t="s">
        <v>21</v>
      </c>
    </row>
    <row r="107" spans="1:22">
      <c r="A107" s="2"/>
      <c r="B107" s="120">
        <v>202510</v>
      </c>
      <c r="C107" s="44" t="s">
        <v>233</v>
      </c>
      <c r="D107" s="44" t="s">
        <v>2202</v>
      </c>
      <c r="E107" s="44" t="s">
        <v>202</v>
      </c>
      <c r="F107" s="44">
        <v>5</v>
      </c>
      <c r="G107" s="44">
        <v>0</v>
      </c>
      <c r="H107" s="44">
        <v>0</v>
      </c>
      <c r="I107" s="44">
        <v>0</v>
      </c>
      <c r="J107" s="44">
        <v>0</v>
      </c>
      <c r="K107" s="124">
        <v>100000</v>
      </c>
      <c r="L107" s="124">
        <f t="shared" si="14"/>
        <v>5</v>
      </c>
      <c r="M107" s="45">
        <f t="shared" si="10"/>
        <v>500000</v>
      </c>
      <c r="N107" s="45">
        <f t="shared" si="16"/>
        <v>500000</v>
      </c>
      <c r="O107" s="45"/>
      <c r="P107" s="45" t="s">
        <v>3138</v>
      </c>
      <c r="Q107" s="45"/>
      <c r="R107" s="45"/>
      <c r="S107" s="45">
        <f t="shared" si="12"/>
        <v>0</v>
      </c>
      <c r="T107" s="44" t="s">
        <v>19</v>
      </c>
      <c r="U107" s="44" t="s">
        <v>20</v>
      </c>
      <c r="V107" t="s">
        <v>21</v>
      </c>
    </row>
    <row r="108" spans="1:22">
      <c r="A108" s="2"/>
      <c r="B108" s="120">
        <v>202510</v>
      </c>
      <c r="C108" s="44" t="s">
        <v>203</v>
      </c>
      <c r="D108" s="44" t="s">
        <v>2203</v>
      </c>
      <c r="E108" s="44" t="s">
        <v>202</v>
      </c>
      <c r="F108" s="44">
        <v>4</v>
      </c>
      <c r="G108" s="44">
        <v>0</v>
      </c>
      <c r="H108" s="44">
        <v>0</v>
      </c>
      <c r="I108" s="44">
        <v>0</v>
      </c>
      <c r="J108" s="44">
        <v>0</v>
      </c>
      <c r="K108" s="124">
        <v>100000</v>
      </c>
      <c r="L108" s="124">
        <f t="shared" si="14"/>
        <v>4</v>
      </c>
      <c r="M108" s="45">
        <f t="shared" si="10"/>
        <v>400000</v>
      </c>
      <c r="N108" s="45">
        <f t="shared" si="16"/>
        <v>400000</v>
      </c>
      <c r="O108" s="45"/>
      <c r="P108" s="67" t="s">
        <v>3177</v>
      </c>
      <c r="Q108" s="45"/>
      <c r="R108" s="45"/>
      <c r="S108" s="45">
        <f t="shared" si="12"/>
        <v>0</v>
      </c>
      <c r="T108" s="44" t="s">
        <v>19</v>
      </c>
      <c r="U108" s="44" t="s">
        <v>20</v>
      </c>
      <c r="V108" t="s">
        <v>21</v>
      </c>
    </row>
    <row r="109" spans="1:22">
      <c r="A109" s="2"/>
      <c r="B109" s="120">
        <v>202510</v>
      </c>
      <c r="C109" s="44" t="s">
        <v>205</v>
      </c>
      <c r="D109" s="44" t="s">
        <v>2204</v>
      </c>
      <c r="E109" s="44" t="s">
        <v>202</v>
      </c>
      <c r="F109" s="44">
        <v>5</v>
      </c>
      <c r="G109" s="44">
        <v>0</v>
      </c>
      <c r="H109" s="44">
        <v>0</v>
      </c>
      <c r="I109" s="44">
        <v>0</v>
      </c>
      <c r="J109" s="44">
        <v>0</v>
      </c>
      <c r="K109" s="124">
        <v>100000</v>
      </c>
      <c r="L109" s="124">
        <f t="shared" si="14"/>
        <v>5</v>
      </c>
      <c r="M109" s="45">
        <f t="shared" si="10"/>
        <v>500000</v>
      </c>
      <c r="N109" s="45">
        <f t="shared" si="16"/>
        <v>500000</v>
      </c>
      <c r="O109" s="45"/>
      <c r="P109" s="45" t="s">
        <v>6290</v>
      </c>
      <c r="Q109" s="45"/>
      <c r="R109" s="45"/>
      <c r="S109" s="45">
        <f t="shared" si="12"/>
        <v>0</v>
      </c>
      <c r="T109" s="44" t="s">
        <v>19</v>
      </c>
      <c r="U109" s="44" t="s">
        <v>20</v>
      </c>
      <c r="V109" t="s">
        <v>21</v>
      </c>
    </row>
    <row r="110" spans="1:22">
      <c r="A110" s="2"/>
      <c r="B110" s="120">
        <v>202510</v>
      </c>
      <c r="C110" s="44" t="s">
        <v>207</v>
      </c>
      <c r="D110" s="44" t="s">
        <v>2205</v>
      </c>
      <c r="E110" s="44" t="s">
        <v>202</v>
      </c>
      <c r="F110" s="44">
        <v>4</v>
      </c>
      <c r="G110" s="44">
        <v>0</v>
      </c>
      <c r="H110" s="44">
        <v>0</v>
      </c>
      <c r="I110" s="44">
        <v>0</v>
      </c>
      <c r="J110" s="44">
        <v>0</v>
      </c>
      <c r="K110" s="124">
        <v>100000</v>
      </c>
      <c r="L110" s="124">
        <f t="shared" si="14"/>
        <v>4</v>
      </c>
      <c r="M110" s="45">
        <f t="shared" si="10"/>
        <v>400000</v>
      </c>
      <c r="N110" s="45">
        <f t="shared" si="16"/>
        <v>400000</v>
      </c>
      <c r="O110" s="45"/>
      <c r="P110" s="45" t="s">
        <v>6303</v>
      </c>
      <c r="Q110" s="45"/>
      <c r="R110" s="45"/>
      <c r="S110" s="45">
        <f t="shared" si="12"/>
        <v>0</v>
      </c>
      <c r="T110" s="44" t="s">
        <v>19</v>
      </c>
      <c r="U110" s="44" t="s">
        <v>20</v>
      </c>
      <c r="V110" t="s">
        <v>21</v>
      </c>
    </row>
    <row r="111" spans="1:22">
      <c r="A111" s="2"/>
      <c r="B111" s="120">
        <v>202510</v>
      </c>
      <c r="C111" s="44" t="s">
        <v>213</v>
      </c>
      <c r="D111" s="44" t="s">
        <v>2206</v>
      </c>
      <c r="E111" s="44" t="s">
        <v>202</v>
      </c>
      <c r="F111" s="44">
        <v>5</v>
      </c>
      <c r="G111" s="44">
        <v>0</v>
      </c>
      <c r="H111" s="44">
        <v>0</v>
      </c>
      <c r="I111" s="44">
        <v>0</v>
      </c>
      <c r="J111" s="44">
        <v>0</v>
      </c>
      <c r="K111" s="124">
        <v>100000</v>
      </c>
      <c r="L111" s="124">
        <f t="shared" ref="L111:L142" si="17">SUM(F111:J111)</f>
        <v>5</v>
      </c>
      <c r="M111" s="45">
        <f t="shared" si="10"/>
        <v>500000</v>
      </c>
      <c r="N111" s="45">
        <f>M98</f>
        <v>500000</v>
      </c>
      <c r="O111" s="45"/>
      <c r="P111" s="45" t="s">
        <v>2682</v>
      </c>
      <c r="Q111" s="45"/>
      <c r="R111" s="45"/>
      <c r="S111" s="45">
        <f t="shared" si="12"/>
        <v>0</v>
      </c>
      <c r="T111" s="44" t="s">
        <v>19</v>
      </c>
      <c r="U111" s="44" t="s">
        <v>20</v>
      </c>
      <c r="V111" t="s">
        <v>21</v>
      </c>
    </row>
    <row r="112" spans="1:22">
      <c r="A112" s="2"/>
      <c r="B112" s="120">
        <v>202510</v>
      </c>
      <c r="C112" s="44" t="s">
        <v>217</v>
      </c>
      <c r="D112" s="44" t="s">
        <v>2207</v>
      </c>
      <c r="E112" s="44" t="s">
        <v>202</v>
      </c>
      <c r="F112" s="44">
        <v>5</v>
      </c>
      <c r="G112" s="44">
        <v>0</v>
      </c>
      <c r="H112" s="44">
        <v>0</v>
      </c>
      <c r="I112" s="44">
        <v>0</v>
      </c>
      <c r="J112" s="44">
        <v>0</v>
      </c>
      <c r="K112" s="124">
        <v>100000</v>
      </c>
      <c r="L112" s="124">
        <f t="shared" si="17"/>
        <v>5</v>
      </c>
      <c r="M112" s="45">
        <f t="shared" si="10"/>
        <v>500000</v>
      </c>
      <c r="N112" s="45">
        <f t="shared" ref="N112:N118" si="18">M112</f>
        <v>500000</v>
      </c>
      <c r="O112" s="45"/>
      <c r="P112" s="45" t="s">
        <v>3108</v>
      </c>
      <c r="Q112" s="45"/>
      <c r="R112" s="45"/>
      <c r="S112" s="45">
        <f t="shared" si="12"/>
        <v>0</v>
      </c>
      <c r="T112" s="44" t="s">
        <v>19</v>
      </c>
      <c r="U112" s="44" t="s">
        <v>20</v>
      </c>
      <c r="V112" t="s">
        <v>21</v>
      </c>
    </row>
    <row r="113" spans="1:22">
      <c r="A113" s="2"/>
      <c r="B113" s="120">
        <v>202510</v>
      </c>
      <c r="C113" s="44" t="s">
        <v>267</v>
      </c>
      <c r="D113" s="44" t="s">
        <v>224</v>
      </c>
      <c r="E113" s="44" t="s">
        <v>202</v>
      </c>
      <c r="F113" s="44">
        <v>0</v>
      </c>
      <c r="G113" s="44">
        <v>0</v>
      </c>
      <c r="H113" s="44">
        <v>5</v>
      </c>
      <c r="I113" s="44">
        <v>0</v>
      </c>
      <c r="J113" s="44">
        <v>0</v>
      </c>
      <c r="K113" s="124">
        <v>100000</v>
      </c>
      <c r="L113" s="124">
        <f t="shared" si="17"/>
        <v>5</v>
      </c>
      <c r="M113" s="45">
        <f t="shared" si="10"/>
        <v>500000</v>
      </c>
      <c r="N113" s="45">
        <f t="shared" si="18"/>
        <v>500000</v>
      </c>
      <c r="O113" s="45"/>
      <c r="P113" s="45" t="s">
        <v>6566</v>
      </c>
      <c r="Q113" s="45"/>
      <c r="R113" s="45"/>
      <c r="S113" s="45">
        <f t="shared" si="12"/>
        <v>0</v>
      </c>
      <c r="T113" s="44" t="s">
        <v>19</v>
      </c>
      <c r="U113" s="44" t="s">
        <v>20</v>
      </c>
      <c r="V113" t="s">
        <v>21</v>
      </c>
    </row>
    <row r="114" spans="1:22">
      <c r="A114" s="2"/>
      <c r="B114" s="120">
        <v>202510</v>
      </c>
      <c r="C114" s="44" t="s">
        <v>225</v>
      </c>
      <c r="D114" s="44" t="s">
        <v>226</v>
      </c>
      <c r="E114" s="44" t="s">
        <v>202</v>
      </c>
      <c r="F114" s="44">
        <v>4</v>
      </c>
      <c r="G114" s="44">
        <v>0</v>
      </c>
      <c r="H114" s="44">
        <v>5</v>
      </c>
      <c r="I114" s="44">
        <v>0</v>
      </c>
      <c r="J114" s="44">
        <v>0</v>
      </c>
      <c r="K114" s="124">
        <v>100000</v>
      </c>
      <c r="L114" s="124">
        <f t="shared" si="17"/>
        <v>9</v>
      </c>
      <c r="M114" s="45">
        <f t="shared" si="10"/>
        <v>900000</v>
      </c>
      <c r="N114" s="45">
        <f t="shared" si="18"/>
        <v>900000</v>
      </c>
      <c r="O114" s="45"/>
      <c r="P114" s="45" t="s">
        <v>6430</v>
      </c>
      <c r="Q114" s="45"/>
      <c r="R114" s="45"/>
      <c r="S114" s="45">
        <f t="shared" si="12"/>
        <v>0</v>
      </c>
      <c r="T114" s="44" t="s">
        <v>19</v>
      </c>
      <c r="U114" s="44" t="s">
        <v>20</v>
      </c>
      <c r="V114" t="s">
        <v>21</v>
      </c>
    </row>
    <row r="115" spans="1:22">
      <c r="A115" s="2"/>
      <c r="B115" s="120">
        <v>202510</v>
      </c>
      <c r="C115" s="44" t="s">
        <v>229</v>
      </c>
      <c r="D115" s="44" t="s">
        <v>228</v>
      </c>
      <c r="E115" s="44" t="s">
        <v>202</v>
      </c>
      <c r="F115" s="44">
        <v>5</v>
      </c>
      <c r="G115" s="44">
        <v>0</v>
      </c>
      <c r="H115" s="44">
        <v>5</v>
      </c>
      <c r="I115" s="44">
        <v>0</v>
      </c>
      <c r="J115" s="44">
        <v>0</v>
      </c>
      <c r="K115" s="124">
        <v>100000</v>
      </c>
      <c r="L115" s="124">
        <f t="shared" si="17"/>
        <v>10</v>
      </c>
      <c r="M115" s="45">
        <f t="shared" si="10"/>
        <v>1000000</v>
      </c>
      <c r="N115" s="45">
        <f t="shared" si="18"/>
        <v>1000000</v>
      </c>
      <c r="O115" s="45"/>
      <c r="P115" s="45" t="s">
        <v>3125</v>
      </c>
      <c r="Q115" s="45"/>
      <c r="R115" s="45"/>
      <c r="S115" s="45">
        <f t="shared" si="12"/>
        <v>0</v>
      </c>
      <c r="T115" s="44" t="s">
        <v>19</v>
      </c>
      <c r="U115" s="44" t="s">
        <v>20</v>
      </c>
      <c r="V115" t="s">
        <v>21</v>
      </c>
    </row>
    <row r="116" spans="1:22" ht="26.4">
      <c r="A116" s="2"/>
      <c r="B116" s="131">
        <v>202510</v>
      </c>
      <c r="C116" s="68" t="s">
        <v>231</v>
      </c>
      <c r="D116" s="68" t="s">
        <v>230</v>
      </c>
      <c r="E116" s="68" t="s">
        <v>202</v>
      </c>
      <c r="F116" s="68">
        <v>5</v>
      </c>
      <c r="G116" s="68">
        <v>0</v>
      </c>
      <c r="H116" s="68">
        <v>5</v>
      </c>
      <c r="I116" s="68">
        <v>0</v>
      </c>
      <c r="J116" s="68">
        <v>0</v>
      </c>
      <c r="K116" s="128">
        <v>100000</v>
      </c>
      <c r="L116" s="128">
        <f t="shared" si="17"/>
        <v>10</v>
      </c>
      <c r="M116" s="45">
        <f t="shared" si="10"/>
        <v>1000000</v>
      </c>
      <c r="N116" s="65">
        <f t="shared" si="18"/>
        <v>1000000</v>
      </c>
      <c r="O116" s="45"/>
      <c r="P116" s="61" t="s">
        <v>6300</v>
      </c>
      <c r="Q116" s="45"/>
      <c r="R116" s="45"/>
      <c r="S116" s="45">
        <f t="shared" si="12"/>
        <v>0</v>
      </c>
      <c r="T116" s="44" t="s">
        <v>19</v>
      </c>
      <c r="U116" s="44" t="s">
        <v>20</v>
      </c>
      <c r="V116" t="s">
        <v>21</v>
      </c>
    </row>
    <row r="117" spans="1:22">
      <c r="A117" s="2"/>
      <c r="B117" s="120">
        <v>202510</v>
      </c>
      <c r="C117" s="44" t="s">
        <v>2208</v>
      </c>
      <c r="D117" s="44" t="s">
        <v>232</v>
      </c>
      <c r="E117" s="44" t="s">
        <v>202</v>
      </c>
      <c r="F117" s="44">
        <v>0</v>
      </c>
      <c r="G117" s="44">
        <v>0</v>
      </c>
      <c r="H117" s="44">
        <v>5</v>
      </c>
      <c r="I117" s="44">
        <v>0</v>
      </c>
      <c r="J117" s="44">
        <v>0</v>
      </c>
      <c r="K117" s="124">
        <v>100000</v>
      </c>
      <c r="L117" s="124">
        <f t="shared" si="17"/>
        <v>5</v>
      </c>
      <c r="M117" s="45">
        <f t="shared" si="10"/>
        <v>500000</v>
      </c>
      <c r="N117" s="45">
        <f t="shared" si="18"/>
        <v>500000</v>
      </c>
      <c r="O117" s="45"/>
      <c r="P117" s="45" t="s">
        <v>6074</v>
      </c>
      <c r="Q117" s="45"/>
      <c r="R117" s="45"/>
      <c r="S117" s="45">
        <f t="shared" si="12"/>
        <v>0</v>
      </c>
      <c r="T117" s="44" t="s">
        <v>19</v>
      </c>
      <c r="U117" s="44" t="s">
        <v>20</v>
      </c>
      <c r="V117" t="s">
        <v>21</v>
      </c>
    </row>
    <row r="118" spans="1:22">
      <c r="A118" s="2"/>
      <c r="B118" s="120">
        <v>202510</v>
      </c>
      <c r="C118" s="44" t="s">
        <v>2209</v>
      </c>
      <c r="D118" s="44" t="s">
        <v>234</v>
      </c>
      <c r="E118" s="44" t="s">
        <v>202</v>
      </c>
      <c r="F118" s="44">
        <v>0</v>
      </c>
      <c r="G118" s="44">
        <v>0</v>
      </c>
      <c r="H118" s="44">
        <v>5</v>
      </c>
      <c r="I118" s="44">
        <v>0</v>
      </c>
      <c r="J118" s="44">
        <v>0</v>
      </c>
      <c r="K118" s="124">
        <v>100000</v>
      </c>
      <c r="L118" s="124">
        <f t="shared" si="17"/>
        <v>5</v>
      </c>
      <c r="M118" s="45">
        <f t="shared" si="10"/>
        <v>500000</v>
      </c>
      <c r="N118" s="45">
        <f t="shared" si="18"/>
        <v>500000</v>
      </c>
      <c r="O118" s="45"/>
      <c r="P118" s="45" t="s">
        <v>6291</v>
      </c>
      <c r="Q118" s="45"/>
      <c r="R118" s="45"/>
      <c r="S118" s="45">
        <f t="shared" si="12"/>
        <v>0</v>
      </c>
      <c r="T118" s="44" t="s">
        <v>19</v>
      </c>
      <c r="U118" s="44" t="s">
        <v>20</v>
      </c>
      <c r="V118" t="s">
        <v>21</v>
      </c>
    </row>
    <row r="119" spans="1:22" ht="30.6" customHeight="1">
      <c r="A119" s="2"/>
      <c r="B119" s="120">
        <v>202510</v>
      </c>
      <c r="C119" s="44" t="s">
        <v>2210</v>
      </c>
      <c r="D119" s="44" t="s">
        <v>235</v>
      </c>
      <c r="E119" s="44" t="s">
        <v>202</v>
      </c>
      <c r="F119" s="44">
        <v>0</v>
      </c>
      <c r="G119" s="44">
        <v>0</v>
      </c>
      <c r="H119" s="44">
        <v>5</v>
      </c>
      <c r="I119" s="44">
        <v>0</v>
      </c>
      <c r="J119" s="44">
        <v>0</v>
      </c>
      <c r="K119" s="124">
        <v>100000</v>
      </c>
      <c r="L119" s="124">
        <f t="shared" si="17"/>
        <v>5</v>
      </c>
      <c r="M119" s="45">
        <f t="shared" si="10"/>
        <v>500000</v>
      </c>
      <c r="N119" s="45">
        <f>M119</f>
        <v>500000</v>
      </c>
      <c r="O119" s="45"/>
      <c r="P119" s="61" t="s">
        <v>6370</v>
      </c>
      <c r="Q119" s="45"/>
      <c r="R119" s="45"/>
      <c r="S119" s="45">
        <f t="shared" si="12"/>
        <v>0</v>
      </c>
      <c r="T119" s="44" t="s">
        <v>19</v>
      </c>
      <c r="U119" s="44" t="s">
        <v>20</v>
      </c>
      <c r="V119" t="s">
        <v>21</v>
      </c>
    </row>
    <row r="120" spans="1:22">
      <c r="A120" s="2">
        <v>110</v>
      </c>
      <c r="B120" s="119">
        <v>202510</v>
      </c>
      <c r="C120" s="44" t="s">
        <v>236</v>
      </c>
      <c r="D120" s="44" t="s">
        <v>237</v>
      </c>
      <c r="E120" s="44" t="s">
        <v>238</v>
      </c>
      <c r="F120" s="44">
        <v>3</v>
      </c>
      <c r="G120" s="44">
        <v>3</v>
      </c>
      <c r="H120" s="44">
        <v>0</v>
      </c>
      <c r="I120" s="44">
        <v>0</v>
      </c>
      <c r="J120" s="44">
        <v>0</v>
      </c>
      <c r="K120" s="123">
        <v>100000</v>
      </c>
      <c r="L120" s="124">
        <f t="shared" si="17"/>
        <v>6</v>
      </c>
      <c r="M120" s="45">
        <f t="shared" si="10"/>
        <v>600000</v>
      </c>
      <c r="N120" s="45">
        <f t="shared" ref="N120:N127" si="19">M120</f>
        <v>600000</v>
      </c>
      <c r="O120" s="45"/>
      <c r="P120" s="45" t="s">
        <v>6563</v>
      </c>
      <c r="Q120" s="45"/>
      <c r="R120" s="45"/>
      <c r="S120" s="45">
        <f t="shared" si="12"/>
        <v>0</v>
      </c>
      <c r="T120" s="44" t="s">
        <v>19</v>
      </c>
      <c r="U120" s="44" t="s">
        <v>20</v>
      </c>
      <c r="V120" s="43" t="s">
        <v>21</v>
      </c>
    </row>
    <row r="121" spans="1:22">
      <c r="A121" s="2">
        <v>111</v>
      </c>
      <c r="B121" s="119">
        <v>202510</v>
      </c>
      <c r="C121" s="44" t="s">
        <v>239</v>
      </c>
      <c r="D121" s="44" t="s">
        <v>240</v>
      </c>
      <c r="E121" s="44" t="s">
        <v>238</v>
      </c>
      <c r="F121" s="44">
        <v>3</v>
      </c>
      <c r="G121" s="44">
        <v>0</v>
      </c>
      <c r="H121" s="44">
        <v>0</v>
      </c>
      <c r="I121" s="44">
        <v>0</v>
      </c>
      <c r="J121" s="44">
        <v>0</v>
      </c>
      <c r="K121" s="123">
        <v>100000</v>
      </c>
      <c r="L121" s="124">
        <f t="shared" si="17"/>
        <v>3</v>
      </c>
      <c r="M121" s="45">
        <f t="shared" si="10"/>
        <v>300000</v>
      </c>
      <c r="N121" s="45">
        <f t="shared" si="19"/>
        <v>300000</v>
      </c>
      <c r="O121" s="45"/>
      <c r="P121" s="45" t="s">
        <v>6441</v>
      </c>
      <c r="Q121" s="45"/>
      <c r="R121" s="45"/>
      <c r="S121" s="45">
        <f t="shared" si="12"/>
        <v>0</v>
      </c>
      <c r="T121" s="44" t="s">
        <v>19</v>
      </c>
      <c r="U121" s="44" t="s">
        <v>20</v>
      </c>
      <c r="V121" s="43" t="s">
        <v>21</v>
      </c>
    </row>
    <row r="122" spans="1:22">
      <c r="A122" s="2">
        <v>112</v>
      </c>
      <c r="B122" s="119">
        <v>202510</v>
      </c>
      <c r="C122" s="44" t="s">
        <v>241</v>
      </c>
      <c r="D122" s="44" t="s">
        <v>242</v>
      </c>
      <c r="E122" s="44" t="s">
        <v>238</v>
      </c>
      <c r="F122" s="44">
        <v>3</v>
      </c>
      <c r="G122" s="44">
        <v>3</v>
      </c>
      <c r="H122" s="44">
        <v>0</v>
      </c>
      <c r="I122" s="44">
        <v>0</v>
      </c>
      <c r="J122" s="44">
        <v>0</v>
      </c>
      <c r="K122" s="123">
        <v>100000</v>
      </c>
      <c r="L122" s="124">
        <f t="shared" si="17"/>
        <v>6</v>
      </c>
      <c r="M122" s="45">
        <f t="shared" si="10"/>
        <v>600000</v>
      </c>
      <c r="N122" s="45">
        <f t="shared" si="19"/>
        <v>600000</v>
      </c>
      <c r="O122" s="45"/>
      <c r="P122" s="45" t="s">
        <v>2089</v>
      </c>
      <c r="Q122" s="45"/>
      <c r="R122" s="45"/>
      <c r="S122" s="45">
        <f t="shared" si="12"/>
        <v>0</v>
      </c>
      <c r="T122" s="44" t="s">
        <v>19</v>
      </c>
      <c r="U122" s="44" t="s">
        <v>20</v>
      </c>
      <c r="V122" s="43" t="s">
        <v>21</v>
      </c>
    </row>
    <row r="123" spans="1:22">
      <c r="A123" s="2">
        <v>113</v>
      </c>
      <c r="B123" s="119">
        <v>202510</v>
      </c>
      <c r="C123" s="44" t="s">
        <v>243</v>
      </c>
      <c r="D123" s="44" t="s">
        <v>244</v>
      </c>
      <c r="E123" s="44" t="s">
        <v>238</v>
      </c>
      <c r="F123" s="44">
        <v>3</v>
      </c>
      <c r="G123" s="44">
        <v>3</v>
      </c>
      <c r="H123" s="44">
        <v>0</v>
      </c>
      <c r="I123" s="44">
        <v>0</v>
      </c>
      <c r="J123" s="44">
        <v>0</v>
      </c>
      <c r="K123" s="123">
        <v>100000</v>
      </c>
      <c r="L123" s="124">
        <f t="shared" si="17"/>
        <v>6</v>
      </c>
      <c r="M123" s="45">
        <f t="shared" si="10"/>
        <v>600000</v>
      </c>
      <c r="N123" s="45">
        <f t="shared" si="19"/>
        <v>600000</v>
      </c>
      <c r="O123" s="45"/>
      <c r="P123" s="45" t="s">
        <v>6638</v>
      </c>
      <c r="Q123" s="45"/>
      <c r="R123" s="45"/>
      <c r="S123" s="45">
        <f t="shared" si="12"/>
        <v>0</v>
      </c>
      <c r="T123" s="44" t="s">
        <v>19</v>
      </c>
      <c r="U123" s="44" t="s">
        <v>20</v>
      </c>
      <c r="V123" s="43" t="s">
        <v>21</v>
      </c>
    </row>
    <row r="124" spans="1:22">
      <c r="A124" s="2">
        <v>114</v>
      </c>
      <c r="B124" s="119">
        <v>202510</v>
      </c>
      <c r="C124" s="44" t="s">
        <v>245</v>
      </c>
      <c r="D124" s="44" t="s">
        <v>246</v>
      </c>
      <c r="E124" s="44" t="s">
        <v>238</v>
      </c>
      <c r="F124" s="44">
        <v>3</v>
      </c>
      <c r="G124" s="44">
        <v>3</v>
      </c>
      <c r="H124" s="44">
        <v>0</v>
      </c>
      <c r="I124" s="44">
        <v>0</v>
      </c>
      <c r="J124" s="44">
        <v>0</v>
      </c>
      <c r="K124" s="123">
        <v>100000</v>
      </c>
      <c r="L124" s="124">
        <f t="shared" si="17"/>
        <v>6</v>
      </c>
      <c r="M124" s="45">
        <f t="shared" si="10"/>
        <v>600000</v>
      </c>
      <c r="N124" s="45">
        <f t="shared" si="19"/>
        <v>600000</v>
      </c>
      <c r="O124" s="45"/>
      <c r="P124" s="45" t="s">
        <v>6437</v>
      </c>
      <c r="Q124" s="45"/>
      <c r="R124" s="45"/>
      <c r="S124" s="45">
        <f t="shared" si="12"/>
        <v>0</v>
      </c>
      <c r="T124" s="44" t="s">
        <v>19</v>
      </c>
      <c r="U124" s="44" t="s">
        <v>20</v>
      </c>
      <c r="V124" s="43" t="s">
        <v>21</v>
      </c>
    </row>
    <row r="125" spans="1:22">
      <c r="A125" s="2">
        <v>115</v>
      </c>
      <c r="B125" s="119">
        <v>202510</v>
      </c>
      <c r="C125" s="44" t="s">
        <v>247</v>
      </c>
      <c r="D125" s="44" t="s">
        <v>248</v>
      </c>
      <c r="E125" s="44" t="s">
        <v>238</v>
      </c>
      <c r="F125" s="44">
        <v>0</v>
      </c>
      <c r="G125" s="44">
        <v>3</v>
      </c>
      <c r="H125" s="44">
        <v>0</v>
      </c>
      <c r="I125" s="44">
        <v>0</v>
      </c>
      <c r="J125" s="44">
        <v>0</v>
      </c>
      <c r="K125" s="123">
        <v>100000</v>
      </c>
      <c r="L125" s="124">
        <f t="shared" si="17"/>
        <v>3</v>
      </c>
      <c r="M125" s="45">
        <f t="shared" si="10"/>
        <v>300000</v>
      </c>
      <c r="N125" s="45">
        <f t="shared" si="19"/>
        <v>300000</v>
      </c>
      <c r="O125" s="45"/>
      <c r="P125" s="45" t="s">
        <v>2732</v>
      </c>
      <c r="Q125" s="45"/>
      <c r="R125" s="45"/>
      <c r="S125" s="45">
        <f t="shared" si="12"/>
        <v>0</v>
      </c>
      <c r="T125" s="44" t="s">
        <v>19</v>
      </c>
      <c r="U125" s="44" t="s">
        <v>20</v>
      </c>
      <c r="V125" s="43" t="s">
        <v>21</v>
      </c>
    </row>
    <row r="126" spans="1:22">
      <c r="A126" s="2">
        <v>116</v>
      </c>
      <c r="B126" s="119">
        <v>202510</v>
      </c>
      <c r="C126" s="44" t="s">
        <v>249</v>
      </c>
      <c r="D126" s="44" t="s">
        <v>250</v>
      </c>
      <c r="E126" s="44" t="s">
        <v>238</v>
      </c>
      <c r="F126" s="44">
        <v>0</v>
      </c>
      <c r="G126" s="44">
        <v>3</v>
      </c>
      <c r="H126" s="44">
        <v>0</v>
      </c>
      <c r="I126" s="44">
        <v>0</v>
      </c>
      <c r="J126" s="44">
        <v>0</v>
      </c>
      <c r="K126" s="123">
        <v>100000</v>
      </c>
      <c r="L126" s="124">
        <f t="shared" si="17"/>
        <v>3</v>
      </c>
      <c r="M126" s="45">
        <f t="shared" si="10"/>
        <v>300000</v>
      </c>
      <c r="N126" s="45">
        <f t="shared" si="19"/>
        <v>300000</v>
      </c>
      <c r="O126" s="45"/>
      <c r="P126" s="45" t="s">
        <v>2702</v>
      </c>
      <c r="Q126" s="45"/>
      <c r="R126" s="45"/>
      <c r="S126" s="45">
        <f t="shared" si="12"/>
        <v>0</v>
      </c>
      <c r="T126" s="44" t="s">
        <v>19</v>
      </c>
      <c r="U126" s="44" t="s">
        <v>20</v>
      </c>
      <c r="V126" s="43" t="s">
        <v>21</v>
      </c>
    </row>
    <row r="127" spans="1:22">
      <c r="A127" s="2">
        <v>117</v>
      </c>
      <c r="B127" s="119">
        <v>202510</v>
      </c>
      <c r="C127" s="44" t="s">
        <v>251</v>
      </c>
      <c r="D127" s="44" t="s">
        <v>252</v>
      </c>
      <c r="E127" s="44" t="s">
        <v>238</v>
      </c>
      <c r="F127" s="44">
        <v>3</v>
      </c>
      <c r="G127" s="44">
        <v>3</v>
      </c>
      <c r="H127" s="44">
        <v>0</v>
      </c>
      <c r="I127" s="44">
        <v>0</v>
      </c>
      <c r="J127" s="44">
        <v>0</v>
      </c>
      <c r="K127" s="123">
        <v>100000</v>
      </c>
      <c r="L127" s="124">
        <f t="shared" si="17"/>
        <v>6</v>
      </c>
      <c r="M127" s="45">
        <f t="shared" si="10"/>
        <v>600000</v>
      </c>
      <c r="N127" s="45">
        <f t="shared" si="19"/>
        <v>600000</v>
      </c>
      <c r="O127" s="45"/>
      <c r="P127" s="45" t="s">
        <v>2117</v>
      </c>
      <c r="Q127" s="45"/>
      <c r="R127" s="45"/>
      <c r="S127" s="45">
        <f t="shared" si="12"/>
        <v>0</v>
      </c>
      <c r="T127" s="44" t="s">
        <v>19</v>
      </c>
      <c r="U127" s="44" t="s">
        <v>20</v>
      </c>
      <c r="V127" s="43" t="s">
        <v>21</v>
      </c>
    </row>
    <row r="128" spans="1:22">
      <c r="A128" s="2">
        <v>118</v>
      </c>
      <c r="B128" s="119">
        <v>202510</v>
      </c>
      <c r="C128" s="44" t="s">
        <v>253</v>
      </c>
      <c r="D128" s="44" t="s">
        <v>254</v>
      </c>
      <c r="E128" s="44" t="s">
        <v>238</v>
      </c>
      <c r="F128" s="44">
        <v>3</v>
      </c>
      <c r="G128" s="44">
        <v>0</v>
      </c>
      <c r="H128" s="44">
        <v>0</v>
      </c>
      <c r="I128" s="44">
        <v>0</v>
      </c>
      <c r="J128" s="44">
        <v>0</v>
      </c>
      <c r="K128" s="123">
        <v>100000</v>
      </c>
      <c r="L128" s="124">
        <f t="shared" si="17"/>
        <v>3</v>
      </c>
      <c r="M128" s="45">
        <f t="shared" si="10"/>
        <v>300000</v>
      </c>
      <c r="N128" s="45">
        <f t="shared" ref="N128:N134" si="20">M128</f>
        <v>300000</v>
      </c>
      <c r="O128" s="45"/>
      <c r="P128" s="45" t="s">
        <v>7073</v>
      </c>
      <c r="Q128" s="45"/>
      <c r="R128" s="45"/>
      <c r="S128" s="45">
        <f t="shared" si="12"/>
        <v>0</v>
      </c>
      <c r="T128" s="44" t="s">
        <v>19</v>
      </c>
      <c r="U128" s="44" t="s">
        <v>20</v>
      </c>
      <c r="V128" s="43" t="s">
        <v>21</v>
      </c>
    </row>
    <row r="129" spans="1:22">
      <c r="A129" s="2">
        <v>119</v>
      </c>
      <c r="B129" s="119">
        <v>202510</v>
      </c>
      <c r="C129" s="44" t="s">
        <v>255</v>
      </c>
      <c r="D129" s="44" t="s">
        <v>256</v>
      </c>
      <c r="E129" s="44" t="s">
        <v>238</v>
      </c>
      <c r="F129" s="44">
        <v>3</v>
      </c>
      <c r="G129" s="44">
        <v>0</v>
      </c>
      <c r="H129" s="44">
        <v>0</v>
      </c>
      <c r="I129" s="44">
        <v>0</v>
      </c>
      <c r="J129" s="44">
        <v>0</v>
      </c>
      <c r="K129" s="123">
        <v>100000</v>
      </c>
      <c r="L129" s="124">
        <f t="shared" si="17"/>
        <v>3</v>
      </c>
      <c r="M129" s="45">
        <f t="shared" ref="M129:M192" si="21">L129*K129</f>
        <v>300000</v>
      </c>
      <c r="N129" s="45">
        <f t="shared" si="20"/>
        <v>300000</v>
      </c>
      <c r="O129" s="45"/>
      <c r="P129" s="45" t="s">
        <v>2775</v>
      </c>
      <c r="Q129" s="45"/>
      <c r="R129" s="45"/>
      <c r="S129" s="45">
        <f t="shared" si="12"/>
        <v>0</v>
      </c>
      <c r="T129" s="44" t="s">
        <v>19</v>
      </c>
      <c r="U129" s="44" t="s">
        <v>20</v>
      </c>
      <c r="V129" s="43" t="s">
        <v>21</v>
      </c>
    </row>
    <row r="130" spans="1:22">
      <c r="A130" s="2">
        <v>120</v>
      </c>
      <c r="B130" s="119">
        <v>202510</v>
      </c>
      <c r="C130" s="44" t="s">
        <v>257</v>
      </c>
      <c r="D130" s="44" t="s">
        <v>258</v>
      </c>
      <c r="E130" s="44" t="s">
        <v>238</v>
      </c>
      <c r="F130" s="44">
        <v>3</v>
      </c>
      <c r="G130" s="44">
        <v>3</v>
      </c>
      <c r="H130" s="44">
        <v>0</v>
      </c>
      <c r="I130" s="44">
        <v>0</v>
      </c>
      <c r="J130" s="44">
        <v>0</v>
      </c>
      <c r="K130" s="123">
        <v>100000</v>
      </c>
      <c r="L130" s="124">
        <f t="shared" si="17"/>
        <v>6</v>
      </c>
      <c r="M130" s="45">
        <f t="shared" si="21"/>
        <v>600000</v>
      </c>
      <c r="N130" s="45">
        <f t="shared" si="20"/>
        <v>600000</v>
      </c>
      <c r="O130" s="45"/>
      <c r="P130" s="45" t="s">
        <v>2799</v>
      </c>
      <c r="Q130" s="45"/>
      <c r="R130" s="45"/>
      <c r="S130" s="45">
        <f t="shared" ref="S130:S192" si="22">M130-N130</f>
        <v>0</v>
      </c>
      <c r="T130" s="44" t="s">
        <v>19</v>
      </c>
      <c r="U130" s="44" t="s">
        <v>20</v>
      </c>
      <c r="V130" s="43" t="s">
        <v>21</v>
      </c>
    </row>
    <row r="131" spans="1:22">
      <c r="A131" s="2">
        <v>121</v>
      </c>
      <c r="B131" s="119">
        <v>202510</v>
      </c>
      <c r="C131" s="44" t="s">
        <v>259</v>
      </c>
      <c r="D131" s="44" t="s">
        <v>260</v>
      </c>
      <c r="E131" s="44" t="s">
        <v>238</v>
      </c>
      <c r="F131" s="44">
        <v>3</v>
      </c>
      <c r="G131" s="44">
        <v>3</v>
      </c>
      <c r="H131" s="44">
        <v>0</v>
      </c>
      <c r="I131" s="44">
        <v>0</v>
      </c>
      <c r="J131" s="44">
        <v>0</v>
      </c>
      <c r="K131" s="123">
        <v>100000</v>
      </c>
      <c r="L131" s="124">
        <f t="shared" si="17"/>
        <v>6</v>
      </c>
      <c r="M131" s="45">
        <f t="shared" si="21"/>
        <v>600000</v>
      </c>
      <c r="N131" s="45">
        <f t="shared" si="20"/>
        <v>600000</v>
      </c>
      <c r="O131" s="45"/>
      <c r="P131" s="45" t="s">
        <v>2684</v>
      </c>
      <c r="Q131" s="45"/>
      <c r="R131" s="45"/>
      <c r="S131" s="45">
        <f t="shared" si="22"/>
        <v>0</v>
      </c>
      <c r="T131" s="44" t="s">
        <v>19</v>
      </c>
      <c r="U131" s="44" t="s">
        <v>20</v>
      </c>
      <c r="V131" s="43" t="s">
        <v>21</v>
      </c>
    </row>
    <row r="132" spans="1:22">
      <c r="A132" s="2">
        <v>122</v>
      </c>
      <c r="B132" s="119">
        <v>202510</v>
      </c>
      <c r="C132" s="44" t="s">
        <v>261</v>
      </c>
      <c r="D132" s="44" t="s">
        <v>262</v>
      </c>
      <c r="E132" s="44" t="s">
        <v>238</v>
      </c>
      <c r="F132" s="44">
        <v>3</v>
      </c>
      <c r="G132" s="44">
        <v>3</v>
      </c>
      <c r="H132" s="44">
        <v>0</v>
      </c>
      <c r="I132" s="44">
        <v>0</v>
      </c>
      <c r="J132" s="44">
        <v>0</v>
      </c>
      <c r="K132" s="123">
        <v>100000</v>
      </c>
      <c r="L132" s="124">
        <f t="shared" si="17"/>
        <v>6</v>
      </c>
      <c r="M132" s="45">
        <f t="shared" si="21"/>
        <v>600000</v>
      </c>
      <c r="N132" s="45">
        <f t="shared" si="20"/>
        <v>600000</v>
      </c>
      <c r="O132" s="45"/>
      <c r="P132" s="45" t="s">
        <v>2697</v>
      </c>
      <c r="Q132" s="45"/>
      <c r="R132" s="45"/>
      <c r="S132" s="45">
        <f t="shared" si="22"/>
        <v>0</v>
      </c>
      <c r="T132" s="44" t="s">
        <v>19</v>
      </c>
      <c r="U132" s="44" t="s">
        <v>20</v>
      </c>
      <c r="V132" s="43" t="s">
        <v>21</v>
      </c>
    </row>
    <row r="133" spans="1:22">
      <c r="A133" s="2">
        <v>123</v>
      </c>
      <c r="B133" s="119">
        <v>202510</v>
      </c>
      <c r="C133" s="44" t="s">
        <v>263</v>
      </c>
      <c r="D133" s="44" t="s">
        <v>264</v>
      </c>
      <c r="E133" s="44" t="s">
        <v>238</v>
      </c>
      <c r="F133" s="44">
        <v>3</v>
      </c>
      <c r="G133" s="44">
        <v>3</v>
      </c>
      <c r="H133" s="44">
        <v>0</v>
      </c>
      <c r="I133" s="44">
        <v>0</v>
      </c>
      <c r="J133" s="44">
        <v>0</v>
      </c>
      <c r="K133" s="123">
        <v>100000</v>
      </c>
      <c r="L133" s="124">
        <f t="shared" si="17"/>
        <v>6</v>
      </c>
      <c r="M133" s="45">
        <f t="shared" si="21"/>
        <v>600000</v>
      </c>
      <c r="N133" s="45">
        <f t="shared" si="20"/>
        <v>600000</v>
      </c>
      <c r="O133" s="45"/>
      <c r="P133" s="45" t="s">
        <v>2074</v>
      </c>
      <c r="Q133" s="45"/>
      <c r="R133" s="45"/>
      <c r="S133" s="45">
        <f t="shared" si="22"/>
        <v>0</v>
      </c>
      <c r="T133" s="44" t="s">
        <v>19</v>
      </c>
      <c r="U133" s="44" t="s">
        <v>20</v>
      </c>
      <c r="V133" s="43" t="s">
        <v>21</v>
      </c>
    </row>
    <row r="134" spans="1:22">
      <c r="A134" s="2">
        <v>124</v>
      </c>
      <c r="B134" s="119">
        <v>202510</v>
      </c>
      <c r="C134" s="44" t="s">
        <v>265</v>
      </c>
      <c r="D134" s="44" t="s">
        <v>266</v>
      </c>
      <c r="E134" s="44" t="s">
        <v>238</v>
      </c>
      <c r="F134" s="44">
        <v>3</v>
      </c>
      <c r="G134" s="44">
        <v>3</v>
      </c>
      <c r="H134" s="44">
        <v>0</v>
      </c>
      <c r="I134" s="44">
        <v>0</v>
      </c>
      <c r="J134" s="44">
        <v>0</v>
      </c>
      <c r="K134" s="123">
        <v>100000</v>
      </c>
      <c r="L134" s="124">
        <f t="shared" si="17"/>
        <v>6</v>
      </c>
      <c r="M134" s="45">
        <f t="shared" si="21"/>
        <v>600000</v>
      </c>
      <c r="N134" s="45">
        <f t="shared" si="20"/>
        <v>600000</v>
      </c>
      <c r="O134" s="45"/>
      <c r="P134" s="45" t="s">
        <v>7071</v>
      </c>
      <c r="Q134" s="45"/>
      <c r="R134" s="45"/>
      <c r="S134" s="45">
        <f t="shared" si="22"/>
        <v>0</v>
      </c>
      <c r="T134" s="44" t="s">
        <v>19</v>
      </c>
      <c r="U134" s="44" t="s">
        <v>20</v>
      </c>
      <c r="V134" s="43" t="s">
        <v>21</v>
      </c>
    </row>
    <row r="135" spans="1:22">
      <c r="A135" s="2">
        <v>125</v>
      </c>
      <c r="B135" s="119">
        <v>202510</v>
      </c>
      <c r="C135" s="44" t="s">
        <v>267</v>
      </c>
      <c r="D135" s="44" t="s">
        <v>268</v>
      </c>
      <c r="E135" s="44" t="s">
        <v>269</v>
      </c>
      <c r="F135" s="44">
        <v>0</v>
      </c>
      <c r="G135" s="44">
        <v>0</v>
      </c>
      <c r="H135" s="44">
        <v>0</v>
      </c>
      <c r="I135" s="44">
        <v>4</v>
      </c>
      <c r="J135" s="44">
        <v>5</v>
      </c>
      <c r="K135" s="123">
        <v>100000</v>
      </c>
      <c r="L135" s="124">
        <f t="shared" si="17"/>
        <v>9</v>
      </c>
      <c r="M135" s="45">
        <f t="shared" si="21"/>
        <v>900000</v>
      </c>
      <c r="N135" s="45">
        <f>M135</f>
        <v>900000</v>
      </c>
      <c r="O135" s="45"/>
      <c r="P135" s="45" t="s">
        <v>7179</v>
      </c>
      <c r="Q135" s="45"/>
      <c r="R135" s="45"/>
      <c r="S135" s="45">
        <f t="shared" si="22"/>
        <v>0</v>
      </c>
      <c r="T135" s="44" t="s">
        <v>19</v>
      </c>
      <c r="U135" s="44" t="s">
        <v>20</v>
      </c>
      <c r="V135" s="43" t="s">
        <v>21</v>
      </c>
    </row>
    <row r="136" spans="1:22">
      <c r="A136" s="2">
        <v>126</v>
      </c>
      <c r="B136" s="119">
        <v>202510</v>
      </c>
      <c r="C136" s="44" t="s">
        <v>270</v>
      </c>
      <c r="D136" s="44" t="s">
        <v>271</v>
      </c>
      <c r="E136" s="44" t="s">
        <v>269</v>
      </c>
      <c r="F136" s="44">
        <v>5</v>
      </c>
      <c r="G136" s="44">
        <v>0</v>
      </c>
      <c r="H136" s="44">
        <v>0</v>
      </c>
      <c r="I136" s="44">
        <v>4</v>
      </c>
      <c r="J136" s="44">
        <v>4</v>
      </c>
      <c r="K136" s="123">
        <v>100000</v>
      </c>
      <c r="L136" s="124">
        <f t="shared" si="17"/>
        <v>13</v>
      </c>
      <c r="M136" s="45">
        <f t="shared" si="21"/>
        <v>1300000</v>
      </c>
      <c r="N136" s="45">
        <f t="shared" ref="N136:N145" si="23">M136</f>
        <v>1300000</v>
      </c>
      <c r="O136" s="45"/>
      <c r="P136" s="45" t="s">
        <v>7063</v>
      </c>
      <c r="Q136" s="45"/>
      <c r="R136" s="45"/>
      <c r="S136" s="45">
        <f t="shared" si="22"/>
        <v>0</v>
      </c>
      <c r="T136" s="44" t="s">
        <v>19</v>
      </c>
      <c r="U136" s="44" t="s">
        <v>20</v>
      </c>
      <c r="V136" s="43" t="s">
        <v>21</v>
      </c>
    </row>
    <row r="137" spans="1:22">
      <c r="A137" s="2">
        <v>127</v>
      </c>
      <c r="B137" s="119">
        <v>202510</v>
      </c>
      <c r="C137" s="44" t="s">
        <v>272</v>
      </c>
      <c r="D137" s="44" t="s">
        <v>273</v>
      </c>
      <c r="E137" s="44" t="s">
        <v>269</v>
      </c>
      <c r="F137" s="44">
        <v>0</v>
      </c>
      <c r="G137" s="44">
        <v>0</v>
      </c>
      <c r="H137" s="44">
        <v>0</v>
      </c>
      <c r="I137" s="44">
        <v>3</v>
      </c>
      <c r="J137" s="44">
        <v>4</v>
      </c>
      <c r="K137" s="123">
        <v>100000</v>
      </c>
      <c r="L137" s="124">
        <f t="shared" si="17"/>
        <v>7</v>
      </c>
      <c r="M137" s="45">
        <f t="shared" si="21"/>
        <v>700000</v>
      </c>
      <c r="N137" s="45">
        <f t="shared" si="23"/>
        <v>700000</v>
      </c>
      <c r="O137" s="45"/>
      <c r="P137" s="45" t="s">
        <v>2809</v>
      </c>
      <c r="Q137" s="45"/>
      <c r="R137" s="45"/>
      <c r="S137" s="45">
        <f t="shared" si="22"/>
        <v>0</v>
      </c>
      <c r="T137" s="44" t="s">
        <v>19</v>
      </c>
      <c r="U137" s="44" t="s">
        <v>20</v>
      </c>
      <c r="V137" s="43" t="s">
        <v>21</v>
      </c>
    </row>
    <row r="138" spans="1:22">
      <c r="A138" s="2">
        <v>128</v>
      </c>
      <c r="B138" s="119">
        <v>202510</v>
      </c>
      <c r="C138" s="44" t="s">
        <v>274</v>
      </c>
      <c r="D138" s="44" t="s">
        <v>275</v>
      </c>
      <c r="E138" s="44" t="s">
        <v>269</v>
      </c>
      <c r="F138" s="44">
        <v>0</v>
      </c>
      <c r="G138" s="44">
        <v>0</v>
      </c>
      <c r="H138" s="44">
        <v>0</v>
      </c>
      <c r="I138" s="44">
        <v>3</v>
      </c>
      <c r="J138" s="44">
        <v>4</v>
      </c>
      <c r="K138" s="123">
        <v>100000</v>
      </c>
      <c r="L138" s="124">
        <f t="shared" si="17"/>
        <v>7</v>
      </c>
      <c r="M138" s="45">
        <f t="shared" si="21"/>
        <v>700000</v>
      </c>
      <c r="N138" s="45">
        <f t="shared" si="23"/>
        <v>700000</v>
      </c>
      <c r="O138" s="45"/>
      <c r="P138" s="45" t="s">
        <v>2052</v>
      </c>
      <c r="Q138" s="45"/>
      <c r="R138" s="45"/>
      <c r="S138" s="45">
        <f t="shared" si="22"/>
        <v>0</v>
      </c>
      <c r="T138" s="44" t="s">
        <v>19</v>
      </c>
      <c r="U138" s="44" t="s">
        <v>20</v>
      </c>
      <c r="V138" s="43" t="s">
        <v>21</v>
      </c>
    </row>
    <row r="139" spans="1:22">
      <c r="A139" s="2">
        <v>129</v>
      </c>
      <c r="B139" s="119">
        <v>202510</v>
      </c>
      <c r="C139" s="44" t="s">
        <v>276</v>
      </c>
      <c r="D139" s="44" t="s">
        <v>277</v>
      </c>
      <c r="E139" s="44" t="s">
        <v>269</v>
      </c>
      <c r="F139" s="44">
        <v>4</v>
      </c>
      <c r="G139" s="44">
        <v>0</v>
      </c>
      <c r="H139" s="44">
        <v>0</v>
      </c>
      <c r="I139" s="44">
        <v>3</v>
      </c>
      <c r="J139" s="44">
        <v>0</v>
      </c>
      <c r="K139" s="123">
        <v>100000</v>
      </c>
      <c r="L139" s="124">
        <f t="shared" si="17"/>
        <v>7</v>
      </c>
      <c r="M139" s="45">
        <f t="shared" si="21"/>
        <v>700000</v>
      </c>
      <c r="N139" s="45">
        <f t="shared" si="23"/>
        <v>700000</v>
      </c>
      <c r="O139" s="45"/>
      <c r="P139" s="45" t="s">
        <v>7062</v>
      </c>
      <c r="Q139" s="45"/>
      <c r="R139" s="45"/>
      <c r="S139" s="45">
        <f t="shared" si="22"/>
        <v>0</v>
      </c>
      <c r="T139" s="44" t="s">
        <v>19</v>
      </c>
      <c r="U139" s="44" t="s">
        <v>20</v>
      </c>
      <c r="V139" s="43" t="s">
        <v>21</v>
      </c>
    </row>
    <row r="140" spans="1:22">
      <c r="A140" s="2">
        <v>130</v>
      </c>
      <c r="B140" s="119">
        <v>202510</v>
      </c>
      <c r="C140" s="44" t="s">
        <v>278</v>
      </c>
      <c r="D140" s="44" t="s">
        <v>279</v>
      </c>
      <c r="E140" s="44" t="s">
        <v>269</v>
      </c>
      <c r="F140" s="44">
        <v>0</v>
      </c>
      <c r="G140" s="44">
        <v>3</v>
      </c>
      <c r="H140" s="44">
        <v>0</v>
      </c>
      <c r="I140" s="44">
        <v>4</v>
      </c>
      <c r="J140" s="44">
        <v>0</v>
      </c>
      <c r="K140" s="123">
        <v>100000</v>
      </c>
      <c r="L140" s="124">
        <f t="shared" si="17"/>
        <v>7</v>
      </c>
      <c r="M140" s="45">
        <f t="shared" si="21"/>
        <v>700000</v>
      </c>
      <c r="N140" s="45">
        <f t="shared" si="23"/>
        <v>700000</v>
      </c>
      <c r="O140" s="45"/>
      <c r="P140" s="45" t="s">
        <v>2667</v>
      </c>
      <c r="Q140" s="45"/>
      <c r="R140" s="45"/>
      <c r="S140" s="45">
        <f t="shared" si="22"/>
        <v>0</v>
      </c>
      <c r="T140" s="44" t="s">
        <v>19</v>
      </c>
      <c r="U140" s="44" t="s">
        <v>20</v>
      </c>
      <c r="V140" s="43" t="s">
        <v>21</v>
      </c>
    </row>
    <row r="141" spans="1:22">
      <c r="A141" s="2">
        <v>131</v>
      </c>
      <c r="B141" s="119">
        <v>202510</v>
      </c>
      <c r="C141" s="44" t="s">
        <v>51</v>
      </c>
      <c r="D141" s="44" t="s">
        <v>280</v>
      </c>
      <c r="E141" s="44" t="s">
        <v>269</v>
      </c>
      <c r="F141" s="44">
        <v>5</v>
      </c>
      <c r="G141" s="44">
        <v>0</v>
      </c>
      <c r="H141" s="44">
        <v>0</v>
      </c>
      <c r="I141" s="44">
        <v>4</v>
      </c>
      <c r="J141" s="44">
        <v>0</v>
      </c>
      <c r="K141" s="123">
        <v>100000</v>
      </c>
      <c r="L141" s="124">
        <f t="shared" si="17"/>
        <v>9</v>
      </c>
      <c r="M141" s="45">
        <f t="shared" si="21"/>
        <v>900000</v>
      </c>
      <c r="N141" s="45">
        <f t="shared" si="23"/>
        <v>900000</v>
      </c>
      <c r="O141" s="45"/>
      <c r="P141" s="45" t="s">
        <v>2790</v>
      </c>
      <c r="Q141" s="45"/>
      <c r="R141" s="45"/>
      <c r="S141" s="45">
        <f t="shared" si="22"/>
        <v>0</v>
      </c>
      <c r="T141" s="44" t="s">
        <v>19</v>
      </c>
      <c r="U141" s="44" t="s">
        <v>20</v>
      </c>
      <c r="V141" s="43" t="s">
        <v>21</v>
      </c>
    </row>
    <row r="142" spans="1:22">
      <c r="A142" s="2">
        <v>132</v>
      </c>
      <c r="B142" s="119">
        <v>202510</v>
      </c>
      <c r="C142" s="44" t="s">
        <v>281</v>
      </c>
      <c r="D142" s="44" t="s">
        <v>282</v>
      </c>
      <c r="E142" s="44" t="s">
        <v>269</v>
      </c>
      <c r="F142" s="44">
        <v>0</v>
      </c>
      <c r="G142" s="44">
        <v>3</v>
      </c>
      <c r="H142" s="44">
        <v>0</v>
      </c>
      <c r="I142" s="44">
        <v>4</v>
      </c>
      <c r="J142" s="44">
        <v>0</v>
      </c>
      <c r="K142" s="123">
        <v>100000</v>
      </c>
      <c r="L142" s="124">
        <f t="shared" si="17"/>
        <v>7</v>
      </c>
      <c r="M142" s="45">
        <f t="shared" si="21"/>
        <v>700000</v>
      </c>
      <c r="N142" s="45">
        <f t="shared" si="23"/>
        <v>700000</v>
      </c>
      <c r="O142" s="45"/>
      <c r="P142" s="45" t="s">
        <v>2705</v>
      </c>
      <c r="Q142" s="45"/>
      <c r="R142" s="45"/>
      <c r="S142" s="45">
        <f t="shared" si="22"/>
        <v>0</v>
      </c>
      <c r="T142" s="44" t="s">
        <v>19</v>
      </c>
      <c r="U142" s="44" t="s">
        <v>20</v>
      </c>
      <c r="V142" s="43" t="s">
        <v>21</v>
      </c>
    </row>
    <row r="143" spans="1:22">
      <c r="A143" s="2">
        <v>133</v>
      </c>
      <c r="B143" s="119">
        <v>202510</v>
      </c>
      <c r="C143" s="44" t="s">
        <v>283</v>
      </c>
      <c r="D143" s="44" t="s">
        <v>284</v>
      </c>
      <c r="E143" s="44" t="s">
        <v>269</v>
      </c>
      <c r="F143" s="44">
        <v>5</v>
      </c>
      <c r="G143" s="44">
        <v>0</v>
      </c>
      <c r="H143" s="44">
        <v>0</v>
      </c>
      <c r="I143" s="44">
        <v>3</v>
      </c>
      <c r="J143" s="44">
        <v>0</v>
      </c>
      <c r="K143" s="123">
        <v>100000</v>
      </c>
      <c r="L143" s="124">
        <f t="shared" ref="L143:L174" si="24">SUM(F143:J143)</f>
        <v>8</v>
      </c>
      <c r="M143" s="45">
        <f t="shared" si="21"/>
        <v>800000</v>
      </c>
      <c r="N143" s="45">
        <f t="shared" si="23"/>
        <v>800000</v>
      </c>
      <c r="O143" s="45"/>
      <c r="P143" s="45" t="s">
        <v>7072</v>
      </c>
      <c r="Q143" s="45"/>
      <c r="R143" s="45"/>
      <c r="S143" s="45">
        <f t="shared" si="22"/>
        <v>0</v>
      </c>
      <c r="T143" s="44" t="s">
        <v>19</v>
      </c>
      <c r="U143" s="44" t="s">
        <v>20</v>
      </c>
      <c r="V143" s="43" t="s">
        <v>21</v>
      </c>
    </row>
    <row r="144" spans="1:22">
      <c r="A144" s="2">
        <v>134</v>
      </c>
      <c r="B144" s="119">
        <v>202510</v>
      </c>
      <c r="C144" s="44" t="s">
        <v>285</v>
      </c>
      <c r="D144" s="44" t="s">
        <v>286</v>
      </c>
      <c r="E144" s="44" t="s">
        <v>269</v>
      </c>
      <c r="F144" s="44">
        <v>0</v>
      </c>
      <c r="G144" s="44">
        <v>0</v>
      </c>
      <c r="H144" s="44">
        <v>0</v>
      </c>
      <c r="I144" s="44">
        <v>4</v>
      </c>
      <c r="J144" s="44">
        <v>0</v>
      </c>
      <c r="K144" s="123">
        <v>100000</v>
      </c>
      <c r="L144" s="124">
        <f t="shared" si="24"/>
        <v>4</v>
      </c>
      <c r="M144" s="45">
        <f t="shared" si="21"/>
        <v>400000</v>
      </c>
      <c r="N144" s="45">
        <f t="shared" si="23"/>
        <v>400000</v>
      </c>
      <c r="O144" s="45"/>
      <c r="P144" s="45" t="s">
        <v>2805</v>
      </c>
      <c r="Q144" s="45"/>
      <c r="R144" s="45"/>
      <c r="S144" s="45">
        <f t="shared" si="22"/>
        <v>0</v>
      </c>
      <c r="T144" s="44" t="s">
        <v>19</v>
      </c>
      <c r="U144" s="44" t="s">
        <v>20</v>
      </c>
      <c r="V144" s="43" t="s">
        <v>21</v>
      </c>
    </row>
    <row r="145" spans="1:22">
      <c r="A145" s="2">
        <v>135</v>
      </c>
      <c r="B145" s="119">
        <v>202510</v>
      </c>
      <c r="C145" s="44" t="s">
        <v>287</v>
      </c>
      <c r="D145" s="44" t="s">
        <v>288</v>
      </c>
      <c r="E145" s="44" t="s">
        <v>269</v>
      </c>
      <c r="F145" s="44">
        <v>5</v>
      </c>
      <c r="G145" s="44">
        <v>3</v>
      </c>
      <c r="H145" s="44">
        <v>0</v>
      </c>
      <c r="I145" s="44">
        <v>4</v>
      </c>
      <c r="J145" s="44">
        <v>0</v>
      </c>
      <c r="K145" s="123">
        <v>100000</v>
      </c>
      <c r="L145" s="124">
        <f t="shared" si="24"/>
        <v>12</v>
      </c>
      <c r="M145" s="45">
        <f t="shared" si="21"/>
        <v>1200000</v>
      </c>
      <c r="N145" s="45">
        <f t="shared" si="23"/>
        <v>1200000</v>
      </c>
      <c r="O145" s="45"/>
      <c r="P145" s="45" t="s">
        <v>6325</v>
      </c>
      <c r="Q145" s="45"/>
      <c r="R145" s="45"/>
      <c r="S145" s="45">
        <f t="shared" si="22"/>
        <v>0</v>
      </c>
      <c r="T145" s="44" t="s">
        <v>19</v>
      </c>
      <c r="U145" s="44" t="s">
        <v>20</v>
      </c>
      <c r="V145" s="43" t="s">
        <v>21</v>
      </c>
    </row>
    <row r="146" spans="1:22">
      <c r="A146" s="2">
        <v>136</v>
      </c>
      <c r="B146" s="119">
        <v>202510</v>
      </c>
      <c r="C146" s="44" t="s">
        <v>289</v>
      </c>
      <c r="D146" s="44" t="s">
        <v>290</v>
      </c>
      <c r="E146" s="44" t="s">
        <v>269</v>
      </c>
      <c r="F146" s="44">
        <v>0</v>
      </c>
      <c r="G146" s="44">
        <v>0</v>
      </c>
      <c r="H146" s="44">
        <v>0</v>
      </c>
      <c r="I146" s="44">
        <v>0</v>
      </c>
      <c r="J146" s="44">
        <v>0</v>
      </c>
      <c r="K146" s="123">
        <v>100000</v>
      </c>
      <c r="L146" s="124">
        <f t="shared" si="24"/>
        <v>0</v>
      </c>
      <c r="M146" s="45">
        <f t="shared" si="21"/>
        <v>0</v>
      </c>
      <c r="N146" s="45"/>
      <c r="O146" s="45"/>
      <c r="P146" s="45"/>
      <c r="Q146" s="45"/>
      <c r="R146" s="45"/>
      <c r="S146" s="45">
        <f t="shared" si="22"/>
        <v>0</v>
      </c>
      <c r="T146" s="44" t="s">
        <v>19</v>
      </c>
      <c r="U146" s="44" t="s">
        <v>20</v>
      </c>
      <c r="V146" s="43" t="s">
        <v>21</v>
      </c>
    </row>
    <row r="147" spans="1:22">
      <c r="A147" s="2">
        <v>137</v>
      </c>
      <c r="B147" s="119">
        <v>202510</v>
      </c>
      <c r="C147" s="44" t="s">
        <v>291</v>
      </c>
      <c r="D147" s="44" t="s">
        <v>292</v>
      </c>
      <c r="E147" s="44" t="s">
        <v>269</v>
      </c>
      <c r="F147" s="44">
        <v>5</v>
      </c>
      <c r="G147" s="44">
        <v>0</v>
      </c>
      <c r="H147" s="44">
        <v>0</v>
      </c>
      <c r="I147" s="44">
        <v>4</v>
      </c>
      <c r="J147" s="44">
        <v>0</v>
      </c>
      <c r="K147" s="123">
        <v>100000</v>
      </c>
      <c r="L147" s="124">
        <f t="shared" si="24"/>
        <v>9</v>
      </c>
      <c r="M147" s="45">
        <f t="shared" si="21"/>
        <v>900000</v>
      </c>
      <c r="N147" s="45">
        <f t="shared" ref="N147:N153" si="25">M147</f>
        <v>900000</v>
      </c>
      <c r="O147" s="45"/>
      <c r="P147" s="45" t="s">
        <v>2119</v>
      </c>
      <c r="Q147" s="45"/>
      <c r="R147" s="45"/>
      <c r="S147" s="45">
        <f t="shared" si="22"/>
        <v>0</v>
      </c>
      <c r="T147" s="44" t="s">
        <v>19</v>
      </c>
      <c r="U147" s="44" t="s">
        <v>20</v>
      </c>
      <c r="V147" s="43" t="s">
        <v>21</v>
      </c>
    </row>
    <row r="148" spans="1:22">
      <c r="A148" s="2">
        <v>138</v>
      </c>
      <c r="B148" s="119">
        <v>202510</v>
      </c>
      <c r="C148" s="44" t="s">
        <v>293</v>
      </c>
      <c r="D148" s="44" t="s">
        <v>294</v>
      </c>
      <c r="E148" s="44" t="s">
        <v>269</v>
      </c>
      <c r="F148" s="44">
        <v>0</v>
      </c>
      <c r="G148" s="44">
        <v>0</v>
      </c>
      <c r="H148" s="44">
        <v>0</v>
      </c>
      <c r="I148" s="44">
        <v>4</v>
      </c>
      <c r="J148" s="44">
        <v>0</v>
      </c>
      <c r="K148" s="123">
        <v>100000</v>
      </c>
      <c r="L148" s="124">
        <f t="shared" si="24"/>
        <v>4</v>
      </c>
      <c r="M148" s="45">
        <f t="shared" si="21"/>
        <v>400000</v>
      </c>
      <c r="N148" s="45">
        <f t="shared" si="25"/>
        <v>400000</v>
      </c>
      <c r="O148" s="45"/>
      <c r="P148" s="45" t="s">
        <v>2078</v>
      </c>
      <c r="Q148" s="45"/>
      <c r="R148" s="45"/>
      <c r="S148" s="45">
        <f t="shared" si="22"/>
        <v>0</v>
      </c>
      <c r="T148" s="44" t="s">
        <v>19</v>
      </c>
      <c r="U148" s="44" t="s">
        <v>20</v>
      </c>
      <c r="V148" s="43" t="s">
        <v>21</v>
      </c>
    </row>
    <row r="149" spans="1:22">
      <c r="A149" s="2">
        <v>139</v>
      </c>
      <c r="B149" s="119">
        <v>202510</v>
      </c>
      <c r="C149" s="44" t="s">
        <v>295</v>
      </c>
      <c r="D149" s="44" t="s">
        <v>296</v>
      </c>
      <c r="E149" s="44" t="s">
        <v>269</v>
      </c>
      <c r="F149" s="44">
        <v>5</v>
      </c>
      <c r="G149" s="44">
        <v>3</v>
      </c>
      <c r="H149" s="44">
        <v>0</v>
      </c>
      <c r="I149" s="44">
        <v>4</v>
      </c>
      <c r="J149" s="44">
        <v>0</v>
      </c>
      <c r="K149" s="123">
        <v>100000</v>
      </c>
      <c r="L149" s="124">
        <f t="shared" si="24"/>
        <v>12</v>
      </c>
      <c r="M149" s="45">
        <f t="shared" si="21"/>
        <v>1200000</v>
      </c>
      <c r="N149" s="45">
        <f t="shared" si="25"/>
        <v>1200000</v>
      </c>
      <c r="O149" s="45"/>
      <c r="P149" s="45" t="s">
        <v>6272</v>
      </c>
      <c r="Q149" s="45"/>
      <c r="R149" s="45"/>
      <c r="S149" s="45">
        <f t="shared" si="22"/>
        <v>0</v>
      </c>
      <c r="T149" s="44" t="s">
        <v>19</v>
      </c>
      <c r="U149" s="44" t="s">
        <v>20</v>
      </c>
      <c r="V149" s="43" t="s">
        <v>21</v>
      </c>
    </row>
    <row r="150" spans="1:22">
      <c r="A150" s="2">
        <v>140</v>
      </c>
      <c r="B150" s="119">
        <v>202510</v>
      </c>
      <c r="C150" s="44" t="s">
        <v>297</v>
      </c>
      <c r="D150" s="44" t="s">
        <v>298</v>
      </c>
      <c r="E150" s="44" t="s">
        <v>269</v>
      </c>
      <c r="F150" s="44">
        <v>0</v>
      </c>
      <c r="G150" s="44">
        <v>0</v>
      </c>
      <c r="H150" s="44">
        <v>0</v>
      </c>
      <c r="I150" s="44">
        <v>4</v>
      </c>
      <c r="J150" s="44">
        <v>0</v>
      </c>
      <c r="K150" s="123">
        <v>100000</v>
      </c>
      <c r="L150" s="124">
        <f t="shared" si="24"/>
        <v>4</v>
      </c>
      <c r="M150" s="45">
        <f t="shared" si="21"/>
        <v>400000</v>
      </c>
      <c r="N150" s="45">
        <f t="shared" si="25"/>
        <v>400000</v>
      </c>
      <c r="O150" s="45"/>
      <c r="P150" s="45" t="s">
        <v>2703</v>
      </c>
      <c r="Q150" s="45"/>
      <c r="R150" s="45"/>
      <c r="S150" s="45">
        <f t="shared" si="22"/>
        <v>0</v>
      </c>
      <c r="T150" s="44" t="s">
        <v>19</v>
      </c>
      <c r="U150" s="44" t="s">
        <v>20</v>
      </c>
      <c r="V150" s="43" t="s">
        <v>21</v>
      </c>
    </row>
    <row r="151" spans="1:22">
      <c r="A151" s="2">
        <v>141</v>
      </c>
      <c r="B151" s="119">
        <v>202510</v>
      </c>
      <c r="C151" s="44" t="s">
        <v>299</v>
      </c>
      <c r="D151" s="44" t="s">
        <v>300</v>
      </c>
      <c r="E151" s="44" t="s">
        <v>269</v>
      </c>
      <c r="F151" s="44">
        <v>5</v>
      </c>
      <c r="G151" s="44">
        <v>0</v>
      </c>
      <c r="H151" s="44">
        <v>0</v>
      </c>
      <c r="I151" s="44">
        <v>3</v>
      </c>
      <c r="J151" s="44">
        <v>0</v>
      </c>
      <c r="K151" s="123">
        <v>100000</v>
      </c>
      <c r="L151" s="124">
        <f t="shared" si="24"/>
        <v>8</v>
      </c>
      <c r="M151" s="45">
        <f t="shared" si="21"/>
        <v>800000</v>
      </c>
      <c r="N151" s="45">
        <f t="shared" si="25"/>
        <v>800000</v>
      </c>
      <c r="O151" s="45"/>
      <c r="P151" s="45" t="s">
        <v>7080</v>
      </c>
      <c r="Q151" s="45"/>
      <c r="R151" s="45"/>
      <c r="S151" s="45">
        <f t="shared" si="22"/>
        <v>0</v>
      </c>
      <c r="T151" s="44" t="s">
        <v>19</v>
      </c>
      <c r="U151" s="44" t="s">
        <v>20</v>
      </c>
      <c r="V151" s="43" t="s">
        <v>21</v>
      </c>
    </row>
    <row r="152" spans="1:22">
      <c r="A152" s="2">
        <v>142</v>
      </c>
      <c r="B152" s="119">
        <v>202510</v>
      </c>
      <c r="C152" s="44" t="s">
        <v>301</v>
      </c>
      <c r="D152" s="44" t="s">
        <v>302</v>
      </c>
      <c r="E152" s="44" t="s">
        <v>269</v>
      </c>
      <c r="F152" s="44">
        <v>5</v>
      </c>
      <c r="G152" s="44">
        <v>0</v>
      </c>
      <c r="H152" s="44">
        <v>0</v>
      </c>
      <c r="I152" s="44">
        <v>0</v>
      </c>
      <c r="J152" s="44">
        <v>0</v>
      </c>
      <c r="K152" s="123">
        <v>100000</v>
      </c>
      <c r="L152" s="124">
        <f t="shared" si="24"/>
        <v>5</v>
      </c>
      <c r="M152" s="45">
        <f t="shared" si="21"/>
        <v>500000</v>
      </c>
      <c r="N152" s="45">
        <f t="shared" si="25"/>
        <v>500000</v>
      </c>
      <c r="O152" s="45"/>
      <c r="P152" s="45" t="s">
        <v>3084</v>
      </c>
      <c r="Q152" s="45"/>
      <c r="R152" s="45"/>
      <c r="S152" s="45">
        <f t="shared" si="22"/>
        <v>0</v>
      </c>
      <c r="T152" s="44" t="s">
        <v>19</v>
      </c>
      <c r="U152" s="44" t="s">
        <v>20</v>
      </c>
      <c r="V152" s="43" t="s">
        <v>21</v>
      </c>
    </row>
    <row r="153" spans="1:22">
      <c r="A153" s="2">
        <v>143</v>
      </c>
      <c r="B153" s="119">
        <v>202510</v>
      </c>
      <c r="C153" s="44" t="s">
        <v>303</v>
      </c>
      <c r="D153" s="44" t="s">
        <v>304</v>
      </c>
      <c r="E153" s="44" t="s">
        <v>269</v>
      </c>
      <c r="F153" s="44">
        <v>5</v>
      </c>
      <c r="G153" s="44">
        <v>0</v>
      </c>
      <c r="H153" s="44">
        <v>0</v>
      </c>
      <c r="I153" s="44">
        <v>0</v>
      </c>
      <c r="J153" s="44">
        <v>0</v>
      </c>
      <c r="K153" s="123">
        <v>100000</v>
      </c>
      <c r="L153" s="124">
        <f t="shared" si="24"/>
        <v>5</v>
      </c>
      <c r="M153" s="45">
        <f t="shared" si="21"/>
        <v>500000</v>
      </c>
      <c r="N153" s="45">
        <f t="shared" si="25"/>
        <v>500000</v>
      </c>
      <c r="O153" s="45"/>
      <c r="P153" s="45" t="s">
        <v>7065</v>
      </c>
      <c r="Q153" s="45"/>
      <c r="R153" s="45"/>
      <c r="S153" s="45">
        <f t="shared" si="22"/>
        <v>0</v>
      </c>
      <c r="T153" s="44" t="s">
        <v>19</v>
      </c>
      <c r="U153" s="44" t="s">
        <v>20</v>
      </c>
      <c r="V153" s="43" t="s">
        <v>21</v>
      </c>
    </row>
    <row r="154" spans="1:22">
      <c r="A154" s="2">
        <v>144</v>
      </c>
      <c r="B154" s="119">
        <v>202510</v>
      </c>
      <c r="C154" s="44" t="s">
        <v>305</v>
      </c>
      <c r="D154" s="44" t="s">
        <v>306</v>
      </c>
      <c r="E154" s="44" t="s">
        <v>269</v>
      </c>
      <c r="F154" s="44">
        <v>5</v>
      </c>
      <c r="G154" s="44">
        <v>0</v>
      </c>
      <c r="H154" s="44">
        <v>0</v>
      </c>
      <c r="I154" s="44">
        <v>4</v>
      </c>
      <c r="J154" s="44">
        <v>4</v>
      </c>
      <c r="K154" s="123">
        <v>100000</v>
      </c>
      <c r="L154" s="124">
        <f t="shared" si="24"/>
        <v>13</v>
      </c>
      <c r="M154" s="45">
        <f t="shared" si="21"/>
        <v>1300000</v>
      </c>
      <c r="N154" s="45">
        <f t="shared" ref="N154:N163" si="26">M154</f>
        <v>1300000</v>
      </c>
      <c r="O154" s="45"/>
      <c r="P154" s="45" t="s">
        <v>2709</v>
      </c>
      <c r="Q154" s="45"/>
      <c r="R154" s="45"/>
      <c r="S154" s="45">
        <f t="shared" si="22"/>
        <v>0</v>
      </c>
      <c r="T154" s="44" t="s">
        <v>19</v>
      </c>
      <c r="U154" s="44" t="s">
        <v>20</v>
      </c>
      <c r="V154" s="43" t="s">
        <v>21</v>
      </c>
    </row>
    <row r="155" spans="1:22">
      <c r="A155" s="2">
        <v>145</v>
      </c>
      <c r="B155" s="119">
        <v>202510</v>
      </c>
      <c r="C155" s="44" t="s">
        <v>307</v>
      </c>
      <c r="D155" s="44" t="s">
        <v>308</v>
      </c>
      <c r="E155" s="44" t="s">
        <v>269</v>
      </c>
      <c r="F155" s="44">
        <v>0</v>
      </c>
      <c r="G155" s="44">
        <v>0</v>
      </c>
      <c r="H155" s="44">
        <v>0</v>
      </c>
      <c r="I155" s="44">
        <v>4</v>
      </c>
      <c r="J155" s="44">
        <v>4</v>
      </c>
      <c r="K155" s="123">
        <v>100000</v>
      </c>
      <c r="L155" s="124">
        <f t="shared" si="24"/>
        <v>8</v>
      </c>
      <c r="M155" s="45">
        <f t="shared" si="21"/>
        <v>800000</v>
      </c>
      <c r="N155" s="45">
        <f t="shared" si="26"/>
        <v>800000</v>
      </c>
      <c r="O155" s="45"/>
      <c r="P155" s="45" t="s">
        <v>2116</v>
      </c>
      <c r="Q155" s="45"/>
      <c r="R155" s="45"/>
      <c r="S155" s="45">
        <f t="shared" si="22"/>
        <v>0</v>
      </c>
      <c r="T155" s="44" t="s">
        <v>19</v>
      </c>
      <c r="U155" s="44" t="s">
        <v>20</v>
      </c>
      <c r="V155" s="43" t="s">
        <v>21</v>
      </c>
    </row>
    <row r="156" spans="1:22">
      <c r="A156" s="2">
        <v>146</v>
      </c>
      <c r="B156" s="119">
        <v>202510</v>
      </c>
      <c r="C156" s="44" t="s">
        <v>309</v>
      </c>
      <c r="D156" s="44" t="s">
        <v>310</v>
      </c>
      <c r="E156" s="44" t="s">
        <v>269</v>
      </c>
      <c r="F156" s="44">
        <v>5</v>
      </c>
      <c r="G156" s="44">
        <v>0</v>
      </c>
      <c r="H156" s="44">
        <v>0</v>
      </c>
      <c r="I156" s="44">
        <v>3</v>
      </c>
      <c r="J156" s="44">
        <v>3</v>
      </c>
      <c r="K156" s="123">
        <v>100000</v>
      </c>
      <c r="L156" s="124">
        <f t="shared" si="24"/>
        <v>11</v>
      </c>
      <c r="M156" s="45">
        <f t="shared" si="21"/>
        <v>1100000</v>
      </c>
      <c r="N156" s="45">
        <f t="shared" si="26"/>
        <v>1100000</v>
      </c>
      <c r="O156" s="45"/>
      <c r="P156" s="45" t="s">
        <v>2758</v>
      </c>
      <c r="Q156" s="45"/>
      <c r="R156" s="45"/>
      <c r="S156" s="45">
        <f t="shared" si="22"/>
        <v>0</v>
      </c>
      <c r="T156" s="44" t="s">
        <v>19</v>
      </c>
      <c r="U156" s="44" t="s">
        <v>20</v>
      </c>
      <c r="V156" s="43" t="s">
        <v>21</v>
      </c>
    </row>
    <row r="157" spans="1:22">
      <c r="A157" s="2">
        <v>147</v>
      </c>
      <c r="B157" s="119">
        <v>202510</v>
      </c>
      <c r="C157" s="44" t="s">
        <v>311</v>
      </c>
      <c r="D157" s="44" t="s">
        <v>312</v>
      </c>
      <c r="E157" s="44" t="s">
        <v>269</v>
      </c>
      <c r="F157" s="44">
        <v>5</v>
      </c>
      <c r="G157" s="44">
        <v>0</v>
      </c>
      <c r="H157" s="44">
        <v>0</v>
      </c>
      <c r="I157" s="44">
        <v>4</v>
      </c>
      <c r="J157" s="44">
        <v>5</v>
      </c>
      <c r="K157" s="123">
        <v>100000</v>
      </c>
      <c r="L157" s="124">
        <f t="shared" si="24"/>
        <v>14</v>
      </c>
      <c r="M157" s="45">
        <f t="shared" si="21"/>
        <v>1400000</v>
      </c>
      <c r="N157" s="45">
        <f t="shared" si="26"/>
        <v>1400000</v>
      </c>
      <c r="O157" s="45"/>
      <c r="P157" s="45" t="s">
        <v>2791</v>
      </c>
      <c r="Q157" s="45"/>
      <c r="R157" s="45"/>
      <c r="S157" s="45">
        <f t="shared" si="22"/>
        <v>0</v>
      </c>
      <c r="T157" s="44" t="s">
        <v>19</v>
      </c>
      <c r="U157" s="44" t="s">
        <v>20</v>
      </c>
      <c r="V157" s="43" t="s">
        <v>21</v>
      </c>
    </row>
    <row r="158" spans="1:22">
      <c r="A158" s="2">
        <v>148</v>
      </c>
      <c r="B158" s="119">
        <v>202510</v>
      </c>
      <c r="C158" s="44" t="s">
        <v>313</v>
      </c>
      <c r="D158" s="44" t="s">
        <v>314</v>
      </c>
      <c r="E158" s="44" t="s">
        <v>269</v>
      </c>
      <c r="F158" s="44">
        <v>5</v>
      </c>
      <c r="G158" s="44">
        <v>0</v>
      </c>
      <c r="H158" s="44">
        <v>0</v>
      </c>
      <c r="I158" s="44">
        <v>4</v>
      </c>
      <c r="J158" s="44">
        <v>5</v>
      </c>
      <c r="K158" s="123">
        <v>100000</v>
      </c>
      <c r="L158" s="124">
        <f t="shared" si="24"/>
        <v>14</v>
      </c>
      <c r="M158" s="45">
        <f t="shared" si="21"/>
        <v>1400000</v>
      </c>
      <c r="N158" s="45">
        <f t="shared" si="26"/>
        <v>1400000</v>
      </c>
      <c r="O158" s="45"/>
      <c r="P158" s="45" t="s">
        <v>3119</v>
      </c>
      <c r="Q158" s="45"/>
      <c r="R158" s="45"/>
      <c r="S158" s="45">
        <f t="shared" si="22"/>
        <v>0</v>
      </c>
      <c r="T158" s="44" t="s">
        <v>19</v>
      </c>
      <c r="U158" s="44" t="s">
        <v>20</v>
      </c>
      <c r="V158" s="43" t="s">
        <v>21</v>
      </c>
    </row>
    <row r="159" spans="1:22">
      <c r="A159" s="2">
        <v>149</v>
      </c>
      <c r="B159" s="119">
        <v>202510</v>
      </c>
      <c r="C159" s="44" t="s">
        <v>315</v>
      </c>
      <c r="D159" s="44" t="s">
        <v>316</v>
      </c>
      <c r="E159" s="44" t="s">
        <v>269</v>
      </c>
      <c r="F159" s="44">
        <v>5</v>
      </c>
      <c r="G159" s="44">
        <v>0</v>
      </c>
      <c r="H159" s="44">
        <v>0</v>
      </c>
      <c r="I159" s="44">
        <v>4</v>
      </c>
      <c r="J159" s="44">
        <v>5</v>
      </c>
      <c r="K159" s="123">
        <v>100000</v>
      </c>
      <c r="L159" s="124">
        <f t="shared" si="24"/>
        <v>14</v>
      </c>
      <c r="M159" s="45">
        <f t="shared" si="21"/>
        <v>1400000</v>
      </c>
      <c r="N159" s="45">
        <f t="shared" si="26"/>
        <v>1400000</v>
      </c>
      <c r="O159" s="45"/>
      <c r="P159" s="45" t="s">
        <v>2670</v>
      </c>
      <c r="Q159" s="45"/>
      <c r="R159" s="45"/>
      <c r="S159" s="45">
        <f t="shared" si="22"/>
        <v>0</v>
      </c>
      <c r="T159" s="44" t="s">
        <v>19</v>
      </c>
      <c r="U159" s="44" t="s">
        <v>20</v>
      </c>
      <c r="V159" s="43" t="s">
        <v>21</v>
      </c>
    </row>
    <row r="160" spans="1:22">
      <c r="A160" s="2">
        <v>150</v>
      </c>
      <c r="B160" s="119">
        <v>202510</v>
      </c>
      <c r="C160" s="44" t="s">
        <v>317</v>
      </c>
      <c r="D160" s="44" t="s">
        <v>318</v>
      </c>
      <c r="E160" s="44" t="s">
        <v>269</v>
      </c>
      <c r="F160" s="44">
        <v>5</v>
      </c>
      <c r="G160" s="44">
        <v>0</v>
      </c>
      <c r="H160" s="44">
        <v>0</v>
      </c>
      <c r="I160" s="44">
        <v>4</v>
      </c>
      <c r="J160" s="44">
        <v>4</v>
      </c>
      <c r="K160" s="123">
        <v>100000</v>
      </c>
      <c r="L160" s="124">
        <f t="shared" si="24"/>
        <v>13</v>
      </c>
      <c r="M160" s="45">
        <f t="shared" si="21"/>
        <v>1300000</v>
      </c>
      <c r="N160" s="45">
        <f t="shared" si="26"/>
        <v>1300000</v>
      </c>
      <c r="O160" s="45"/>
      <c r="P160" s="45" t="s">
        <v>2082</v>
      </c>
      <c r="Q160" s="45"/>
      <c r="R160" s="45"/>
      <c r="S160" s="45">
        <f t="shared" si="22"/>
        <v>0</v>
      </c>
      <c r="T160" s="44" t="s">
        <v>19</v>
      </c>
      <c r="U160" s="44" t="s">
        <v>20</v>
      </c>
      <c r="V160" s="43" t="s">
        <v>21</v>
      </c>
    </row>
    <row r="161" spans="1:22">
      <c r="A161" s="2">
        <v>151</v>
      </c>
      <c r="B161" s="119">
        <v>202510</v>
      </c>
      <c r="C161" s="44" t="s">
        <v>301</v>
      </c>
      <c r="D161" s="44" t="s">
        <v>319</v>
      </c>
      <c r="E161" s="44" t="s">
        <v>320</v>
      </c>
      <c r="F161" s="44">
        <v>0</v>
      </c>
      <c r="G161" s="44">
        <v>0</v>
      </c>
      <c r="H161" s="44">
        <v>0</v>
      </c>
      <c r="I161" s="44">
        <v>3</v>
      </c>
      <c r="J161" s="44">
        <v>4</v>
      </c>
      <c r="K161" s="123">
        <v>100000</v>
      </c>
      <c r="L161" s="124">
        <f t="shared" si="24"/>
        <v>7</v>
      </c>
      <c r="M161" s="45">
        <f t="shared" si="21"/>
        <v>700000</v>
      </c>
      <c r="N161" s="45">
        <f t="shared" si="26"/>
        <v>700000</v>
      </c>
      <c r="O161" s="45"/>
      <c r="P161" s="45" t="s">
        <v>3099</v>
      </c>
      <c r="Q161" s="45"/>
      <c r="R161" s="45"/>
      <c r="S161" s="45">
        <f t="shared" si="22"/>
        <v>0</v>
      </c>
      <c r="T161" s="44" t="s">
        <v>19</v>
      </c>
      <c r="U161" s="44" t="s">
        <v>20</v>
      </c>
      <c r="V161" s="43" t="s">
        <v>21</v>
      </c>
    </row>
    <row r="162" spans="1:22">
      <c r="A162" s="2">
        <v>152</v>
      </c>
      <c r="B162" s="119">
        <v>202510</v>
      </c>
      <c r="C162" s="44" t="s">
        <v>321</v>
      </c>
      <c r="D162" s="44" t="s">
        <v>322</v>
      </c>
      <c r="E162" s="44" t="s">
        <v>320</v>
      </c>
      <c r="F162" s="44">
        <v>0</v>
      </c>
      <c r="G162" s="44">
        <v>0</v>
      </c>
      <c r="H162" s="44">
        <v>0</v>
      </c>
      <c r="I162" s="44">
        <v>3</v>
      </c>
      <c r="J162" s="44">
        <v>4</v>
      </c>
      <c r="K162" s="123">
        <v>100000</v>
      </c>
      <c r="L162" s="124">
        <f t="shared" si="24"/>
        <v>7</v>
      </c>
      <c r="M162" s="45">
        <f t="shared" si="21"/>
        <v>700000</v>
      </c>
      <c r="N162" s="45">
        <f t="shared" si="26"/>
        <v>700000</v>
      </c>
      <c r="O162" s="45"/>
      <c r="P162" s="45" t="s">
        <v>2813</v>
      </c>
      <c r="Q162" s="45"/>
      <c r="R162" s="45"/>
      <c r="S162" s="45">
        <f t="shared" si="22"/>
        <v>0</v>
      </c>
      <c r="T162" s="44" t="s">
        <v>19</v>
      </c>
      <c r="U162" s="44" t="s">
        <v>20</v>
      </c>
      <c r="V162" s="43" t="s">
        <v>21</v>
      </c>
    </row>
    <row r="163" spans="1:22">
      <c r="A163" s="2">
        <v>153</v>
      </c>
      <c r="B163" s="119">
        <v>202510</v>
      </c>
      <c r="C163" s="44" t="s">
        <v>323</v>
      </c>
      <c r="D163" s="44" t="s">
        <v>324</v>
      </c>
      <c r="E163" s="44" t="s">
        <v>320</v>
      </c>
      <c r="F163" s="44">
        <v>0</v>
      </c>
      <c r="G163" s="44">
        <v>0</v>
      </c>
      <c r="H163" s="44">
        <v>0</v>
      </c>
      <c r="I163" s="44">
        <v>3</v>
      </c>
      <c r="J163" s="44">
        <v>4</v>
      </c>
      <c r="K163" s="123">
        <v>100000</v>
      </c>
      <c r="L163" s="124">
        <f t="shared" si="24"/>
        <v>7</v>
      </c>
      <c r="M163" s="45">
        <f t="shared" si="21"/>
        <v>700000</v>
      </c>
      <c r="N163" s="45">
        <f t="shared" si="26"/>
        <v>700000</v>
      </c>
      <c r="O163" s="45"/>
      <c r="P163" s="45" t="s">
        <v>2808</v>
      </c>
      <c r="Q163" s="45"/>
      <c r="R163" s="45"/>
      <c r="S163" s="45">
        <f t="shared" si="22"/>
        <v>0</v>
      </c>
      <c r="T163" s="44" t="s">
        <v>19</v>
      </c>
      <c r="U163" s="44" t="s">
        <v>20</v>
      </c>
      <c r="V163" s="43" t="s">
        <v>21</v>
      </c>
    </row>
    <row r="164" spans="1:22">
      <c r="A164" s="2">
        <v>154</v>
      </c>
      <c r="B164" s="119">
        <v>202510</v>
      </c>
      <c r="C164" s="44" t="s">
        <v>325</v>
      </c>
      <c r="D164" s="44" t="s">
        <v>326</v>
      </c>
      <c r="E164" s="44" t="s">
        <v>320</v>
      </c>
      <c r="F164" s="44">
        <v>0</v>
      </c>
      <c r="G164" s="44">
        <v>0</v>
      </c>
      <c r="H164" s="44">
        <v>0</v>
      </c>
      <c r="I164" s="44">
        <v>3</v>
      </c>
      <c r="J164" s="44">
        <v>4</v>
      </c>
      <c r="K164" s="123">
        <v>100000</v>
      </c>
      <c r="L164" s="124">
        <f t="shared" si="24"/>
        <v>7</v>
      </c>
      <c r="M164" s="45">
        <f t="shared" si="21"/>
        <v>700000</v>
      </c>
      <c r="N164" s="45">
        <f>M164</f>
        <v>700000</v>
      </c>
      <c r="O164" s="45"/>
      <c r="P164" s="45" t="s">
        <v>6324</v>
      </c>
      <c r="Q164" s="45"/>
      <c r="R164" s="45"/>
      <c r="S164" s="45">
        <f t="shared" si="22"/>
        <v>0</v>
      </c>
      <c r="T164" s="44" t="s">
        <v>19</v>
      </c>
      <c r="U164" s="44" t="s">
        <v>20</v>
      </c>
      <c r="V164" s="43" t="s">
        <v>21</v>
      </c>
    </row>
    <row r="165" spans="1:22">
      <c r="A165" s="2">
        <v>155</v>
      </c>
      <c r="B165" s="119">
        <v>202510</v>
      </c>
      <c r="C165" s="44" t="s">
        <v>327</v>
      </c>
      <c r="D165" s="44" t="s">
        <v>328</v>
      </c>
      <c r="E165" s="44" t="s">
        <v>320</v>
      </c>
      <c r="F165" s="44">
        <v>0</v>
      </c>
      <c r="G165" s="44">
        <v>0</v>
      </c>
      <c r="H165" s="44">
        <v>0</v>
      </c>
      <c r="I165" s="44">
        <v>3</v>
      </c>
      <c r="J165" s="44">
        <v>4</v>
      </c>
      <c r="K165" s="123">
        <v>100000</v>
      </c>
      <c r="L165" s="124">
        <f t="shared" si="24"/>
        <v>7</v>
      </c>
      <c r="M165" s="45">
        <f t="shared" si="21"/>
        <v>700000</v>
      </c>
      <c r="N165" s="45">
        <f>M165</f>
        <v>700000</v>
      </c>
      <c r="O165" s="45"/>
      <c r="P165" s="45" t="s">
        <v>3087</v>
      </c>
      <c r="Q165" s="45"/>
      <c r="R165" s="45"/>
      <c r="S165" s="45">
        <f t="shared" si="22"/>
        <v>0</v>
      </c>
      <c r="T165" s="44" t="s">
        <v>19</v>
      </c>
      <c r="U165" s="44" t="s">
        <v>20</v>
      </c>
      <c r="V165" s="43" t="s">
        <v>21</v>
      </c>
    </row>
    <row r="166" spans="1:22">
      <c r="A166" s="2">
        <v>156</v>
      </c>
      <c r="B166" s="119">
        <v>202510</v>
      </c>
      <c r="C166" s="44" t="s">
        <v>329</v>
      </c>
      <c r="D166" s="44" t="s">
        <v>330</v>
      </c>
      <c r="E166" s="44" t="s">
        <v>320</v>
      </c>
      <c r="F166" s="44">
        <v>0</v>
      </c>
      <c r="G166" s="44">
        <v>0</v>
      </c>
      <c r="H166" s="44">
        <v>0</v>
      </c>
      <c r="I166" s="44">
        <v>3</v>
      </c>
      <c r="J166" s="44">
        <v>4</v>
      </c>
      <c r="K166" s="123">
        <v>100000</v>
      </c>
      <c r="L166" s="124">
        <f t="shared" si="24"/>
        <v>7</v>
      </c>
      <c r="M166" s="45">
        <f t="shared" si="21"/>
        <v>700000</v>
      </c>
      <c r="N166" s="45">
        <f>M166</f>
        <v>700000</v>
      </c>
      <c r="O166" s="45"/>
      <c r="P166" s="45" t="s">
        <v>6558</v>
      </c>
      <c r="Q166" s="45"/>
      <c r="R166" s="45"/>
      <c r="S166" s="45">
        <f t="shared" si="22"/>
        <v>0</v>
      </c>
      <c r="T166" s="44" t="s">
        <v>19</v>
      </c>
      <c r="U166" s="44" t="s">
        <v>20</v>
      </c>
      <c r="V166" s="43" t="s">
        <v>21</v>
      </c>
    </row>
    <row r="167" spans="1:22">
      <c r="A167" s="2">
        <v>157</v>
      </c>
      <c r="B167" s="119">
        <v>202510</v>
      </c>
      <c r="C167" s="44" t="s">
        <v>331</v>
      </c>
      <c r="D167" s="44" t="s">
        <v>332</v>
      </c>
      <c r="E167" s="44" t="s">
        <v>320</v>
      </c>
      <c r="F167" s="44">
        <v>0</v>
      </c>
      <c r="G167" s="44">
        <v>0</v>
      </c>
      <c r="H167" s="44">
        <v>0</v>
      </c>
      <c r="I167" s="44">
        <v>0</v>
      </c>
      <c r="J167" s="44">
        <v>4</v>
      </c>
      <c r="K167" s="123">
        <v>100000</v>
      </c>
      <c r="L167" s="124">
        <f t="shared" si="24"/>
        <v>4</v>
      </c>
      <c r="M167" s="45">
        <f t="shared" si="21"/>
        <v>400000</v>
      </c>
      <c r="N167" s="45">
        <f t="shared" ref="N167:N172" si="27">M167</f>
        <v>400000</v>
      </c>
      <c r="O167" s="45"/>
      <c r="P167" s="45" t="s">
        <v>6319</v>
      </c>
      <c r="Q167" s="45"/>
      <c r="R167" s="45"/>
      <c r="S167" s="45">
        <f t="shared" si="22"/>
        <v>0</v>
      </c>
      <c r="T167" s="44" t="s">
        <v>19</v>
      </c>
      <c r="U167" s="44" t="s">
        <v>20</v>
      </c>
      <c r="V167" s="43" t="s">
        <v>21</v>
      </c>
    </row>
    <row r="168" spans="1:22">
      <c r="A168" s="2">
        <v>158</v>
      </c>
      <c r="B168" s="119">
        <v>202510</v>
      </c>
      <c r="C168" s="44" t="s">
        <v>333</v>
      </c>
      <c r="D168" s="44" t="s">
        <v>334</v>
      </c>
      <c r="E168" s="44" t="s">
        <v>320</v>
      </c>
      <c r="F168" s="44">
        <v>0</v>
      </c>
      <c r="G168" s="44">
        <v>0</v>
      </c>
      <c r="H168" s="44">
        <v>0</v>
      </c>
      <c r="I168" s="44">
        <v>3</v>
      </c>
      <c r="J168" s="44">
        <v>3</v>
      </c>
      <c r="K168" s="123">
        <v>100000</v>
      </c>
      <c r="L168" s="124">
        <f t="shared" si="24"/>
        <v>6</v>
      </c>
      <c r="M168" s="45">
        <f t="shared" si="21"/>
        <v>600000</v>
      </c>
      <c r="N168" s="45">
        <f t="shared" si="27"/>
        <v>600000</v>
      </c>
      <c r="O168" s="45"/>
      <c r="P168" s="45" t="s">
        <v>3068</v>
      </c>
      <c r="Q168" s="45"/>
      <c r="R168" s="45"/>
      <c r="S168" s="45">
        <f t="shared" si="22"/>
        <v>0</v>
      </c>
      <c r="T168" s="44" t="s">
        <v>19</v>
      </c>
      <c r="U168" s="44" t="s">
        <v>20</v>
      </c>
      <c r="V168" s="43" t="s">
        <v>21</v>
      </c>
    </row>
    <row r="169" spans="1:22">
      <c r="A169" s="2">
        <v>159</v>
      </c>
      <c r="B169" s="119">
        <v>202510</v>
      </c>
      <c r="C169" s="44" t="s">
        <v>335</v>
      </c>
      <c r="D169" s="44" t="s">
        <v>336</v>
      </c>
      <c r="E169" s="44" t="s">
        <v>320</v>
      </c>
      <c r="F169" s="44">
        <v>4</v>
      </c>
      <c r="G169" s="44">
        <v>0</v>
      </c>
      <c r="H169" s="44">
        <v>0</v>
      </c>
      <c r="I169" s="44">
        <v>0</v>
      </c>
      <c r="J169" s="44">
        <v>4</v>
      </c>
      <c r="K169" s="123">
        <v>100000</v>
      </c>
      <c r="L169" s="124">
        <f t="shared" si="24"/>
        <v>8</v>
      </c>
      <c r="M169" s="45">
        <f t="shared" si="21"/>
        <v>800000</v>
      </c>
      <c r="N169" s="45">
        <f t="shared" si="27"/>
        <v>800000</v>
      </c>
      <c r="O169" s="45"/>
      <c r="P169" s="45" t="s">
        <v>6295</v>
      </c>
      <c r="Q169" s="45"/>
      <c r="R169" s="45"/>
      <c r="S169" s="45">
        <f t="shared" si="22"/>
        <v>0</v>
      </c>
      <c r="T169" s="44" t="s">
        <v>19</v>
      </c>
      <c r="U169" s="44" t="s">
        <v>20</v>
      </c>
      <c r="V169" s="43" t="s">
        <v>21</v>
      </c>
    </row>
    <row r="170" spans="1:22">
      <c r="A170" s="2">
        <v>161</v>
      </c>
      <c r="B170" s="119">
        <v>202510</v>
      </c>
      <c r="C170" s="44" t="s">
        <v>337</v>
      </c>
      <c r="D170" s="44" t="s">
        <v>338</v>
      </c>
      <c r="E170" s="44" t="s">
        <v>320</v>
      </c>
      <c r="F170" s="44">
        <v>4</v>
      </c>
      <c r="G170" s="44">
        <v>0</v>
      </c>
      <c r="H170" s="44">
        <v>0</v>
      </c>
      <c r="I170" s="44">
        <v>0</v>
      </c>
      <c r="J170" s="44">
        <v>2</v>
      </c>
      <c r="K170" s="123">
        <v>100000</v>
      </c>
      <c r="L170" s="124">
        <f t="shared" si="24"/>
        <v>6</v>
      </c>
      <c r="M170" s="45">
        <f t="shared" si="21"/>
        <v>600000</v>
      </c>
      <c r="N170" s="45">
        <f t="shared" si="27"/>
        <v>600000</v>
      </c>
      <c r="O170" s="45"/>
      <c r="P170" s="45" t="s">
        <v>3095</v>
      </c>
      <c r="Q170" s="45"/>
      <c r="R170" s="45"/>
      <c r="S170" s="45">
        <f t="shared" si="22"/>
        <v>0</v>
      </c>
      <c r="T170" s="44" t="s">
        <v>19</v>
      </c>
      <c r="U170" s="44" t="s">
        <v>20</v>
      </c>
      <c r="V170" s="43" t="s">
        <v>21</v>
      </c>
    </row>
    <row r="171" spans="1:22">
      <c r="A171" s="2">
        <v>162</v>
      </c>
      <c r="B171" s="119">
        <v>202510</v>
      </c>
      <c r="C171" s="44" t="s">
        <v>339</v>
      </c>
      <c r="D171" s="44" t="s">
        <v>340</v>
      </c>
      <c r="E171" s="44" t="s">
        <v>320</v>
      </c>
      <c r="F171" s="44">
        <v>4</v>
      </c>
      <c r="G171" s="44">
        <v>0</v>
      </c>
      <c r="H171" s="44">
        <v>0</v>
      </c>
      <c r="I171" s="44">
        <v>0</v>
      </c>
      <c r="J171" s="44">
        <v>4</v>
      </c>
      <c r="K171" s="123">
        <v>100000</v>
      </c>
      <c r="L171" s="124">
        <f t="shared" si="24"/>
        <v>8</v>
      </c>
      <c r="M171" s="45">
        <f t="shared" si="21"/>
        <v>800000</v>
      </c>
      <c r="N171" s="45">
        <f t="shared" si="27"/>
        <v>800000</v>
      </c>
      <c r="O171" s="45"/>
      <c r="P171" s="45" t="s">
        <v>3140</v>
      </c>
      <c r="Q171" s="45"/>
      <c r="R171" s="45"/>
      <c r="S171" s="45">
        <f t="shared" si="22"/>
        <v>0</v>
      </c>
      <c r="T171" s="44" t="s">
        <v>19</v>
      </c>
      <c r="U171" s="44" t="s">
        <v>20</v>
      </c>
      <c r="V171" s="43" t="s">
        <v>21</v>
      </c>
    </row>
    <row r="172" spans="1:22">
      <c r="A172" s="2">
        <v>163</v>
      </c>
      <c r="B172" s="119">
        <v>202510</v>
      </c>
      <c r="C172" s="44" t="s">
        <v>341</v>
      </c>
      <c r="D172" s="44" t="s">
        <v>342</v>
      </c>
      <c r="E172" s="44" t="s">
        <v>320</v>
      </c>
      <c r="F172" s="44">
        <v>4</v>
      </c>
      <c r="G172" s="44">
        <v>0</v>
      </c>
      <c r="H172" s="44">
        <v>0</v>
      </c>
      <c r="I172" s="44">
        <v>0</v>
      </c>
      <c r="J172" s="44">
        <v>4</v>
      </c>
      <c r="K172" s="123">
        <v>100000</v>
      </c>
      <c r="L172" s="124">
        <f t="shared" si="24"/>
        <v>8</v>
      </c>
      <c r="M172" s="45">
        <f t="shared" si="21"/>
        <v>800000</v>
      </c>
      <c r="N172" s="45">
        <f t="shared" si="27"/>
        <v>800000</v>
      </c>
      <c r="O172" s="45"/>
      <c r="P172" s="45" t="s">
        <v>6321</v>
      </c>
      <c r="Q172" s="45"/>
      <c r="R172" s="45"/>
      <c r="S172" s="45">
        <f t="shared" si="22"/>
        <v>0</v>
      </c>
      <c r="T172" s="44" t="s">
        <v>19</v>
      </c>
      <c r="U172" s="44" t="s">
        <v>20</v>
      </c>
      <c r="V172" s="43" t="s">
        <v>21</v>
      </c>
    </row>
    <row r="173" spans="1:22">
      <c r="A173" s="2">
        <v>164</v>
      </c>
      <c r="B173" s="119">
        <v>202510</v>
      </c>
      <c r="C173" s="44" t="s">
        <v>126</v>
      </c>
      <c r="D173" s="44" t="s">
        <v>343</v>
      </c>
      <c r="E173" s="44" t="s">
        <v>320</v>
      </c>
      <c r="F173" s="44">
        <v>0</v>
      </c>
      <c r="G173" s="44">
        <v>0</v>
      </c>
      <c r="H173" s="44">
        <v>0</v>
      </c>
      <c r="I173" s="44">
        <v>0</v>
      </c>
      <c r="J173" s="44">
        <v>4</v>
      </c>
      <c r="K173" s="123">
        <v>100000</v>
      </c>
      <c r="L173" s="124">
        <f t="shared" si="24"/>
        <v>4</v>
      </c>
      <c r="M173" s="45">
        <f t="shared" si="21"/>
        <v>400000</v>
      </c>
      <c r="N173" s="45">
        <f>M173</f>
        <v>400000</v>
      </c>
      <c r="O173" s="45"/>
      <c r="P173" s="45" t="s">
        <v>6561</v>
      </c>
      <c r="Q173" s="45"/>
      <c r="R173" s="45"/>
      <c r="S173" s="45">
        <f t="shared" si="22"/>
        <v>0</v>
      </c>
      <c r="T173" s="44" t="s">
        <v>19</v>
      </c>
      <c r="U173" s="44" t="s">
        <v>20</v>
      </c>
      <c r="V173" s="43" t="s">
        <v>21</v>
      </c>
    </row>
    <row r="174" spans="1:22">
      <c r="A174" s="2">
        <v>165</v>
      </c>
      <c r="B174" s="119">
        <v>202510</v>
      </c>
      <c r="C174" s="44" t="s">
        <v>344</v>
      </c>
      <c r="D174" s="44" t="s">
        <v>345</v>
      </c>
      <c r="E174" s="44" t="s">
        <v>320</v>
      </c>
      <c r="F174" s="44">
        <v>2</v>
      </c>
      <c r="G174" s="44">
        <v>0</v>
      </c>
      <c r="H174" s="44">
        <v>0</v>
      </c>
      <c r="I174" s="44">
        <v>3</v>
      </c>
      <c r="J174" s="44">
        <v>3</v>
      </c>
      <c r="K174" s="123">
        <v>100000</v>
      </c>
      <c r="L174" s="124">
        <f t="shared" si="24"/>
        <v>8</v>
      </c>
      <c r="M174" s="45">
        <f t="shared" si="21"/>
        <v>800000</v>
      </c>
      <c r="N174" s="45">
        <f t="shared" ref="N174:N179" si="28">M174</f>
        <v>800000</v>
      </c>
      <c r="O174" s="45"/>
      <c r="P174" s="45" t="s">
        <v>6589</v>
      </c>
      <c r="Q174" s="45"/>
      <c r="R174" s="45"/>
      <c r="S174" s="45">
        <f t="shared" si="22"/>
        <v>0</v>
      </c>
      <c r="T174" s="44" t="s">
        <v>19</v>
      </c>
      <c r="U174" s="44" t="s">
        <v>20</v>
      </c>
      <c r="V174" s="43" t="s">
        <v>21</v>
      </c>
    </row>
    <row r="175" spans="1:22">
      <c r="A175" s="2">
        <v>166</v>
      </c>
      <c r="B175" s="119">
        <v>202510</v>
      </c>
      <c r="C175" s="44" t="s">
        <v>346</v>
      </c>
      <c r="D175" s="44" t="s">
        <v>347</v>
      </c>
      <c r="E175" s="44" t="s">
        <v>320</v>
      </c>
      <c r="F175" s="44">
        <v>4</v>
      </c>
      <c r="G175" s="44">
        <v>0</v>
      </c>
      <c r="H175" s="44">
        <v>0</v>
      </c>
      <c r="I175" s="44">
        <v>3</v>
      </c>
      <c r="J175" s="44">
        <v>4</v>
      </c>
      <c r="K175" s="123">
        <v>100000</v>
      </c>
      <c r="L175" s="124">
        <f t="shared" ref="L175:L184" si="29">SUM(F175:J175)</f>
        <v>11</v>
      </c>
      <c r="M175" s="45">
        <f t="shared" si="21"/>
        <v>1100000</v>
      </c>
      <c r="N175" s="45">
        <f t="shared" si="28"/>
        <v>1100000</v>
      </c>
      <c r="O175" s="45"/>
      <c r="P175" s="45" t="s">
        <v>3073</v>
      </c>
      <c r="Q175" s="45"/>
      <c r="R175" s="45"/>
      <c r="S175" s="45">
        <f t="shared" si="22"/>
        <v>0</v>
      </c>
      <c r="T175" s="44" t="s">
        <v>19</v>
      </c>
      <c r="U175" s="44" t="s">
        <v>20</v>
      </c>
      <c r="V175" s="43" t="s">
        <v>21</v>
      </c>
    </row>
    <row r="176" spans="1:22">
      <c r="A176" s="2">
        <v>167</v>
      </c>
      <c r="B176" s="119">
        <v>202510</v>
      </c>
      <c r="C176" s="44" t="s">
        <v>348</v>
      </c>
      <c r="D176" s="44" t="s">
        <v>349</v>
      </c>
      <c r="E176" s="44" t="s">
        <v>320</v>
      </c>
      <c r="F176" s="44">
        <v>3</v>
      </c>
      <c r="G176" s="44">
        <v>0</v>
      </c>
      <c r="H176" s="44">
        <v>0</v>
      </c>
      <c r="I176" s="44">
        <v>3</v>
      </c>
      <c r="J176" s="44">
        <v>0</v>
      </c>
      <c r="K176" s="123">
        <v>100000</v>
      </c>
      <c r="L176" s="124">
        <f t="shared" si="29"/>
        <v>6</v>
      </c>
      <c r="M176" s="45">
        <f t="shared" si="21"/>
        <v>600000</v>
      </c>
      <c r="N176" s="45">
        <f t="shared" si="28"/>
        <v>600000</v>
      </c>
      <c r="O176" s="45"/>
      <c r="P176" s="45" t="s">
        <v>6376</v>
      </c>
      <c r="Q176" s="45"/>
      <c r="R176" s="45"/>
      <c r="S176" s="45">
        <f t="shared" si="22"/>
        <v>0</v>
      </c>
      <c r="T176" s="44" t="s">
        <v>19</v>
      </c>
      <c r="U176" s="44" t="s">
        <v>20</v>
      </c>
      <c r="V176" s="43" t="s">
        <v>21</v>
      </c>
    </row>
    <row r="177" spans="1:22">
      <c r="A177" s="2">
        <v>168</v>
      </c>
      <c r="B177" s="119">
        <v>202510</v>
      </c>
      <c r="C177" s="44" t="s">
        <v>350</v>
      </c>
      <c r="D177" s="44" t="s">
        <v>351</v>
      </c>
      <c r="E177" s="44" t="s">
        <v>320</v>
      </c>
      <c r="F177" s="44">
        <v>0</v>
      </c>
      <c r="G177" s="44">
        <v>0</v>
      </c>
      <c r="H177" s="44">
        <v>0</v>
      </c>
      <c r="I177" s="44">
        <v>3</v>
      </c>
      <c r="J177" s="44">
        <v>0</v>
      </c>
      <c r="K177" s="123">
        <v>100000</v>
      </c>
      <c r="L177" s="124">
        <f t="shared" si="29"/>
        <v>3</v>
      </c>
      <c r="M177" s="45">
        <f t="shared" si="21"/>
        <v>300000</v>
      </c>
      <c r="N177" s="45">
        <f t="shared" si="28"/>
        <v>300000</v>
      </c>
      <c r="O177" s="45"/>
      <c r="P177" s="45" t="s">
        <v>3103</v>
      </c>
      <c r="Q177" s="45"/>
      <c r="R177" s="45"/>
      <c r="S177" s="45">
        <f t="shared" si="22"/>
        <v>0</v>
      </c>
      <c r="T177" s="44" t="s">
        <v>19</v>
      </c>
      <c r="U177" s="44" t="s">
        <v>20</v>
      </c>
      <c r="V177" s="43" t="s">
        <v>21</v>
      </c>
    </row>
    <row r="178" spans="1:22">
      <c r="A178" s="2">
        <v>169</v>
      </c>
      <c r="B178" s="119">
        <v>202510</v>
      </c>
      <c r="C178" s="44" t="s">
        <v>352</v>
      </c>
      <c r="D178" s="44" t="s">
        <v>353</v>
      </c>
      <c r="E178" s="44" t="s">
        <v>320</v>
      </c>
      <c r="F178" s="44">
        <v>0</v>
      </c>
      <c r="G178" s="44">
        <v>0</v>
      </c>
      <c r="H178" s="44">
        <v>0</v>
      </c>
      <c r="I178" s="44">
        <v>0</v>
      </c>
      <c r="J178" s="44">
        <v>4</v>
      </c>
      <c r="K178" s="123">
        <v>100000</v>
      </c>
      <c r="L178" s="124">
        <f t="shared" si="29"/>
        <v>4</v>
      </c>
      <c r="M178" s="45">
        <f t="shared" si="21"/>
        <v>400000</v>
      </c>
      <c r="N178" s="45">
        <f t="shared" si="28"/>
        <v>400000</v>
      </c>
      <c r="O178" s="45"/>
      <c r="P178" s="45" t="s">
        <v>3080</v>
      </c>
      <c r="Q178" s="45"/>
      <c r="R178" s="45"/>
      <c r="S178" s="45">
        <f t="shared" si="22"/>
        <v>0</v>
      </c>
      <c r="T178" s="44" t="s">
        <v>19</v>
      </c>
      <c r="U178" s="44" t="s">
        <v>20</v>
      </c>
      <c r="V178" s="43" t="s">
        <v>21</v>
      </c>
    </row>
    <row r="179" spans="1:22">
      <c r="A179" s="2">
        <v>170</v>
      </c>
      <c r="B179" s="119">
        <v>202510</v>
      </c>
      <c r="C179" s="44" t="s">
        <v>354</v>
      </c>
      <c r="D179" s="44" t="s">
        <v>355</v>
      </c>
      <c r="E179" s="44" t="s">
        <v>320</v>
      </c>
      <c r="F179" s="44">
        <v>4</v>
      </c>
      <c r="G179" s="44">
        <v>0</v>
      </c>
      <c r="H179" s="44">
        <v>0</v>
      </c>
      <c r="I179" s="44">
        <v>3</v>
      </c>
      <c r="J179" s="44">
        <v>4</v>
      </c>
      <c r="K179" s="123">
        <v>100000</v>
      </c>
      <c r="L179" s="124">
        <f t="shared" si="29"/>
        <v>11</v>
      </c>
      <c r="M179" s="45">
        <f t="shared" si="21"/>
        <v>1100000</v>
      </c>
      <c r="N179" s="45">
        <f t="shared" si="28"/>
        <v>1100000</v>
      </c>
      <c r="O179" s="45"/>
      <c r="P179" s="45" t="s">
        <v>3110</v>
      </c>
      <c r="Q179" s="45"/>
      <c r="R179" s="45"/>
      <c r="S179" s="45">
        <f t="shared" si="22"/>
        <v>0</v>
      </c>
      <c r="T179" s="44" t="s">
        <v>19</v>
      </c>
      <c r="U179" s="44" t="s">
        <v>20</v>
      </c>
      <c r="V179" s="43" t="s">
        <v>21</v>
      </c>
    </row>
    <row r="180" spans="1:22">
      <c r="A180" s="2">
        <v>171</v>
      </c>
      <c r="B180" s="119">
        <v>202510</v>
      </c>
      <c r="C180" s="44" t="s">
        <v>356</v>
      </c>
      <c r="D180" s="44" t="s">
        <v>357</v>
      </c>
      <c r="E180" s="44" t="s">
        <v>320</v>
      </c>
      <c r="F180" s="44">
        <v>0</v>
      </c>
      <c r="G180" s="44">
        <v>0</v>
      </c>
      <c r="H180" s="44">
        <v>0</v>
      </c>
      <c r="I180" s="44">
        <v>3</v>
      </c>
      <c r="J180" s="44">
        <v>4</v>
      </c>
      <c r="K180" s="123">
        <v>100000</v>
      </c>
      <c r="L180" s="124">
        <f t="shared" si="29"/>
        <v>7</v>
      </c>
      <c r="M180" s="45">
        <f t="shared" si="21"/>
        <v>700000</v>
      </c>
      <c r="N180" s="45">
        <f>M180</f>
        <v>700000</v>
      </c>
      <c r="O180" s="45"/>
      <c r="P180" s="45" t="s">
        <v>6654</v>
      </c>
      <c r="Q180" s="45"/>
      <c r="R180" s="45"/>
      <c r="S180" s="45">
        <f t="shared" si="22"/>
        <v>0</v>
      </c>
      <c r="T180" s="44" t="s">
        <v>19</v>
      </c>
      <c r="U180" s="44" t="s">
        <v>20</v>
      </c>
      <c r="V180" s="43" t="s">
        <v>21</v>
      </c>
    </row>
    <row r="181" spans="1:22">
      <c r="A181" s="2">
        <v>172</v>
      </c>
      <c r="B181" s="119">
        <v>202510</v>
      </c>
      <c r="C181" s="44" t="s">
        <v>358</v>
      </c>
      <c r="D181" s="44" t="s">
        <v>359</v>
      </c>
      <c r="E181" s="44" t="s">
        <v>320</v>
      </c>
      <c r="F181" s="44">
        <v>4</v>
      </c>
      <c r="G181" s="44">
        <v>0</v>
      </c>
      <c r="H181" s="44">
        <v>0</v>
      </c>
      <c r="I181" s="44">
        <v>3</v>
      </c>
      <c r="J181" s="44">
        <v>4</v>
      </c>
      <c r="K181" s="123">
        <v>100000</v>
      </c>
      <c r="L181" s="124">
        <f t="shared" si="29"/>
        <v>11</v>
      </c>
      <c r="M181" s="45">
        <f t="shared" si="21"/>
        <v>1100000</v>
      </c>
      <c r="N181" s="45">
        <f>M181</f>
        <v>1100000</v>
      </c>
      <c r="O181" s="45"/>
      <c r="P181" s="45" t="s">
        <v>3075</v>
      </c>
      <c r="Q181" s="45"/>
      <c r="R181" s="45"/>
      <c r="S181" s="45">
        <f t="shared" si="22"/>
        <v>0</v>
      </c>
      <c r="T181" s="44" t="s">
        <v>19</v>
      </c>
      <c r="U181" s="44" t="s">
        <v>20</v>
      </c>
      <c r="V181" s="43" t="s">
        <v>21</v>
      </c>
    </row>
    <row r="182" spans="1:22" ht="28.8" customHeight="1">
      <c r="A182" s="2">
        <v>173</v>
      </c>
      <c r="B182" s="119">
        <v>202510</v>
      </c>
      <c r="C182" s="44" t="s">
        <v>360</v>
      </c>
      <c r="D182" s="44" t="s">
        <v>361</v>
      </c>
      <c r="E182" s="44" t="s">
        <v>320</v>
      </c>
      <c r="F182" s="44">
        <v>4</v>
      </c>
      <c r="G182" s="44">
        <v>0</v>
      </c>
      <c r="H182" s="44">
        <v>0</v>
      </c>
      <c r="I182" s="44">
        <v>0</v>
      </c>
      <c r="J182" s="44">
        <v>3</v>
      </c>
      <c r="K182" s="123">
        <v>100000</v>
      </c>
      <c r="L182" s="124">
        <f t="shared" si="29"/>
        <v>7</v>
      </c>
      <c r="M182" s="45">
        <f t="shared" si="21"/>
        <v>700000</v>
      </c>
      <c r="N182" s="45">
        <f>M182+1157000</f>
        <v>1857000</v>
      </c>
      <c r="O182" s="45"/>
      <c r="P182" s="61" t="s">
        <v>6754</v>
      </c>
      <c r="Q182" s="45"/>
      <c r="R182" s="45"/>
      <c r="S182" s="62">
        <f t="shared" si="22"/>
        <v>-1157000</v>
      </c>
      <c r="T182" s="44" t="s">
        <v>19</v>
      </c>
      <c r="U182" s="44" t="s">
        <v>20</v>
      </c>
      <c r="V182" s="43" t="s">
        <v>21</v>
      </c>
    </row>
    <row r="183" spans="1:22">
      <c r="A183" s="2">
        <v>174</v>
      </c>
      <c r="B183" s="119">
        <v>202510</v>
      </c>
      <c r="C183" s="44" t="s">
        <v>362</v>
      </c>
      <c r="D183" s="44" t="s">
        <v>363</v>
      </c>
      <c r="E183" s="44" t="s">
        <v>320</v>
      </c>
      <c r="F183" s="44">
        <v>4</v>
      </c>
      <c r="G183" s="44">
        <v>0</v>
      </c>
      <c r="H183" s="44">
        <v>0</v>
      </c>
      <c r="I183" s="44">
        <v>3</v>
      </c>
      <c r="J183" s="44">
        <v>4</v>
      </c>
      <c r="K183" s="123">
        <v>100000</v>
      </c>
      <c r="L183" s="124">
        <f t="shared" si="29"/>
        <v>11</v>
      </c>
      <c r="M183" s="45">
        <f t="shared" si="21"/>
        <v>1100000</v>
      </c>
      <c r="N183" s="45">
        <f>M183</f>
        <v>1100000</v>
      </c>
      <c r="O183" s="45"/>
      <c r="P183" s="45" t="s">
        <v>2825</v>
      </c>
      <c r="Q183" s="45"/>
      <c r="R183" s="45"/>
      <c r="S183" s="45">
        <f t="shared" si="22"/>
        <v>0</v>
      </c>
      <c r="T183" s="44" t="s">
        <v>19</v>
      </c>
      <c r="U183" s="44" t="s">
        <v>20</v>
      </c>
      <c r="V183" s="43" t="s">
        <v>21</v>
      </c>
    </row>
    <row r="184" spans="1:22">
      <c r="A184" s="2">
        <v>175</v>
      </c>
      <c r="B184" s="119">
        <v>202510</v>
      </c>
      <c r="C184" s="44" t="s">
        <v>364</v>
      </c>
      <c r="D184" s="44" t="s">
        <v>365</v>
      </c>
      <c r="E184" s="44" t="s">
        <v>320</v>
      </c>
      <c r="F184" s="44">
        <v>0</v>
      </c>
      <c r="G184" s="44">
        <v>0</v>
      </c>
      <c r="H184" s="44">
        <v>0</v>
      </c>
      <c r="I184" s="44">
        <v>3</v>
      </c>
      <c r="J184" s="44">
        <v>4</v>
      </c>
      <c r="K184" s="123">
        <v>100000</v>
      </c>
      <c r="L184" s="124">
        <f t="shared" si="29"/>
        <v>7</v>
      </c>
      <c r="M184" s="45">
        <f t="shared" si="21"/>
        <v>700000</v>
      </c>
      <c r="N184" s="45">
        <f>M184</f>
        <v>700000</v>
      </c>
      <c r="O184" s="45"/>
      <c r="P184" s="45" t="s">
        <v>3054</v>
      </c>
      <c r="Q184" s="45"/>
      <c r="R184" s="45"/>
      <c r="S184" s="45">
        <f t="shared" si="22"/>
        <v>0</v>
      </c>
      <c r="T184" s="44" t="s">
        <v>19</v>
      </c>
      <c r="U184" s="44" t="s">
        <v>20</v>
      </c>
      <c r="V184" s="43" t="s">
        <v>21</v>
      </c>
    </row>
    <row r="185" spans="1:22">
      <c r="A185" s="2">
        <v>176</v>
      </c>
      <c r="B185" s="119">
        <v>202510</v>
      </c>
      <c r="C185" s="44" t="s">
        <v>366</v>
      </c>
      <c r="D185" s="44" t="s">
        <v>367</v>
      </c>
      <c r="E185" s="44" t="s">
        <v>320</v>
      </c>
      <c r="F185" s="44">
        <v>0</v>
      </c>
      <c r="G185" s="44">
        <v>0</v>
      </c>
      <c r="H185" s="44">
        <v>0</v>
      </c>
      <c r="I185" s="44">
        <v>0</v>
      </c>
      <c r="J185" s="44">
        <v>0</v>
      </c>
      <c r="K185" s="123">
        <v>100000</v>
      </c>
      <c r="L185" s="124">
        <v>0</v>
      </c>
      <c r="M185" s="45">
        <f t="shared" si="21"/>
        <v>0</v>
      </c>
      <c r="N185" s="45"/>
      <c r="O185" s="45"/>
      <c r="P185" s="45"/>
      <c r="Q185" s="45"/>
      <c r="R185" s="45"/>
      <c r="S185" s="45">
        <f t="shared" si="22"/>
        <v>0</v>
      </c>
      <c r="T185" s="44" t="s">
        <v>19</v>
      </c>
      <c r="U185" s="44" t="s">
        <v>20</v>
      </c>
      <c r="V185" s="43" t="s">
        <v>21</v>
      </c>
    </row>
    <row r="186" spans="1:22">
      <c r="A186" s="2">
        <v>178</v>
      </c>
      <c r="B186" s="119">
        <v>202510</v>
      </c>
      <c r="C186" s="44" t="s">
        <v>369</v>
      </c>
      <c r="D186" s="44" t="s">
        <v>370</v>
      </c>
      <c r="E186" s="44" t="s">
        <v>368</v>
      </c>
      <c r="F186" s="44">
        <v>0</v>
      </c>
      <c r="G186" s="44">
        <v>0</v>
      </c>
      <c r="H186" s="44">
        <v>0</v>
      </c>
      <c r="I186" s="44">
        <v>0</v>
      </c>
      <c r="J186" s="44">
        <v>0</v>
      </c>
      <c r="K186" s="123">
        <v>100000</v>
      </c>
      <c r="L186" s="124">
        <f t="shared" ref="L186:L249" si="30">SUM(F186:J186)</f>
        <v>0</v>
      </c>
      <c r="M186" s="45">
        <f t="shared" si="21"/>
        <v>0</v>
      </c>
      <c r="N186" s="45"/>
      <c r="O186" s="45"/>
      <c r="P186" s="45"/>
      <c r="Q186" s="45"/>
      <c r="R186" s="45"/>
      <c r="S186" s="45">
        <f t="shared" si="22"/>
        <v>0</v>
      </c>
      <c r="T186" s="44" t="s">
        <v>19</v>
      </c>
      <c r="U186" s="44" t="s">
        <v>20</v>
      </c>
      <c r="V186" s="43" t="s">
        <v>21</v>
      </c>
    </row>
    <row r="187" spans="1:22">
      <c r="A187" s="2">
        <v>179</v>
      </c>
      <c r="B187" s="119">
        <v>202510</v>
      </c>
      <c r="C187" s="44" t="s">
        <v>371</v>
      </c>
      <c r="D187" s="44" t="s">
        <v>372</v>
      </c>
      <c r="E187" s="44" t="s">
        <v>368</v>
      </c>
      <c r="F187" s="44">
        <v>7</v>
      </c>
      <c r="G187" s="44">
        <v>0</v>
      </c>
      <c r="H187" s="44">
        <v>0</v>
      </c>
      <c r="I187" s="44">
        <v>0</v>
      </c>
      <c r="J187" s="44">
        <v>4</v>
      </c>
      <c r="K187" s="123">
        <v>100000</v>
      </c>
      <c r="L187" s="124">
        <f t="shared" si="30"/>
        <v>11</v>
      </c>
      <c r="M187" s="45">
        <f t="shared" si="21"/>
        <v>1100000</v>
      </c>
      <c r="N187" s="45">
        <f>M187</f>
        <v>1100000</v>
      </c>
      <c r="O187" s="45"/>
      <c r="P187" s="45" t="s">
        <v>2737</v>
      </c>
      <c r="Q187" s="45"/>
      <c r="R187" s="45"/>
      <c r="S187" s="45">
        <f t="shared" si="22"/>
        <v>0</v>
      </c>
      <c r="T187" s="44" t="s">
        <v>19</v>
      </c>
      <c r="U187" s="44" t="s">
        <v>20</v>
      </c>
      <c r="V187" s="43" t="s">
        <v>21</v>
      </c>
    </row>
    <row r="188" spans="1:22">
      <c r="A188" s="2">
        <v>180</v>
      </c>
      <c r="B188" s="119">
        <v>202510</v>
      </c>
      <c r="C188" s="44" t="s">
        <v>373</v>
      </c>
      <c r="D188" s="44" t="s">
        <v>374</v>
      </c>
      <c r="E188" s="44" t="s">
        <v>368</v>
      </c>
      <c r="F188" s="44">
        <v>6</v>
      </c>
      <c r="G188" s="44">
        <v>0</v>
      </c>
      <c r="H188" s="44">
        <v>0</v>
      </c>
      <c r="I188" s="44">
        <v>0</v>
      </c>
      <c r="J188" s="44">
        <v>4</v>
      </c>
      <c r="K188" s="123">
        <v>100000</v>
      </c>
      <c r="L188" s="124">
        <f t="shared" si="30"/>
        <v>10</v>
      </c>
      <c r="M188" s="45">
        <f t="shared" si="21"/>
        <v>1000000</v>
      </c>
      <c r="N188" s="45">
        <f>M188</f>
        <v>1000000</v>
      </c>
      <c r="O188" s="45"/>
      <c r="P188" s="45" t="s">
        <v>2675</v>
      </c>
      <c r="Q188" s="45"/>
      <c r="R188" s="45"/>
      <c r="S188" s="45">
        <f t="shared" si="22"/>
        <v>0</v>
      </c>
      <c r="T188" s="44" t="s">
        <v>19</v>
      </c>
      <c r="U188" s="44" t="s">
        <v>20</v>
      </c>
      <c r="V188" s="43" t="s">
        <v>21</v>
      </c>
    </row>
    <row r="189" spans="1:22">
      <c r="A189" s="2">
        <v>181</v>
      </c>
      <c r="B189" s="119">
        <v>202510</v>
      </c>
      <c r="C189" s="44" t="s">
        <v>375</v>
      </c>
      <c r="D189" s="44" t="s">
        <v>376</v>
      </c>
      <c r="E189" s="44" t="s">
        <v>368</v>
      </c>
      <c r="F189" s="44">
        <v>7</v>
      </c>
      <c r="G189" s="44">
        <v>0</v>
      </c>
      <c r="H189" s="44">
        <v>0</v>
      </c>
      <c r="I189" s="44">
        <v>0</v>
      </c>
      <c r="J189" s="44">
        <v>4</v>
      </c>
      <c r="K189" s="123">
        <v>100000</v>
      </c>
      <c r="L189" s="124">
        <f t="shared" si="30"/>
        <v>11</v>
      </c>
      <c r="M189" s="45">
        <f t="shared" si="21"/>
        <v>1100000</v>
      </c>
      <c r="N189" s="45">
        <f>M189</f>
        <v>1100000</v>
      </c>
      <c r="O189" s="45"/>
      <c r="P189" s="45" t="s">
        <v>3050</v>
      </c>
      <c r="Q189" s="45"/>
      <c r="R189" s="45"/>
      <c r="S189" s="45">
        <f t="shared" si="22"/>
        <v>0</v>
      </c>
      <c r="T189" s="44" t="s">
        <v>19</v>
      </c>
      <c r="U189" s="44" t="s">
        <v>20</v>
      </c>
      <c r="V189" s="43" t="s">
        <v>21</v>
      </c>
    </row>
    <row r="190" spans="1:22">
      <c r="A190" s="2">
        <v>182</v>
      </c>
      <c r="B190" s="119">
        <v>202510</v>
      </c>
      <c r="C190" s="44" t="s">
        <v>377</v>
      </c>
      <c r="D190" s="44" t="s">
        <v>378</v>
      </c>
      <c r="E190" s="44" t="s">
        <v>368</v>
      </c>
      <c r="F190" s="44">
        <v>0</v>
      </c>
      <c r="G190" s="44">
        <v>0</v>
      </c>
      <c r="H190" s="44">
        <v>0</v>
      </c>
      <c r="I190" s="44">
        <v>0</v>
      </c>
      <c r="J190" s="44">
        <v>0</v>
      </c>
      <c r="K190" s="123">
        <v>100000</v>
      </c>
      <c r="L190" s="124">
        <f t="shared" si="30"/>
        <v>0</v>
      </c>
      <c r="M190" s="45">
        <f t="shared" si="21"/>
        <v>0</v>
      </c>
      <c r="N190" s="45"/>
      <c r="O190" s="45"/>
      <c r="P190" s="45"/>
      <c r="Q190" s="45"/>
      <c r="R190" s="45"/>
      <c r="S190" s="45">
        <f t="shared" si="22"/>
        <v>0</v>
      </c>
      <c r="T190" s="44" t="s">
        <v>19</v>
      </c>
      <c r="U190" s="44" t="s">
        <v>20</v>
      </c>
      <c r="V190" s="43" t="s">
        <v>21</v>
      </c>
    </row>
    <row r="191" spans="1:22">
      <c r="A191" s="2">
        <v>183</v>
      </c>
      <c r="B191" s="119">
        <v>202510</v>
      </c>
      <c r="C191" s="44" t="s">
        <v>379</v>
      </c>
      <c r="D191" s="44" t="s">
        <v>380</v>
      </c>
      <c r="E191" s="44" t="s">
        <v>368</v>
      </c>
      <c r="F191" s="44">
        <v>7</v>
      </c>
      <c r="G191" s="44">
        <v>0</v>
      </c>
      <c r="H191" s="44">
        <v>0</v>
      </c>
      <c r="I191" s="44">
        <v>0</v>
      </c>
      <c r="J191" s="44">
        <v>0</v>
      </c>
      <c r="K191" s="123">
        <v>100000</v>
      </c>
      <c r="L191" s="124">
        <f t="shared" si="30"/>
        <v>7</v>
      </c>
      <c r="M191" s="45">
        <f t="shared" si="21"/>
        <v>700000</v>
      </c>
      <c r="N191" s="45">
        <f t="shared" ref="N191:N198" si="31">M191</f>
        <v>700000</v>
      </c>
      <c r="O191" s="45"/>
      <c r="P191" s="45" t="s">
        <v>2704</v>
      </c>
      <c r="Q191" s="45"/>
      <c r="R191" s="45"/>
      <c r="S191" s="45">
        <f t="shared" si="22"/>
        <v>0</v>
      </c>
      <c r="T191" s="44" t="s">
        <v>19</v>
      </c>
      <c r="U191" s="44" t="s">
        <v>20</v>
      </c>
      <c r="V191" s="43" t="s">
        <v>21</v>
      </c>
    </row>
    <row r="192" spans="1:22">
      <c r="A192" s="2">
        <v>184</v>
      </c>
      <c r="B192" s="119">
        <v>202510</v>
      </c>
      <c r="C192" s="44" t="s">
        <v>381</v>
      </c>
      <c r="D192" s="44" t="s">
        <v>382</v>
      </c>
      <c r="E192" s="44" t="s">
        <v>368</v>
      </c>
      <c r="F192" s="44">
        <v>7</v>
      </c>
      <c r="G192" s="44">
        <v>0</v>
      </c>
      <c r="H192" s="44">
        <v>0</v>
      </c>
      <c r="I192" s="44">
        <v>0</v>
      </c>
      <c r="J192" s="44">
        <v>0</v>
      </c>
      <c r="K192" s="123">
        <v>100000</v>
      </c>
      <c r="L192" s="124">
        <f t="shared" si="30"/>
        <v>7</v>
      </c>
      <c r="M192" s="45">
        <f t="shared" si="21"/>
        <v>700000</v>
      </c>
      <c r="N192" s="45">
        <f t="shared" si="31"/>
        <v>700000</v>
      </c>
      <c r="O192" s="45"/>
      <c r="P192" s="45" t="s">
        <v>2060</v>
      </c>
      <c r="Q192" s="45"/>
      <c r="R192" s="45"/>
      <c r="S192" s="45">
        <f t="shared" si="22"/>
        <v>0</v>
      </c>
      <c r="T192" s="44" t="s">
        <v>19</v>
      </c>
      <c r="U192" s="44" t="s">
        <v>20</v>
      </c>
      <c r="V192" s="43" t="s">
        <v>21</v>
      </c>
    </row>
    <row r="193" spans="1:22">
      <c r="A193" s="2">
        <v>185</v>
      </c>
      <c r="B193" s="119">
        <v>202510</v>
      </c>
      <c r="C193" s="44" t="s">
        <v>383</v>
      </c>
      <c r="D193" s="44" t="s">
        <v>384</v>
      </c>
      <c r="E193" s="44" t="s">
        <v>368</v>
      </c>
      <c r="F193" s="44">
        <v>7</v>
      </c>
      <c r="G193" s="44">
        <v>0</v>
      </c>
      <c r="H193" s="44">
        <v>0</v>
      </c>
      <c r="I193" s="44">
        <v>0</v>
      </c>
      <c r="J193" s="44">
        <v>0</v>
      </c>
      <c r="K193" s="123">
        <v>100000</v>
      </c>
      <c r="L193" s="124">
        <f t="shared" si="30"/>
        <v>7</v>
      </c>
      <c r="M193" s="45">
        <f t="shared" ref="M193:M256" si="32">L193*K193</f>
        <v>700000</v>
      </c>
      <c r="N193" s="45">
        <f t="shared" si="31"/>
        <v>700000</v>
      </c>
      <c r="O193" s="45"/>
      <c r="P193" s="45" t="s">
        <v>2099</v>
      </c>
      <c r="Q193" s="45"/>
      <c r="R193" s="45"/>
      <c r="S193" s="45">
        <f t="shared" ref="S193:S254" si="33">M193-N193</f>
        <v>0</v>
      </c>
      <c r="T193" s="44" t="s">
        <v>19</v>
      </c>
      <c r="U193" s="44" t="s">
        <v>20</v>
      </c>
      <c r="V193" s="43" t="s">
        <v>21</v>
      </c>
    </row>
    <row r="194" spans="1:22">
      <c r="A194" s="2">
        <v>186</v>
      </c>
      <c r="B194" s="119">
        <v>202510</v>
      </c>
      <c r="C194" s="44" t="s">
        <v>385</v>
      </c>
      <c r="D194" s="44" t="s">
        <v>386</v>
      </c>
      <c r="E194" s="44" t="s">
        <v>368</v>
      </c>
      <c r="F194" s="44">
        <v>7</v>
      </c>
      <c r="G194" s="44">
        <v>0</v>
      </c>
      <c r="H194" s="44">
        <v>0</v>
      </c>
      <c r="I194" s="44">
        <v>0</v>
      </c>
      <c r="J194" s="44">
        <v>0</v>
      </c>
      <c r="K194" s="123">
        <v>100000</v>
      </c>
      <c r="L194" s="124">
        <f t="shared" si="30"/>
        <v>7</v>
      </c>
      <c r="M194" s="45">
        <f t="shared" si="32"/>
        <v>700000</v>
      </c>
      <c r="N194" s="45">
        <f t="shared" si="31"/>
        <v>700000</v>
      </c>
      <c r="O194" s="45"/>
      <c r="P194" s="45" t="s">
        <v>2701</v>
      </c>
      <c r="Q194" s="45"/>
      <c r="R194" s="45"/>
      <c r="S194" s="45">
        <f t="shared" si="33"/>
        <v>0</v>
      </c>
      <c r="T194" s="44" t="s">
        <v>19</v>
      </c>
      <c r="U194" s="44" t="s">
        <v>20</v>
      </c>
      <c r="V194" s="43" t="s">
        <v>21</v>
      </c>
    </row>
    <row r="195" spans="1:22">
      <c r="A195" s="2">
        <v>187</v>
      </c>
      <c r="B195" s="119">
        <v>202510</v>
      </c>
      <c r="C195" s="44" t="s">
        <v>387</v>
      </c>
      <c r="D195" s="44" t="s">
        <v>388</v>
      </c>
      <c r="E195" s="44" t="s">
        <v>368</v>
      </c>
      <c r="F195" s="44">
        <v>7</v>
      </c>
      <c r="G195" s="44">
        <v>0</v>
      </c>
      <c r="H195" s="44">
        <v>0</v>
      </c>
      <c r="I195" s="44">
        <v>0</v>
      </c>
      <c r="J195" s="44">
        <v>4</v>
      </c>
      <c r="K195" s="123">
        <v>100000</v>
      </c>
      <c r="L195" s="124">
        <f t="shared" si="30"/>
        <v>11</v>
      </c>
      <c r="M195" s="45">
        <f t="shared" si="32"/>
        <v>1100000</v>
      </c>
      <c r="N195" s="45">
        <f t="shared" si="31"/>
        <v>1100000</v>
      </c>
      <c r="O195" s="45"/>
      <c r="P195" s="45" t="s">
        <v>2699</v>
      </c>
      <c r="Q195" s="45"/>
      <c r="R195" s="45"/>
      <c r="S195" s="45">
        <f t="shared" si="33"/>
        <v>0</v>
      </c>
      <c r="T195" s="44" t="s">
        <v>19</v>
      </c>
      <c r="U195" s="44" t="s">
        <v>20</v>
      </c>
      <c r="V195" s="43" t="s">
        <v>21</v>
      </c>
    </row>
    <row r="196" spans="1:22">
      <c r="A196" s="2">
        <v>188</v>
      </c>
      <c r="B196" s="119">
        <v>202510</v>
      </c>
      <c r="C196" s="44" t="s">
        <v>389</v>
      </c>
      <c r="D196" s="44" t="s">
        <v>390</v>
      </c>
      <c r="E196" s="44" t="s">
        <v>368</v>
      </c>
      <c r="F196" s="44">
        <v>3</v>
      </c>
      <c r="G196" s="44">
        <v>0</v>
      </c>
      <c r="H196" s="44">
        <v>0</v>
      </c>
      <c r="I196" s="44">
        <v>0</v>
      </c>
      <c r="J196" s="44">
        <v>0</v>
      </c>
      <c r="K196" s="123">
        <v>100000</v>
      </c>
      <c r="L196" s="124">
        <f t="shared" si="30"/>
        <v>3</v>
      </c>
      <c r="M196" s="45">
        <f t="shared" si="32"/>
        <v>300000</v>
      </c>
      <c r="N196" s="45">
        <f t="shared" si="31"/>
        <v>300000</v>
      </c>
      <c r="O196" s="45"/>
      <c r="P196" s="45" t="s">
        <v>2731</v>
      </c>
      <c r="Q196" s="45"/>
      <c r="R196" s="45"/>
      <c r="S196" s="45">
        <f t="shared" si="33"/>
        <v>0</v>
      </c>
      <c r="T196" s="44" t="s">
        <v>19</v>
      </c>
      <c r="U196" s="44" t="s">
        <v>20</v>
      </c>
      <c r="V196" s="43" t="s">
        <v>21</v>
      </c>
    </row>
    <row r="197" spans="1:22" ht="26.4">
      <c r="A197" s="2">
        <v>189</v>
      </c>
      <c r="B197" s="119">
        <v>202510</v>
      </c>
      <c r="C197" s="44" t="s">
        <v>391</v>
      </c>
      <c r="D197" s="44" t="s">
        <v>392</v>
      </c>
      <c r="E197" s="44" t="s">
        <v>368</v>
      </c>
      <c r="F197" s="44">
        <v>6</v>
      </c>
      <c r="G197" s="44">
        <v>0</v>
      </c>
      <c r="H197" s="44">
        <v>0</v>
      </c>
      <c r="I197" s="44">
        <v>0</v>
      </c>
      <c r="J197" s="44">
        <v>4</v>
      </c>
      <c r="K197" s="123">
        <v>100000</v>
      </c>
      <c r="L197" s="124">
        <f t="shared" si="30"/>
        <v>10</v>
      </c>
      <c r="M197" s="45">
        <f t="shared" si="32"/>
        <v>1000000</v>
      </c>
      <c r="N197" s="45">
        <f t="shared" si="31"/>
        <v>1000000</v>
      </c>
      <c r="O197" s="45"/>
      <c r="P197" s="61" t="s">
        <v>6778</v>
      </c>
      <c r="Q197" s="45"/>
      <c r="R197" s="45"/>
      <c r="S197" s="45">
        <f t="shared" si="33"/>
        <v>0</v>
      </c>
      <c r="T197" s="44" t="s">
        <v>19</v>
      </c>
      <c r="U197" s="44" t="s">
        <v>20</v>
      </c>
      <c r="V197" s="43" t="s">
        <v>21</v>
      </c>
    </row>
    <row r="198" spans="1:22">
      <c r="A198" s="2">
        <v>190</v>
      </c>
      <c r="B198" s="119">
        <v>202510</v>
      </c>
      <c r="C198" s="44" t="s">
        <v>393</v>
      </c>
      <c r="D198" s="44" t="s">
        <v>394</v>
      </c>
      <c r="E198" s="44" t="s">
        <v>368</v>
      </c>
      <c r="F198" s="44">
        <v>7</v>
      </c>
      <c r="G198" s="44">
        <v>0</v>
      </c>
      <c r="H198" s="44">
        <v>0</v>
      </c>
      <c r="I198" s="44">
        <v>0</v>
      </c>
      <c r="J198" s="44">
        <v>0</v>
      </c>
      <c r="K198" s="123">
        <v>100000</v>
      </c>
      <c r="L198" s="124">
        <f t="shared" si="30"/>
        <v>7</v>
      </c>
      <c r="M198" s="45">
        <f t="shared" si="32"/>
        <v>700000</v>
      </c>
      <c r="N198" s="45">
        <f t="shared" si="31"/>
        <v>700000</v>
      </c>
      <c r="O198" s="45"/>
      <c r="P198" s="45" t="s">
        <v>3112</v>
      </c>
      <c r="Q198" s="45"/>
      <c r="R198" s="45"/>
      <c r="S198" s="45">
        <f t="shared" si="33"/>
        <v>0</v>
      </c>
      <c r="T198" s="44" t="s">
        <v>19</v>
      </c>
      <c r="U198" s="44" t="s">
        <v>20</v>
      </c>
      <c r="V198" s="43" t="s">
        <v>21</v>
      </c>
    </row>
    <row r="199" spans="1:22">
      <c r="A199" s="2">
        <v>192</v>
      </c>
      <c r="B199" s="119">
        <v>202510</v>
      </c>
      <c r="C199" s="44" t="s">
        <v>395</v>
      </c>
      <c r="D199" s="44" t="s">
        <v>396</v>
      </c>
      <c r="E199" s="44" t="s">
        <v>368</v>
      </c>
      <c r="F199" s="44">
        <v>7</v>
      </c>
      <c r="G199" s="44">
        <v>0</v>
      </c>
      <c r="H199" s="44">
        <v>0</v>
      </c>
      <c r="I199" s="44">
        <v>0</v>
      </c>
      <c r="J199" s="44">
        <v>4</v>
      </c>
      <c r="K199" s="123">
        <v>100000</v>
      </c>
      <c r="L199" s="124">
        <f t="shared" si="30"/>
        <v>11</v>
      </c>
      <c r="M199" s="45">
        <f t="shared" si="32"/>
        <v>1100000</v>
      </c>
      <c r="N199" s="45">
        <f>M199</f>
        <v>1100000</v>
      </c>
      <c r="O199" s="45"/>
      <c r="P199" s="45" t="s">
        <v>2681</v>
      </c>
      <c r="Q199" s="45"/>
      <c r="R199" s="45"/>
      <c r="S199" s="45">
        <f t="shared" si="33"/>
        <v>0</v>
      </c>
      <c r="T199" s="44" t="s">
        <v>19</v>
      </c>
      <c r="U199" s="44" t="s">
        <v>20</v>
      </c>
      <c r="V199" s="43" t="s">
        <v>21</v>
      </c>
    </row>
    <row r="200" spans="1:22">
      <c r="A200" s="2">
        <v>193</v>
      </c>
      <c r="B200" s="119">
        <v>202510</v>
      </c>
      <c r="C200" s="44" t="s">
        <v>397</v>
      </c>
      <c r="D200" s="44" t="s">
        <v>398</v>
      </c>
      <c r="E200" s="44" t="s">
        <v>368</v>
      </c>
      <c r="F200" s="44">
        <v>7</v>
      </c>
      <c r="G200" s="44">
        <v>0</v>
      </c>
      <c r="H200" s="44">
        <v>0</v>
      </c>
      <c r="I200" s="44">
        <v>0</v>
      </c>
      <c r="J200" s="44">
        <v>4</v>
      </c>
      <c r="K200" s="123">
        <v>100000</v>
      </c>
      <c r="L200" s="124">
        <f t="shared" si="30"/>
        <v>11</v>
      </c>
      <c r="M200" s="45">
        <f t="shared" si="32"/>
        <v>1100000</v>
      </c>
      <c r="N200" s="45">
        <f>M200</f>
        <v>1100000</v>
      </c>
      <c r="O200" s="45"/>
      <c r="P200" s="45" t="s">
        <v>6083</v>
      </c>
      <c r="Q200" s="45"/>
      <c r="R200" s="45"/>
      <c r="S200" s="45">
        <f t="shared" si="33"/>
        <v>0</v>
      </c>
      <c r="T200" s="44" t="s">
        <v>19</v>
      </c>
      <c r="U200" s="44" t="s">
        <v>20</v>
      </c>
      <c r="V200" s="43" t="s">
        <v>21</v>
      </c>
    </row>
    <row r="201" spans="1:22">
      <c r="A201" s="2">
        <v>194</v>
      </c>
      <c r="B201" s="119">
        <v>202510</v>
      </c>
      <c r="C201" s="44" t="s">
        <v>399</v>
      </c>
      <c r="D201" s="44" t="s">
        <v>400</v>
      </c>
      <c r="E201" s="44" t="s">
        <v>368</v>
      </c>
      <c r="F201" s="44">
        <v>0</v>
      </c>
      <c r="G201" s="44">
        <v>0</v>
      </c>
      <c r="H201" s="44">
        <v>0</v>
      </c>
      <c r="I201" s="44">
        <v>0</v>
      </c>
      <c r="J201" s="44">
        <v>0</v>
      </c>
      <c r="K201" s="123">
        <v>100000</v>
      </c>
      <c r="L201" s="124">
        <f t="shared" si="30"/>
        <v>0</v>
      </c>
      <c r="M201" s="45">
        <f t="shared" si="32"/>
        <v>0</v>
      </c>
      <c r="N201" s="45"/>
      <c r="O201" s="45"/>
      <c r="P201" s="45"/>
      <c r="Q201" s="45"/>
      <c r="R201" s="45"/>
      <c r="S201" s="45">
        <f t="shared" si="33"/>
        <v>0</v>
      </c>
      <c r="T201" s="44" t="s">
        <v>19</v>
      </c>
      <c r="U201" s="44" t="s">
        <v>20</v>
      </c>
      <c r="V201" s="43" t="s">
        <v>21</v>
      </c>
    </row>
    <row r="202" spans="1:22">
      <c r="A202" s="2">
        <v>195</v>
      </c>
      <c r="B202" s="119">
        <v>202510</v>
      </c>
      <c r="C202" s="44" t="s">
        <v>401</v>
      </c>
      <c r="D202" s="44" t="s">
        <v>402</v>
      </c>
      <c r="E202" s="44" t="s">
        <v>368</v>
      </c>
      <c r="F202" s="44">
        <v>7</v>
      </c>
      <c r="G202" s="44">
        <v>0</v>
      </c>
      <c r="H202" s="44">
        <v>0</v>
      </c>
      <c r="I202" s="44">
        <v>0</v>
      </c>
      <c r="J202" s="44">
        <v>4</v>
      </c>
      <c r="K202" s="123">
        <v>100000</v>
      </c>
      <c r="L202" s="124">
        <f t="shared" si="30"/>
        <v>11</v>
      </c>
      <c r="M202" s="45">
        <f t="shared" si="32"/>
        <v>1100000</v>
      </c>
      <c r="N202" s="45">
        <f>M202</f>
        <v>1100000</v>
      </c>
      <c r="O202" s="45"/>
      <c r="P202" s="45" t="s">
        <v>2814</v>
      </c>
      <c r="Q202" s="45"/>
      <c r="R202" s="45"/>
      <c r="S202" s="45">
        <f t="shared" si="33"/>
        <v>0</v>
      </c>
      <c r="T202" s="44" t="s">
        <v>19</v>
      </c>
      <c r="U202" s="44" t="s">
        <v>20</v>
      </c>
      <c r="V202" s="43" t="s">
        <v>21</v>
      </c>
    </row>
    <row r="203" spans="1:22" ht="12.6" customHeight="1">
      <c r="A203" s="2">
        <v>196</v>
      </c>
      <c r="B203" s="119">
        <v>202510</v>
      </c>
      <c r="C203" s="44" t="s">
        <v>403</v>
      </c>
      <c r="D203" s="44" t="s">
        <v>404</v>
      </c>
      <c r="E203" s="44" t="s">
        <v>368</v>
      </c>
      <c r="F203" s="44">
        <v>7</v>
      </c>
      <c r="G203" s="44">
        <v>0</v>
      </c>
      <c r="H203" s="44">
        <v>0</v>
      </c>
      <c r="I203" s="44">
        <v>0</v>
      </c>
      <c r="J203" s="44">
        <v>4</v>
      </c>
      <c r="K203" s="123">
        <v>100000</v>
      </c>
      <c r="L203" s="124">
        <f t="shared" si="30"/>
        <v>11</v>
      </c>
      <c r="M203" s="45">
        <f t="shared" si="32"/>
        <v>1100000</v>
      </c>
      <c r="N203" s="45">
        <f>M203</f>
        <v>1100000</v>
      </c>
      <c r="O203" s="45"/>
      <c r="P203" s="61" t="s">
        <v>2680</v>
      </c>
      <c r="Q203" s="45"/>
      <c r="R203" s="45"/>
      <c r="S203" s="45">
        <f t="shared" si="33"/>
        <v>0</v>
      </c>
      <c r="T203" s="44" t="s">
        <v>19</v>
      </c>
      <c r="U203" s="44" t="s">
        <v>20</v>
      </c>
      <c r="V203" s="43" t="s">
        <v>21</v>
      </c>
    </row>
    <row r="204" spans="1:22">
      <c r="A204" s="2">
        <v>197</v>
      </c>
      <c r="B204" s="129">
        <v>202510</v>
      </c>
      <c r="C204" s="64" t="s">
        <v>405</v>
      </c>
      <c r="D204" s="64" t="s">
        <v>406</v>
      </c>
      <c r="E204" s="64" t="s">
        <v>368</v>
      </c>
      <c r="F204" s="64">
        <v>6</v>
      </c>
      <c r="G204" s="64">
        <v>0</v>
      </c>
      <c r="H204" s="64">
        <v>0</v>
      </c>
      <c r="I204" s="64">
        <v>0</v>
      </c>
      <c r="J204" s="64">
        <v>3</v>
      </c>
      <c r="K204" s="126">
        <v>100000</v>
      </c>
      <c r="L204" s="134">
        <f t="shared" si="30"/>
        <v>9</v>
      </c>
      <c r="M204" s="62">
        <f t="shared" si="32"/>
        <v>900000</v>
      </c>
      <c r="N204" s="62">
        <v>900000</v>
      </c>
      <c r="O204" s="45"/>
      <c r="P204" s="62" t="s">
        <v>2717</v>
      </c>
      <c r="Q204" s="45"/>
      <c r="R204" s="45"/>
      <c r="S204" s="170">
        <f t="shared" si="33"/>
        <v>0</v>
      </c>
      <c r="T204" s="44" t="s">
        <v>19</v>
      </c>
      <c r="U204" s="44" t="s">
        <v>20</v>
      </c>
      <c r="V204" s="43" t="s">
        <v>21</v>
      </c>
    </row>
    <row r="205" spans="1:22">
      <c r="A205" s="2">
        <v>198</v>
      </c>
      <c r="B205" s="119">
        <v>202510</v>
      </c>
      <c r="C205" s="44" t="s">
        <v>407</v>
      </c>
      <c r="D205" s="44" t="s">
        <v>408</v>
      </c>
      <c r="E205" s="44" t="s">
        <v>368</v>
      </c>
      <c r="F205" s="44">
        <v>7</v>
      </c>
      <c r="G205" s="44">
        <v>0</v>
      </c>
      <c r="H205" s="44">
        <v>0</v>
      </c>
      <c r="I205" s="44">
        <v>0</v>
      </c>
      <c r="J205" s="44">
        <v>4</v>
      </c>
      <c r="K205" s="123">
        <v>100000</v>
      </c>
      <c r="L205" s="124">
        <f t="shared" si="30"/>
        <v>11</v>
      </c>
      <c r="M205" s="45">
        <f t="shared" si="32"/>
        <v>1100000</v>
      </c>
      <c r="N205" s="45">
        <f t="shared" ref="N205:N210" si="34">M205</f>
        <v>1100000</v>
      </c>
      <c r="O205" s="45"/>
      <c r="P205" s="45" t="s">
        <v>2673</v>
      </c>
      <c r="Q205" s="45"/>
      <c r="R205" s="45"/>
      <c r="S205" s="45">
        <f t="shared" si="33"/>
        <v>0</v>
      </c>
      <c r="T205" s="44" t="s">
        <v>19</v>
      </c>
      <c r="U205" s="44" t="s">
        <v>20</v>
      </c>
      <c r="V205" s="43" t="s">
        <v>21</v>
      </c>
    </row>
    <row r="206" spans="1:22">
      <c r="A206" s="2">
        <v>199</v>
      </c>
      <c r="B206" s="119">
        <v>202510</v>
      </c>
      <c r="C206" s="44" t="s">
        <v>409</v>
      </c>
      <c r="D206" s="44" t="s">
        <v>410</v>
      </c>
      <c r="E206" s="44" t="s">
        <v>411</v>
      </c>
      <c r="F206" s="44">
        <v>6</v>
      </c>
      <c r="G206" s="44">
        <v>0</v>
      </c>
      <c r="H206" s="44">
        <v>0</v>
      </c>
      <c r="I206" s="44">
        <v>0</v>
      </c>
      <c r="J206" s="44">
        <v>8</v>
      </c>
      <c r="K206" s="123">
        <v>100000</v>
      </c>
      <c r="L206" s="124">
        <f t="shared" si="30"/>
        <v>14</v>
      </c>
      <c r="M206" s="45">
        <f t="shared" si="32"/>
        <v>1400000</v>
      </c>
      <c r="N206" s="45">
        <f t="shared" si="34"/>
        <v>1400000</v>
      </c>
      <c r="O206" s="45"/>
      <c r="P206" s="45" t="s">
        <v>6646</v>
      </c>
      <c r="Q206" s="45"/>
      <c r="R206" s="45"/>
      <c r="S206" s="45">
        <f t="shared" si="33"/>
        <v>0</v>
      </c>
      <c r="T206" s="44" t="s">
        <v>19</v>
      </c>
      <c r="U206" s="44" t="s">
        <v>20</v>
      </c>
      <c r="V206" s="43" t="s">
        <v>21</v>
      </c>
    </row>
    <row r="207" spans="1:22">
      <c r="A207" s="2">
        <v>200</v>
      </c>
      <c r="B207" s="119">
        <v>202510</v>
      </c>
      <c r="C207" s="44" t="s">
        <v>412</v>
      </c>
      <c r="D207" s="44" t="s">
        <v>413</v>
      </c>
      <c r="E207" s="44" t="s">
        <v>411</v>
      </c>
      <c r="F207" s="44">
        <v>0</v>
      </c>
      <c r="G207" s="44">
        <v>0</v>
      </c>
      <c r="H207" s="44">
        <v>0</v>
      </c>
      <c r="I207" s="44">
        <v>0</v>
      </c>
      <c r="J207" s="44">
        <v>6</v>
      </c>
      <c r="K207" s="123">
        <v>100000</v>
      </c>
      <c r="L207" s="124">
        <f t="shared" si="30"/>
        <v>6</v>
      </c>
      <c r="M207" s="45">
        <f t="shared" si="32"/>
        <v>600000</v>
      </c>
      <c r="N207" s="45">
        <f t="shared" si="34"/>
        <v>600000</v>
      </c>
      <c r="O207" s="45"/>
      <c r="P207" s="45" t="s">
        <v>2102</v>
      </c>
      <c r="Q207" s="45"/>
      <c r="R207" s="45"/>
      <c r="S207" s="45">
        <f t="shared" si="33"/>
        <v>0</v>
      </c>
      <c r="T207" s="44" t="s">
        <v>19</v>
      </c>
      <c r="U207" s="44" t="s">
        <v>20</v>
      </c>
      <c r="V207" s="43" t="s">
        <v>21</v>
      </c>
    </row>
    <row r="208" spans="1:22">
      <c r="A208" s="2">
        <v>201</v>
      </c>
      <c r="B208" s="119">
        <v>202510</v>
      </c>
      <c r="C208" s="44" t="s">
        <v>414</v>
      </c>
      <c r="D208" s="44" t="s">
        <v>415</v>
      </c>
      <c r="E208" s="44" t="s">
        <v>411</v>
      </c>
      <c r="F208" s="44">
        <v>6</v>
      </c>
      <c r="G208" s="44">
        <v>0</v>
      </c>
      <c r="H208" s="44">
        <v>0</v>
      </c>
      <c r="I208" s="44">
        <v>0</v>
      </c>
      <c r="J208" s="44">
        <v>6</v>
      </c>
      <c r="K208" s="123">
        <v>100000</v>
      </c>
      <c r="L208" s="124">
        <f t="shared" si="30"/>
        <v>12</v>
      </c>
      <c r="M208" s="45">
        <f t="shared" si="32"/>
        <v>1200000</v>
      </c>
      <c r="N208" s="45">
        <f t="shared" si="34"/>
        <v>1200000</v>
      </c>
      <c r="O208" s="45"/>
      <c r="P208" s="45" t="s">
        <v>6373</v>
      </c>
      <c r="Q208" s="45"/>
      <c r="R208" s="45"/>
      <c r="S208" s="45">
        <f t="shared" si="33"/>
        <v>0</v>
      </c>
      <c r="T208" s="44" t="s">
        <v>19</v>
      </c>
      <c r="U208" s="44" t="s">
        <v>20</v>
      </c>
      <c r="V208" s="43" t="s">
        <v>21</v>
      </c>
    </row>
    <row r="209" spans="1:22">
      <c r="A209" s="2">
        <v>202</v>
      </c>
      <c r="B209" s="119">
        <v>202510</v>
      </c>
      <c r="C209" s="44" t="s">
        <v>416</v>
      </c>
      <c r="D209" s="44" t="s">
        <v>417</v>
      </c>
      <c r="E209" s="44" t="s">
        <v>411</v>
      </c>
      <c r="F209" s="44">
        <v>6</v>
      </c>
      <c r="G209" s="44">
        <v>0</v>
      </c>
      <c r="H209" s="44">
        <v>0</v>
      </c>
      <c r="I209" s="44">
        <v>0</v>
      </c>
      <c r="J209" s="44">
        <v>0</v>
      </c>
      <c r="K209" s="123">
        <v>100000</v>
      </c>
      <c r="L209" s="124">
        <f t="shared" si="30"/>
        <v>6</v>
      </c>
      <c r="M209" s="45">
        <f t="shared" si="32"/>
        <v>600000</v>
      </c>
      <c r="N209" s="45">
        <f t="shared" si="34"/>
        <v>600000</v>
      </c>
      <c r="O209" s="45"/>
      <c r="P209" s="45" t="s">
        <v>2108</v>
      </c>
      <c r="Q209" s="45"/>
      <c r="R209" s="45"/>
      <c r="S209" s="45">
        <f t="shared" si="33"/>
        <v>0</v>
      </c>
      <c r="T209" s="44" t="s">
        <v>19</v>
      </c>
      <c r="U209" s="44" t="s">
        <v>20</v>
      </c>
      <c r="V209" s="43" t="s">
        <v>21</v>
      </c>
    </row>
    <row r="210" spans="1:22">
      <c r="A210" s="2">
        <v>203</v>
      </c>
      <c r="B210" s="119">
        <v>202510</v>
      </c>
      <c r="C210" s="44" t="s">
        <v>418</v>
      </c>
      <c r="D210" s="44" t="s">
        <v>419</v>
      </c>
      <c r="E210" s="44" t="s">
        <v>411</v>
      </c>
      <c r="F210" s="44">
        <v>6</v>
      </c>
      <c r="G210" s="44">
        <v>0</v>
      </c>
      <c r="H210" s="44">
        <v>0</v>
      </c>
      <c r="I210" s="44">
        <v>0</v>
      </c>
      <c r="J210" s="44">
        <v>0</v>
      </c>
      <c r="K210" s="123">
        <v>100000</v>
      </c>
      <c r="L210" s="124">
        <f t="shared" si="30"/>
        <v>6</v>
      </c>
      <c r="M210" s="45">
        <f t="shared" si="32"/>
        <v>600000</v>
      </c>
      <c r="N210" s="45">
        <f t="shared" si="34"/>
        <v>600000</v>
      </c>
      <c r="O210" s="45"/>
      <c r="P210" s="45" t="s">
        <v>2083</v>
      </c>
      <c r="Q210" s="45"/>
      <c r="R210" s="45"/>
      <c r="S210" s="45">
        <f t="shared" si="33"/>
        <v>0</v>
      </c>
      <c r="T210" s="44" t="s">
        <v>19</v>
      </c>
      <c r="U210" s="44" t="s">
        <v>20</v>
      </c>
      <c r="V210" s="43" t="s">
        <v>21</v>
      </c>
    </row>
    <row r="211" spans="1:22">
      <c r="A211" s="2">
        <v>204</v>
      </c>
      <c r="B211" s="119">
        <v>202510</v>
      </c>
      <c r="C211" s="44" t="s">
        <v>420</v>
      </c>
      <c r="D211" s="44" t="s">
        <v>421</v>
      </c>
      <c r="E211" s="44" t="s">
        <v>411</v>
      </c>
      <c r="F211" s="44">
        <v>6</v>
      </c>
      <c r="G211" s="44">
        <v>0</v>
      </c>
      <c r="H211" s="44">
        <v>0</v>
      </c>
      <c r="I211" s="44">
        <v>0</v>
      </c>
      <c r="J211" s="44">
        <v>0</v>
      </c>
      <c r="K211" s="123">
        <v>100000</v>
      </c>
      <c r="L211" s="124">
        <f t="shared" si="30"/>
        <v>6</v>
      </c>
      <c r="M211" s="45">
        <f t="shared" si="32"/>
        <v>600000</v>
      </c>
      <c r="N211" s="45">
        <f t="shared" ref="N211:N218" si="35">M211</f>
        <v>600000</v>
      </c>
      <c r="O211" s="45"/>
      <c r="P211" s="45" t="s">
        <v>6738</v>
      </c>
      <c r="Q211" s="45"/>
      <c r="R211" s="45"/>
      <c r="S211" s="45">
        <f t="shared" si="33"/>
        <v>0</v>
      </c>
      <c r="T211" s="44" t="s">
        <v>19</v>
      </c>
      <c r="U211" s="44" t="s">
        <v>20</v>
      </c>
      <c r="V211" s="43" t="s">
        <v>21</v>
      </c>
    </row>
    <row r="212" spans="1:22">
      <c r="A212" s="2">
        <v>205</v>
      </c>
      <c r="B212" s="119">
        <v>202510</v>
      </c>
      <c r="C212" s="44" t="s">
        <v>422</v>
      </c>
      <c r="D212" s="44" t="s">
        <v>423</v>
      </c>
      <c r="E212" s="44" t="s">
        <v>411</v>
      </c>
      <c r="F212" s="44">
        <v>6</v>
      </c>
      <c r="G212" s="44">
        <v>0</v>
      </c>
      <c r="H212" s="44">
        <v>0</v>
      </c>
      <c r="I212" s="44">
        <v>0</v>
      </c>
      <c r="J212" s="44">
        <v>8</v>
      </c>
      <c r="K212" s="123">
        <v>100000</v>
      </c>
      <c r="L212" s="124">
        <f t="shared" si="30"/>
        <v>14</v>
      </c>
      <c r="M212" s="45">
        <f t="shared" si="32"/>
        <v>1400000</v>
      </c>
      <c r="N212" s="45">
        <f t="shared" si="35"/>
        <v>1400000</v>
      </c>
      <c r="O212" s="45"/>
      <c r="P212" s="45" t="s">
        <v>6640</v>
      </c>
      <c r="Q212" s="45"/>
      <c r="R212" s="45"/>
      <c r="S212" s="45">
        <f t="shared" si="33"/>
        <v>0</v>
      </c>
      <c r="T212" s="44" t="s">
        <v>19</v>
      </c>
      <c r="U212" s="44" t="s">
        <v>20</v>
      </c>
      <c r="V212" s="43" t="s">
        <v>21</v>
      </c>
    </row>
    <row r="213" spans="1:22">
      <c r="A213" s="2">
        <v>206</v>
      </c>
      <c r="B213" s="119">
        <v>202510</v>
      </c>
      <c r="C213" s="44" t="s">
        <v>424</v>
      </c>
      <c r="D213" s="44" t="s">
        <v>425</v>
      </c>
      <c r="E213" s="44" t="s">
        <v>411</v>
      </c>
      <c r="F213" s="44">
        <v>6</v>
      </c>
      <c r="G213" s="44">
        <v>0</v>
      </c>
      <c r="H213" s="44">
        <v>0</v>
      </c>
      <c r="I213" s="44">
        <v>0</v>
      </c>
      <c r="J213" s="44">
        <v>8</v>
      </c>
      <c r="K213" s="123">
        <v>100000</v>
      </c>
      <c r="L213" s="124">
        <f t="shared" si="30"/>
        <v>14</v>
      </c>
      <c r="M213" s="45">
        <f t="shared" si="32"/>
        <v>1400000</v>
      </c>
      <c r="N213" s="45">
        <f t="shared" si="35"/>
        <v>1400000</v>
      </c>
      <c r="O213" s="45"/>
      <c r="P213" s="45" t="s">
        <v>2115</v>
      </c>
      <c r="Q213" s="45"/>
      <c r="R213" s="45"/>
      <c r="S213" s="45">
        <f t="shared" si="33"/>
        <v>0</v>
      </c>
      <c r="T213" s="44" t="s">
        <v>19</v>
      </c>
      <c r="U213" s="44" t="s">
        <v>20</v>
      </c>
      <c r="V213" s="43" t="s">
        <v>21</v>
      </c>
    </row>
    <row r="214" spans="1:22">
      <c r="A214" s="2">
        <v>207</v>
      </c>
      <c r="B214" s="119">
        <v>202510</v>
      </c>
      <c r="C214" s="44" t="s">
        <v>426</v>
      </c>
      <c r="D214" s="44" t="s">
        <v>427</v>
      </c>
      <c r="E214" s="44" t="s">
        <v>411</v>
      </c>
      <c r="F214" s="44">
        <v>0</v>
      </c>
      <c r="G214" s="44">
        <v>0</v>
      </c>
      <c r="H214" s="44">
        <v>0</v>
      </c>
      <c r="I214" s="44">
        <v>0</v>
      </c>
      <c r="J214" s="44">
        <v>8</v>
      </c>
      <c r="K214" s="123">
        <v>100000</v>
      </c>
      <c r="L214" s="124">
        <f t="shared" si="30"/>
        <v>8</v>
      </c>
      <c r="M214" s="45">
        <f t="shared" si="32"/>
        <v>800000</v>
      </c>
      <c r="N214" s="45">
        <f t="shared" si="35"/>
        <v>800000</v>
      </c>
      <c r="O214" s="45"/>
      <c r="P214" s="45" t="s">
        <v>7177</v>
      </c>
      <c r="Q214" s="45"/>
      <c r="R214" s="45"/>
      <c r="S214" s="45">
        <f t="shared" si="33"/>
        <v>0</v>
      </c>
      <c r="T214" s="44" t="s">
        <v>19</v>
      </c>
      <c r="U214" s="44" t="s">
        <v>20</v>
      </c>
      <c r="V214" s="43" t="s">
        <v>21</v>
      </c>
    </row>
    <row r="215" spans="1:22">
      <c r="A215" s="2">
        <v>208</v>
      </c>
      <c r="B215" s="119">
        <v>202510</v>
      </c>
      <c r="C215" s="44" t="s">
        <v>428</v>
      </c>
      <c r="D215" s="44" t="s">
        <v>429</v>
      </c>
      <c r="E215" s="44" t="s">
        <v>411</v>
      </c>
      <c r="F215" s="44">
        <v>0</v>
      </c>
      <c r="G215" s="44">
        <v>0</v>
      </c>
      <c r="H215" s="44">
        <v>0</v>
      </c>
      <c r="I215" s="44">
        <v>0</v>
      </c>
      <c r="J215" s="44">
        <v>8</v>
      </c>
      <c r="K215" s="123">
        <v>100000</v>
      </c>
      <c r="L215" s="124">
        <f t="shared" si="30"/>
        <v>8</v>
      </c>
      <c r="M215" s="45">
        <f t="shared" si="32"/>
        <v>800000</v>
      </c>
      <c r="N215" s="45">
        <f t="shared" si="35"/>
        <v>800000</v>
      </c>
      <c r="O215" s="45"/>
      <c r="P215" s="45" t="s">
        <v>7100</v>
      </c>
      <c r="Q215" s="45"/>
      <c r="R215" s="45"/>
      <c r="S215" s="45">
        <f t="shared" si="33"/>
        <v>0</v>
      </c>
      <c r="T215" s="44" t="s">
        <v>19</v>
      </c>
      <c r="U215" s="44" t="s">
        <v>20</v>
      </c>
      <c r="V215" s="43" t="s">
        <v>21</v>
      </c>
    </row>
    <row r="216" spans="1:22">
      <c r="A216" s="2">
        <v>209</v>
      </c>
      <c r="B216" s="119">
        <v>202510</v>
      </c>
      <c r="C216" s="44" t="s">
        <v>430</v>
      </c>
      <c r="D216" s="44" t="s">
        <v>431</v>
      </c>
      <c r="E216" s="44" t="s">
        <v>411</v>
      </c>
      <c r="F216" s="44">
        <v>6</v>
      </c>
      <c r="G216" s="44">
        <v>0</v>
      </c>
      <c r="H216" s="44">
        <v>0</v>
      </c>
      <c r="I216" s="44">
        <v>0</v>
      </c>
      <c r="J216" s="44">
        <v>7</v>
      </c>
      <c r="K216" s="123">
        <v>100000</v>
      </c>
      <c r="L216" s="124">
        <f t="shared" si="30"/>
        <v>13</v>
      </c>
      <c r="M216" s="45">
        <f t="shared" si="32"/>
        <v>1300000</v>
      </c>
      <c r="N216" s="45">
        <f t="shared" si="35"/>
        <v>1300000</v>
      </c>
      <c r="O216" s="45"/>
      <c r="P216" s="45" t="s">
        <v>6572</v>
      </c>
      <c r="Q216" s="45"/>
      <c r="R216" s="45"/>
      <c r="S216" s="45">
        <f t="shared" si="33"/>
        <v>0</v>
      </c>
      <c r="T216" s="44" t="s">
        <v>19</v>
      </c>
      <c r="U216" s="44" t="s">
        <v>20</v>
      </c>
      <c r="V216" s="43" t="s">
        <v>21</v>
      </c>
    </row>
    <row r="217" spans="1:22">
      <c r="A217" s="2">
        <v>210</v>
      </c>
      <c r="B217" s="119">
        <v>202510</v>
      </c>
      <c r="C217" s="44" t="s">
        <v>432</v>
      </c>
      <c r="D217" s="44" t="s">
        <v>433</v>
      </c>
      <c r="E217" s="44" t="s">
        <v>411</v>
      </c>
      <c r="F217" s="44">
        <v>6</v>
      </c>
      <c r="G217" s="44">
        <v>0</v>
      </c>
      <c r="H217" s="44">
        <v>0</v>
      </c>
      <c r="I217" s="44">
        <v>0</v>
      </c>
      <c r="J217" s="44">
        <v>8</v>
      </c>
      <c r="K217" s="123">
        <v>100000</v>
      </c>
      <c r="L217" s="124">
        <f t="shared" si="30"/>
        <v>14</v>
      </c>
      <c r="M217" s="45">
        <f t="shared" si="32"/>
        <v>1400000</v>
      </c>
      <c r="N217" s="45">
        <f t="shared" si="35"/>
        <v>1400000</v>
      </c>
      <c r="O217" s="45"/>
      <c r="P217" s="45" t="s">
        <v>2063</v>
      </c>
      <c r="Q217" s="45"/>
      <c r="R217" s="45"/>
      <c r="S217" s="45">
        <f t="shared" si="33"/>
        <v>0</v>
      </c>
      <c r="T217" s="44" t="s">
        <v>19</v>
      </c>
      <c r="U217" s="44" t="s">
        <v>20</v>
      </c>
      <c r="V217" s="43" t="s">
        <v>21</v>
      </c>
    </row>
    <row r="218" spans="1:22">
      <c r="A218" s="2">
        <v>211</v>
      </c>
      <c r="B218" s="119">
        <v>202510</v>
      </c>
      <c r="C218" s="44" t="s">
        <v>434</v>
      </c>
      <c r="D218" s="44" t="s">
        <v>435</v>
      </c>
      <c r="E218" s="44" t="s">
        <v>411</v>
      </c>
      <c r="F218" s="44">
        <v>0</v>
      </c>
      <c r="G218" s="44">
        <v>0</v>
      </c>
      <c r="H218" s="44">
        <v>0</v>
      </c>
      <c r="I218" s="44">
        <v>0</v>
      </c>
      <c r="J218" s="44">
        <v>8</v>
      </c>
      <c r="K218" s="123">
        <v>100000</v>
      </c>
      <c r="L218" s="124">
        <f t="shared" si="30"/>
        <v>8</v>
      </c>
      <c r="M218" s="45">
        <f t="shared" si="32"/>
        <v>800000</v>
      </c>
      <c r="N218" s="45">
        <f t="shared" si="35"/>
        <v>800000</v>
      </c>
      <c r="O218" s="45"/>
      <c r="P218" s="45" t="s">
        <v>2061</v>
      </c>
      <c r="Q218" s="45"/>
      <c r="R218" s="45"/>
      <c r="S218" s="45">
        <f t="shared" si="33"/>
        <v>0</v>
      </c>
      <c r="T218" s="44" t="s">
        <v>19</v>
      </c>
      <c r="U218" s="44" t="s">
        <v>20</v>
      </c>
      <c r="V218" s="43" t="s">
        <v>21</v>
      </c>
    </row>
    <row r="219" spans="1:22">
      <c r="A219" s="2">
        <v>212</v>
      </c>
      <c r="B219" s="129">
        <v>202510</v>
      </c>
      <c r="C219" s="64" t="s">
        <v>436</v>
      </c>
      <c r="D219" s="64" t="s">
        <v>437</v>
      </c>
      <c r="E219" s="64" t="s">
        <v>411</v>
      </c>
      <c r="F219" s="64">
        <v>0</v>
      </c>
      <c r="G219" s="64">
        <v>0</v>
      </c>
      <c r="H219" s="64">
        <v>0</v>
      </c>
      <c r="I219" s="64">
        <v>0</v>
      </c>
      <c r="J219" s="64">
        <v>3</v>
      </c>
      <c r="K219" s="126">
        <v>100000</v>
      </c>
      <c r="L219" s="134">
        <f t="shared" si="30"/>
        <v>3</v>
      </c>
      <c r="M219" s="62">
        <f t="shared" si="32"/>
        <v>300000</v>
      </c>
      <c r="N219" s="62">
        <v>300000</v>
      </c>
      <c r="O219" s="45"/>
      <c r="P219" s="62" t="s">
        <v>3117</v>
      </c>
      <c r="Q219" s="45"/>
      <c r="R219" s="45"/>
      <c r="S219" s="170">
        <f t="shared" si="33"/>
        <v>0</v>
      </c>
      <c r="T219" s="44" t="s">
        <v>19</v>
      </c>
      <c r="U219" s="44" t="s">
        <v>20</v>
      </c>
      <c r="V219" s="43" t="s">
        <v>21</v>
      </c>
    </row>
    <row r="220" spans="1:22">
      <c r="A220" s="2">
        <v>213</v>
      </c>
      <c r="B220" s="119">
        <v>202510</v>
      </c>
      <c r="C220" s="68" t="s">
        <v>438</v>
      </c>
      <c r="D220" s="68" t="s">
        <v>439</v>
      </c>
      <c r="E220" s="68" t="s">
        <v>440</v>
      </c>
      <c r="F220" s="68">
        <v>0</v>
      </c>
      <c r="G220" s="68">
        <v>0</v>
      </c>
      <c r="H220" s="68">
        <v>0</v>
      </c>
      <c r="I220" s="68">
        <v>0</v>
      </c>
      <c r="J220" s="68">
        <v>3</v>
      </c>
      <c r="K220" s="127">
        <v>100000</v>
      </c>
      <c r="L220" s="128">
        <f t="shared" si="30"/>
        <v>3</v>
      </c>
      <c r="M220" s="65">
        <f t="shared" si="32"/>
        <v>300000</v>
      </c>
      <c r="N220" s="45">
        <f>M220</f>
        <v>300000</v>
      </c>
      <c r="O220" s="45"/>
      <c r="P220" s="45" t="s">
        <v>7085</v>
      </c>
      <c r="Q220" s="45"/>
      <c r="R220" s="45"/>
      <c r="S220" s="45">
        <f t="shared" si="33"/>
        <v>0</v>
      </c>
      <c r="T220" s="44" t="s">
        <v>19</v>
      </c>
      <c r="U220" s="44" t="s">
        <v>20</v>
      </c>
      <c r="V220" s="43" t="s">
        <v>21</v>
      </c>
    </row>
    <row r="221" spans="1:22">
      <c r="A221" s="2">
        <v>214</v>
      </c>
      <c r="B221" s="119">
        <v>202510</v>
      </c>
      <c r="C221" s="44" t="s">
        <v>441</v>
      </c>
      <c r="D221" s="44" t="s">
        <v>442</v>
      </c>
      <c r="E221" s="44" t="s">
        <v>440</v>
      </c>
      <c r="F221" s="44">
        <v>0</v>
      </c>
      <c r="G221" s="44">
        <v>0</v>
      </c>
      <c r="H221" s="44">
        <v>0</v>
      </c>
      <c r="I221" s="44">
        <v>0</v>
      </c>
      <c r="J221" s="44">
        <v>3</v>
      </c>
      <c r="K221" s="123">
        <v>100000</v>
      </c>
      <c r="L221" s="124">
        <f t="shared" si="30"/>
        <v>3</v>
      </c>
      <c r="M221" s="45">
        <f t="shared" si="32"/>
        <v>300000</v>
      </c>
      <c r="N221" s="45">
        <f>M221</f>
        <v>300000</v>
      </c>
      <c r="O221" s="45"/>
      <c r="P221" s="45" t="s">
        <v>2067</v>
      </c>
      <c r="Q221" s="45"/>
      <c r="R221" s="45"/>
      <c r="S221" s="45">
        <f t="shared" si="33"/>
        <v>0</v>
      </c>
      <c r="T221" s="44" t="s">
        <v>19</v>
      </c>
      <c r="U221" s="44" t="s">
        <v>20</v>
      </c>
      <c r="V221" s="43" t="s">
        <v>21</v>
      </c>
    </row>
    <row r="222" spans="1:22">
      <c r="A222" s="2">
        <v>215</v>
      </c>
      <c r="B222" s="119">
        <v>202510</v>
      </c>
      <c r="C222" s="44" t="s">
        <v>443</v>
      </c>
      <c r="D222" s="44" t="s">
        <v>444</v>
      </c>
      <c r="E222" s="44" t="s">
        <v>440</v>
      </c>
      <c r="F222" s="44">
        <v>0</v>
      </c>
      <c r="G222" s="44">
        <v>0</v>
      </c>
      <c r="H222" s="44">
        <v>0</v>
      </c>
      <c r="I222" s="44">
        <v>0</v>
      </c>
      <c r="J222" s="44">
        <v>2</v>
      </c>
      <c r="K222" s="123">
        <v>100000</v>
      </c>
      <c r="L222" s="124">
        <f t="shared" si="30"/>
        <v>2</v>
      </c>
      <c r="M222" s="45">
        <f t="shared" si="32"/>
        <v>200000</v>
      </c>
      <c r="N222" s="45">
        <f>M222</f>
        <v>200000</v>
      </c>
      <c r="O222" s="45"/>
      <c r="P222" s="45" t="s">
        <v>6734</v>
      </c>
      <c r="Q222" s="45"/>
      <c r="R222" s="45"/>
      <c r="S222" s="45">
        <f t="shared" si="33"/>
        <v>0</v>
      </c>
      <c r="T222" s="44" t="s">
        <v>19</v>
      </c>
      <c r="U222" s="44" t="s">
        <v>20</v>
      </c>
      <c r="V222" s="43" t="s">
        <v>21</v>
      </c>
    </row>
    <row r="223" spans="1:22">
      <c r="A223" s="2">
        <v>216</v>
      </c>
      <c r="B223" s="119">
        <v>202510</v>
      </c>
      <c r="C223" s="44" t="s">
        <v>445</v>
      </c>
      <c r="D223" s="44" t="s">
        <v>446</v>
      </c>
      <c r="E223" s="44" t="s">
        <v>447</v>
      </c>
      <c r="F223" s="44">
        <v>5</v>
      </c>
      <c r="G223" s="44">
        <v>0</v>
      </c>
      <c r="H223" s="44">
        <v>0</v>
      </c>
      <c r="I223" s="44">
        <v>0</v>
      </c>
      <c r="J223" s="44">
        <v>0</v>
      </c>
      <c r="K223" s="123">
        <v>100000</v>
      </c>
      <c r="L223" s="124">
        <f t="shared" si="30"/>
        <v>5</v>
      </c>
      <c r="M223" s="45">
        <f t="shared" si="32"/>
        <v>500000</v>
      </c>
      <c r="N223" s="45">
        <f>M223</f>
        <v>500000</v>
      </c>
      <c r="O223" s="45"/>
      <c r="P223" s="45" t="s">
        <v>6286</v>
      </c>
      <c r="Q223" s="45"/>
      <c r="R223" s="45"/>
      <c r="S223" s="45">
        <f t="shared" si="33"/>
        <v>0</v>
      </c>
      <c r="T223" s="44" t="s">
        <v>19</v>
      </c>
      <c r="U223" s="44" t="s">
        <v>20</v>
      </c>
      <c r="V223" s="43" t="s">
        <v>21</v>
      </c>
    </row>
    <row r="224" spans="1:22">
      <c r="A224" s="2">
        <v>217</v>
      </c>
      <c r="B224" s="119">
        <v>202510</v>
      </c>
      <c r="C224" s="44" t="s">
        <v>448</v>
      </c>
      <c r="D224" s="44" t="s">
        <v>449</v>
      </c>
      <c r="E224" s="44" t="s">
        <v>447</v>
      </c>
      <c r="F224" s="44">
        <v>5</v>
      </c>
      <c r="G224" s="44">
        <v>0</v>
      </c>
      <c r="H224" s="44">
        <v>0</v>
      </c>
      <c r="I224" s="44">
        <v>0</v>
      </c>
      <c r="J224" s="44">
        <v>0</v>
      </c>
      <c r="K224" s="123">
        <v>100000</v>
      </c>
      <c r="L224" s="124">
        <f t="shared" si="30"/>
        <v>5</v>
      </c>
      <c r="M224" s="45">
        <f t="shared" si="32"/>
        <v>500000</v>
      </c>
      <c r="N224" s="45">
        <f>M224</f>
        <v>500000</v>
      </c>
      <c r="O224" s="45"/>
      <c r="P224" s="45" t="s">
        <v>2056</v>
      </c>
      <c r="Q224" s="45"/>
      <c r="R224" s="45"/>
      <c r="S224" s="45">
        <f t="shared" si="33"/>
        <v>0</v>
      </c>
      <c r="T224" s="44" t="s">
        <v>19</v>
      </c>
      <c r="U224" s="44" t="s">
        <v>20</v>
      </c>
      <c r="V224" s="43" t="s">
        <v>21</v>
      </c>
    </row>
    <row r="225" spans="1:22" ht="15" customHeight="1">
      <c r="A225" s="2">
        <v>218</v>
      </c>
      <c r="B225" s="119">
        <v>202510</v>
      </c>
      <c r="C225" s="44" t="s">
        <v>450</v>
      </c>
      <c r="D225" s="44" t="s">
        <v>451</v>
      </c>
      <c r="E225" s="44" t="s">
        <v>447</v>
      </c>
      <c r="F225" s="44">
        <v>5</v>
      </c>
      <c r="G225" s="44">
        <v>0</v>
      </c>
      <c r="H225" s="44">
        <v>0</v>
      </c>
      <c r="I225" s="44">
        <v>0</v>
      </c>
      <c r="J225" s="44">
        <v>0</v>
      </c>
      <c r="K225" s="123">
        <v>100000</v>
      </c>
      <c r="L225" s="124">
        <f t="shared" si="30"/>
        <v>5</v>
      </c>
      <c r="M225" s="45">
        <f t="shared" si="32"/>
        <v>500000</v>
      </c>
      <c r="N225" s="45">
        <f>M225+200000</f>
        <v>700000</v>
      </c>
      <c r="O225" s="45"/>
      <c r="P225" s="61" t="s">
        <v>6368</v>
      </c>
      <c r="Q225" s="45"/>
      <c r="R225" s="45"/>
      <c r="S225" s="62">
        <f t="shared" si="33"/>
        <v>-200000</v>
      </c>
      <c r="T225" s="44" t="s">
        <v>19</v>
      </c>
      <c r="U225" s="44" t="s">
        <v>20</v>
      </c>
      <c r="V225" s="43" t="s">
        <v>21</v>
      </c>
    </row>
    <row r="226" spans="1:22">
      <c r="A226" s="2">
        <v>219</v>
      </c>
      <c r="B226" s="119">
        <v>202510</v>
      </c>
      <c r="C226" s="44" t="s">
        <v>452</v>
      </c>
      <c r="D226" s="44" t="s">
        <v>453</v>
      </c>
      <c r="E226" s="44" t="s">
        <v>447</v>
      </c>
      <c r="F226" s="44">
        <v>5</v>
      </c>
      <c r="G226" s="44">
        <v>0</v>
      </c>
      <c r="H226" s="44">
        <v>0</v>
      </c>
      <c r="I226" s="44">
        <v>0</v>
      </c>
      <c r="J226" s="44">
        <v>0</v>
      </c>
      <c r="K226" s="123">
        <v>100000</v>
      </c>
      <c r="L226" s="124">
        <f t="shared" si="30"/>
        <v>5</v>
      </c>
      <c r="M226" s="45">
        <f t="shared" si="32"/>
        <v>500000</v>
      </c>
      <c r="N226" s="45">
        <f>M226</f>
        <v>500000</v>
      </c>
      <c r="O226" s="45"/>
      <c r="P226" s="45" t="s">
        <v>2120</v>
      </c>
      <c r="Q226" s="45"/>
      <c r="R226" s="45"/>
      <c r="S226" s="45">
        <f t="shared" si="33"/>
        <v>0</v>
      </c>
      <c r="T226" s="44" t="s">
        <v>19</v>
      </c>
      <c r="U226" s="44" t="s">
        <v>20</v>
      </c>
      <c r="V226" s="43" t="s">
        <v>21</v>
      </c>
    </row>
    <row r="227" spans="1:22">
      <c r="A227" s="2">
        <v>220</v>
      </c>
      <c r="B227" s="119">
        <v>202510</v>
      </c>
      <c r="C227" s="44" t="s">
        <v>454</v>
      </c>
      <c r="D227" s="44" t="s">
        <v>455</v>
      </c>
      <c r="E227" s="44" t="s">
        <v>447</v>
      </c>
      <c r="F227" s="44">
        <v>5</v>
      </c>
      <c r="G227" s="44">
        <v>0</v>
      </c>
      <c r="H227" s="44">
        <v>0</v>
      </c>
      <c r="I227" s="44">
        <v>0</v>
      </c>
      <c r="J227" s="44">
        <v>0</v>
      </c>
      <c r="K227" s="123">
        <v>100000</v>
      </c>
      <c r="L227" s="124">
        <f t="shared" si="30"/>
        <v>5</v>
      </c>
      <c r="M227" s="45">
        <f t="shared" si="32"/>
        <v>500000</v>
      </c>
      <c r="N227" s="45">
        <f>M227</f>
        <v>500000</v>
      </c>
      <c r="O227" s="45"/>
      <c r="P227" s="45" t="s">
        <v>2076</v>
      </c>
      <c r="Q227" s="45"/>
      <c r="R227" s="45"/>
      <c r="S227" s="45">
        <f t="shared" si="33"/>
        <v>0</v>
      </c>
      <c r="T227" s="44" t="s">
        <v>19</v>
      </c>
      <c r="U227" s="44" t="s">
        <v>20</v>
      </c>
      <c r="V227" s="43" t="s">
        <v>21</v>
      </c>
    </row>
    <row r="228" spans="1:22">
      <c r="A228" s="2">
        <v>221</v>
      </c>
      <c r="B228" s="119">
        <v>202510</v>
      </c>
      <c r="C228" s="44" t="s">
        <v>456</v>
      </c>
      <c r="D228" s="44" t="s">
        <v>457</v>
      </c>
      <c r="E228" s="44" t="s">
        <v>447</v>
      </c>
      <c r="F228" s="44">
        <v>5</v>
      </c>
      <c r="G228" s="44">
        <v>0</v>
      </c>
      <c r="H228" s="44">
        <v>0</v>
      </c>
      <c r="I228" s="44">
        <v>0</v>
      </c>
      <c r="J228" s="44">
        <v>0</v>
      </c>
      <c r="K228" s="123">
        <v>100000</v>
      </c>
      <c r="L228" s="124">
        <f t="shared" si="30"/>
        <v>5</v>
      </c>
      <c r="M228" s="45">
        <f t="shared" si="32"/>
        <v>500000</v>
      </c>
      <c r="N228" s="45">
        <f>M228</f>
        <v>500000</v>
      </c>
      <c r="O228" s="45"/>
      <c r="P228" s="45" t="s">
        <v>6562</v>
      </c>
      <c r="Q228" s="45"/>
      <c r="R228" s="45"/>
      <c r="S228" s="45">
        <f t="shared" si="33"/>
        <v>0</v>
      </c>
      <c r="T228" s="44" t="s">
        <v>19</v>
      </c>
      <c r="U228" s="44" t="s">
        <v>20</v>
      </c>
      <c r="V228" s="43" t="s">
        <v>21</v>
      </c>
    </row>
    <row r="229" spans="1:22">
      <c r="A229" s="2">
        <v>222</v>
      </c>
      <c r="B229" s="119">
        <v>202510</v>
      </c>
      <c r="C229" s="44" t="s">
        <v>441</v>
      </c>
      <c r="D229" s="44" t="s">
        <v>458</v>
      </c>
      <c r="E229" s="44" t="s">
        <v>447</v>
      </c>
      <c r="F229" s="44">
        <v>5</v>
      </c>
      <c r="G229" s="44">
        <v>0</v>
      </c>
      <c r="H229" s="44">
        <v>0</v>
      </c>
      <c r="I229" s="44">
        <v>0</v>
      </c>
      <c r="J229" s="44">
        <v>0</v>
      </c>
      <c r="K229" s="123">
        <v>100000</v>
      </c>
      <c r="L229" s="124">
        <f t="shared" si="30"/>
        <v>5</v>
      </c>
      <c r="M229" s="45">
        <f t="shared" si="32"/>
        <v>500000</v>
      </c>
      <c r="N229" s="45">
        <f>M229</f>
        <v>500000</v>
      </c>
      <c r="O229" s="45"/>
      <c r="P229" s="45" t="s">
        <v>2096</v>
      </c>
      <c r="Q229" s="45"/>
      <c r="R229" s="45"/>
      <c r="S229" s="45">
        <f t="shared" si="33"/>
        <v>0</v>
      </c>
      <c r="T229" s="44" t="s">
        <v>19</v>
      </c>
      <c r="U229" s="44" t="s">
        <v>20</v>
      </c>
      <c r="V229" s="43" t="s">
        <v>21</v>
      </c>
    </row>
    <row r="230" spans="1:22">
      <c r="A230" s="2">
        <v>223</v>
      </c>
      <c r="B230" s="119">
        <v>202510</v>
      </c>
      <c r="C230" s="44" t="s">
        <v>459</v>
      </c>
      <c r="D230" s="44" t="s">
        <v>460</v>
      </c>
      <c r="E230" s="44" t="s">
        <v>447</v>
      </c>
      <c r="F230" s="44">
        <v>5</v>
      </c>
      <c r="G230" s="44">
        <v>0</v>
      </c>
      <c r="H230" s="44">
        <v>0</v>
      </c>
      <c r="I230" s="44">
        <v>0</v>
      </c>
      <c r="J230" s="44">
        <v>0</v>
      </c>
      <c r="K230" s="123">
        <v>100000</v>
      </c>
      <c r="L230" s="124">
        <f t="shared" si="30"/>
        <v>5</v>
      </c>
      <c r="M230" s="45">
        <f t="shared" si="32"/>
        <v>500000</v>
      </c>
      <c r="N230" s="45">
        <f>M230</f>
        <v>500000</v>
      </c>
      <c r="O230" s="45"/>
      <c r="P230" s="45" t="s">
        <v>6574</v>
      </c>
      <c r="Q230" s="45"/>
      <c r="R230" s="45"/>
      <c r="S230" s="45">
        <f t="shared" si="33"/>
        <v>0</v>
      </c>
      <c r="T230" s="44" t="s">
        <v>19</v>
      </c>
      <c r="U230" s="44" t="s">
        <v>20</v>
      </c>
      <c r="V230" s="43" t="s">
        <v>21</v>
      </c>
    </row>
    <row r="231" spans="1:22">
      <c r="A231" s="2">
        <v>224</v>
      </c>
      <c r="B231" s="119">
        <v>202510</v>
      </c>
      <c r="C231" s="44" t="s">
        <v>461</v>
      </c>
      <c r="D231" s="44" t="s">
        <v>462</v>
      </c>
      <c r="E231" s="44" t="s">
        <v>447</v>
      </c>
      <c r="F231" s="44">
        <v>5</v>
      </c>
      <c r="G231" s="44">
        <v>0</v>
      </c>
      <c r="H231" s="44">
        <v>0</v>
      </c>
      <c r="I231" s="44">
        <v>0</v>
      </c>
      <c r="J231" s="44">
        <v>0</v>
      </c>
      <c r="K231" s="123">
        <v>100000</v>
      </c>
      <c r="L231" s="124">
        <f t="shared" si="30"/>
        <v>5</v>
      </c>
      <c r="M231" s="45">
        <f t="shared" si="32"/>
        <v>500000</v>
      </c>
      <c r="N231" s="45">
        <f t="shared" ref="N231:N240" si="36">M231</f>
        <v>500000</v>
      </c>
      <c r="O231" s="45"/>
      <c r="P231" s="45" t="s">
        <v>2087</v>
      </c>
      <c r="Q231" s="45"/>
      <c r="R231" s="45"/>
      <c r="S231" s="45">
        <f t="shared" si="33"/>
        <v>0</v>
      </c>
      <c r="T231" s="44" t="s">
        <v>19</v>
      </c>
      <c r="U231" s="44" t="s">
        <v>20</v>
      </c>
      <c r="V231" s="43" t="s">
        <v>21</v>
      </c>
    </row>
    <row r="232" spans="1:22">
      <c r="A232" s="2">
        <v>225</v>
      </c>
      <c r="B232" s="119">
        <v>202510</v>
      </c>
      <c r="C232" s="44" t="s">
        <v>463</v>
      </c>
      <c r="D232" s="44" t="s">
        <v>464</v>
      </c>
      <c r="E232" s="44" t="s">
        <v>447</v>
      </c>
      <c r="F232" s="44">
        <v>5</v>
      </c>
      <c r="G232" s="44">
        <v>0</v>
      </c>
      <c r="H232" s="44">
        <v>0</v>
      </c>
      <c r="I232" s="44">
        <v>0</v>
      </c>
      <c r="J232" s="44">
        <v>0</v>
      </c>
      <c r="K232" s="123">
        <v>100000</v>
      </c>
      <c r="L232" s="124">
        <f t="shared" si="30"/>
        <v>5</v>
      </c>
      <c r="M232" s="45">
        <f t="shared" si="32"/>
        <v>500000</v>
      </c>
      <c r="N232" s="45">
        <f t="shared" si="36"/>
        <v>500000</v>
      </c>
      <c r="O232" s="45"/>
      <c r="P232" s="45" t="s">
        <v>3082</v>
      </c>
      <c r="Q232" s="45"/>
      <c r="R232" s="45"/>
      <c r="S232" s="45">
        <f t="shared" si="33"/>
        <v>0</v>
      </c>
      <c r="T232" s="44" t="s">
        <v>19</v>
      </c>
      <c r="U232" s="44" t="s">
        <v>20</v>
      </c>
      <c r="V232" s="43" t="s">
        <v>21</v>
      </c>
    </row>
    <row r="233" spans="1:22">
      <c r="A233" s="2">
        <v>226</v>
      </c>
      <c r="B233" s="119">
        <v>202510</v>
      </c>
      <c r="C233" s="44" t="s">
        <v>465</v>
      </c>
      <c r="D233" s="44" t="s">
        <v>466</v>
      </c>
      <c r="E233" s="44" t="s">
        <v>447</v>
      </c>
      <c r="F233" s="44">
        <v>5</v>
      </c>
      <c r="G233" s="44">
        <v>0</v>
      </c>
      <c r="H233" s="44">
        <v>0</v>
      </c>
      <c r="I233" s="44">
        <v>0</v>
      </c>
      <c r="J233" s="44">
        <v>0</v>
      </c>
      <c r="K233" s="123">
        <v>100000</v>
      </c>
      <c r="L233" s="124">
        <f t="shared" si="30"/>
        <v>5</v>
      </c>
      <c r="M233" s="45">
        <f t="shared" si="32"/>
        <v>500000</v>
      </c>
      <c r="N233" s="45">
        <f t="shared" si="36"/>
        <v>500000</v>
      </c>
      <c r="O233" s="45"/>
      <c r="P233" s="45" t="s">
        <v>2692</v>
      </c>
      <c r="Q233" s="45"/>
      <c r="R233" s="45"/>
      <c r="S233" s="45">
        <f t="shared" si="33"/>
        <v>0</v>
      </c>
      <c r="T233" s="44" t="s">
        <v>19</v>
      </c>
      <c r="U233" s="44" t="s">
        <v>20</v>
      </c>
      <c r="V233" s="43" t="s">
        <v>21</v>
      </c>
    </row>
    <row r="234" spans="1:22">
      <c r="A234" s="2">
        <v>227</v>
      </c>
      <c r="B234" s="119">
        <v>202510</v>
      </c>
      <c r="C234" s="44" t="s">
        <v>467</v>
      </c>
      <c r="D234" s="44" t="s">
        <v>468</v>
      </c>
      <c r="E234" s="44" t="s">
        <v>447</v>
      </c>
      <c r="F234" s="44">
        <v>4</v>
      </c>
      <c r="G234" s="44">
        <v>0</v>
      </c>
      <c r="H234" s="44">
        <v>0</v>
      </c>
      <c r="I234" s="44">
        <v>0</v>
      </c>
      <c r="J234" s="44">
        <v>0</v>
      </c>
      <c r="K234" s="123">
        <v>100000</v>
      </c>
      <c r="L234" s="124">
        <f t="shared" si="30"/>
        <v>4</v>
      </c>
      <c r="M234" s="45">
        <f t="shared" si="32"/>
        <v>400000</v>
      </c>
      <c r="N234" s="45">
        <f t="shared" si="36"/>
        <v>400000</v>
      </c>
      <c r="O234" s="45"/>
      <c r="P234" s="45" t="s">
        <v>2795</v>
      </c>
      <c r="Q234" s="45"/>
      <c r="R234" s="45"/>
      <c r="S234" s="45">
        <f t="shared" si="33"/>
        <v>0</v>
      </c>
      <c r="T234" s="44" t="s">
        <v>19</v>
      </c>
      <c r="U234" s="44" t="s">
        <v>20</v>
      </c>
      <c r="V234" s="43" t="s">
        <v>21</v>
      </c>
    </row>
    <row r="235" spans="1:22">
      <c r="A235" s="2">
        <v>228</v>
      </c>
      <c r="B235" s="119">
        <v>202510</v>
      </c>
      <c r="C235" s="44" t="s">
        <v>469</v>
      </c>
      <c r="D235" s="44" t="s">
        <v>470</v>
      </c>
      <c r="E235" s="44" t="s">
        <v>447</v>
      </c>
      <c r="F235" s="44">
        <v>5</v>
      </c>
      <c r="G235" s="44">
        <v>0</v>
      </c>
      <c r="H235" s="44">
        <v>0</v>
      </c>
      <c r="I235" s="44">
        <v>0</v>
      </c>
      <c r="J235" s="44">
        <v>0</v>
      </c>
      <c r="K235" s="123">
        <v>100000</v>
      </c>
      <c r="L235" s="124">
        <f t="shared" si="30"/>
        <v>5</v>
      </c>
      <c r="M235" s="45">
        <f t="shared" si="32"/>
        <v>500000</v>
      </c>
      <c r="N235" s="45">
        <f t="shared" si="36"/>
        <v>500000</v>
      </c>
      <c r="O235" s="45"/>
      <c r="P235" s="45" t="s">
        <v>2075</v>
      </c>
      <c r="Q235" s="45"/>
      <c r="R235" s="45"/>
      <c r="S235" s="45">
        <f t="shared" si="33"/>
        <v>0</v>
      </c>
      <c r="T235" s="44" t="s">
        <v>19</v>
      </c>
      <c r="U235" s="44" t="s">
        <v>20</v>
      </c>
      <c r="V235" s="43" t="s">
        <v>21</v>
      </c>
    </row>
    <row r="236" spans="1:22">
      <c r="A236" s="2">
        <v>229</v>
      </c>
      <c r="B236" s="119">
        <v>202510</v>
      </c>
      <c r="C236" s="44" t="s">
        <v>471</v>
      </c>
      <c r="D236" s="44" t="s">
        <v>472</v>
      </c>
      <c r="E236" s="44" t="s">
        <v>447</v>
      </c>
      <c r="F236" s="44">
        <v>4</v>
      </c>
      <c r="G236" s="44">
        <v>0</v>
      </c>
      <c r="H236" s="44">
        <v>0</v>
      </c>
      <c r="I236" s="44">
        <v>0</v>
      </c>
      <c r="J236" s="44">
        <v>0</v>
      </c>
      <c r="K236" s="123">
        <v>100000</v>
      </c>
      <c r="L236" s="124">
        <f t="shared" si="30"/>
        <v>4</v>
      </c>
      <c r="M236" s="45">
        <f t="shared" si="32"/>
        <v>400000</v>
      </c>
      <c r="N236" s="45">
        <f t="shared" si="36"/>
        <v>400000</v>
      </c>
      <c r="O236" s="45"/>
      <c r="P236" s="45" t="s">
        <v>6304</v>
      </c>
      <c r="Q236" s="45"/>
      <c r="R236" s="45"/>
      <c r="S236" s="45">
        <f t="shared" si="33"/>
        <v>0</v>
      </c>
      <c r="T236" s="44" t="s">
        <v>19</v>
      </c>
      <c r="U236" s="44" t="s">
        <v>20</v>
      </c>
      <c r="V236" s="43" t="s">
        <v>21</v>
      </c>
    </row>
    <row r="237" spans="1:22">
      <c r="A237" s="2">
        <v>230</v>
      </c>
      <c r="B237" s="119">
        <v>202510</v>
      </c>
      <c r="C237" s="44" t="s">
        <v>473</v>
      </c>
      <c r="D237" s="44" t="s">
        <v>474</v>
      </c>
      <c r="E237" s="44" t="s">
        <v>447</v>
      </c>
      <c r="F237" s="44">
        <v>5</v>
      </c>
      <c r="G237" s="44">
        <v>0</v>
      </c>
      <c r="H237" s="44">
        <v>0</v>
      </c>
      <c r="I237" s="44">
        <v>0</v>
      </c>
      <c r="J237" s="44">
        <v>0</v>
      </c>
      <c r="K237" s="123">
        <v>100000</v>
      </c>
      <c r="L237" s="124">
        <f t="shared" si="30"/>
        <v>5</v>
      </c>
      <c r="M237" s="45">
        <f t="shared" si="32"/>
        <v>500000</v>
      </c>
      <c r="N237" s="45">
        <f t="shared" si="36"/>
        <v>500000</v>
      </c>
      <c r="O237" s="45"/>
      <c r="P237" s="45" t="s">
        <v>2721</v>
      </c>
      <c r="Q237" s="45"/>
      <c r="R237" s="45"/>
      <c r="S237" s="45">
        <f t="shared" si="33"/>
        <v>0</v>
      </c>
      <c r="T237" s="44" t="s">
        <v>19</v>
      </c>
      <c r="U237" s="44" t="s">
        <v>20</v>
      </c>
      <c r="V237" s="43" t="s">
        <v>21</v>
      </c>
    </row>
    <row r="238" spans="1:22">
      <c r="A238" s="2">
        <v>231</v>
      </c>
      <c r="B238" s="119">
        <v>202510</v>
      </c>
      <c r="C238" s="44" t="s">
        <v>475</v>
      </c>
      <c r="D238" s="44" t="s">
        <v>476</v>
      </c>
      <c r="E238" s="44" t="s">
        <v>447</v>
      </c>
      <c r="F238" s="44">
        <v>5</v>
      </c>
      <c r="G238" s="44">
        <v>0</v>
      </c>
      <c r="H238" s="44">
        <v>0</v>
      </c>
      <c r="I238" s="44">
        <v>0</v>
      </c>
      <c r="J238" s="44">
        <v>0</v>
      </c>
      <c r="K238" s="123">
        <v>100000</v>
      </c>
      <c r="L238" s="124">
        <f t="shared" si="30"/>
        <v>5</v>
      </c>
      <c r="M238" s="45">
        <f t="shared" si="32"/>
        <v>500000</v>
      </c>
      <c r="N238" s="45">
        <f t="shared" si="36"/>
        <v>500000</v>
      </c>
      <c r="O238" s="45"/>
      <c r="P238" s="45" t="s">
        <v>2711</v>
      </c>
      <c r="Q238" s="45"/>
      <c r="R238" s="45"/>
      <c r="S238" s="45">
        <f t="shared" si="33"/>
        <v>0</v>
      </c>
      <c r="T238" s="44" t="s">
        <v>19</v>
      </c>
      <c r="U238" s="44" t="s">
        <v>20</v>
      </c>
      <c r="V238" s="43" t="s">
        <v>21</v>
      </c>
    </row>
    <row r="239" spans="1:22">
      <c r="A239" s="2">
        <v>232</v>
      </c>
      <c r="B239" s="119">
        <v>202510</v>
      </c>
      <c r="C239" s="44" t="s">
        <v>477</v>
      </c>
      <c r="D239" s="44" t="s">
        <v>478</v>
      </c>
      <c r="E239" s="44" t="s">
        <v>447</v>
      </c>
      <c r="F239" s="44">
        <v>5</v>
      </c>
      <c r="G239" s="44">
        <v>0</v>
      </c>
      <c r="H239" s="44">
        <v>0</v>
      </c>
      <c r="I239" s="44">
        <v>0</v>
      </c>
      <c r="J239" s="44">
        <v>0</v>
      </c>
      <c r="K239" s="123">
        <v>100000</v>
      </c>
      <c r="L239" s="124">
        <f t="shared" si="30"/>
        <v>5</v>
      </c>
      <c r="M239" s="45">
        <f t="shared" si="32"/>
        <v>500000</v>
      </c>
      <c r="N239" s="45">
        <f t="shared" si="36"/>
        <v>500000</v>
      </c>
      <c r="O239" s="45"/>
      <c r="P239" s="45" t="s">
        <v>2676</v>
      </c>
      <c r="Q239" s="45"/>
      <c r="R239" s="45"/>
      <c r="S239" s="45">
        <f t="shared" si="33"/>
        <v>0</v>
      </c>
      <c r="T239" s="44" t="s">
        <v>19</v>
      </c>
      <c r="U239" s="44" t="s">
        <v>20</v>
      </c>
      <c r="V239" s="43" t="s">
        <v>21</v>
      </c>
    </row>
    <row r="240" spans="1:22">
      <c r="A240" s="2">
        <v>233</v>
      </c>
      <c r="B240" s="119">
        <v>202510</v>
      </c>
      <c r="C240" s="44" t="s">
        <v>479</v>
      </c>
      <c r="D240" s="44" t="s">
        <v>480</v>
      </c>
      <c r="E240" s="44" t="s">
        <v>447</v>
      </c>
      <c r="F240" s="44">
        <v>5</v>
      </c>
      <c r="G240" s="44">
        <v>0</v>
      </c>
      <c r="H240" s="44">
        <v>0</v>
      </c>
      <c r="I240" s="44">
        <v>0</v>
      </c>
      <c r="J240" s="44">
        <v>0</v>
      </c>
      <c r="K240" s="123">
        <v>100000</v>
      </c>
      <c r="L240" s="124">
        <f t="shared" si="30"/>
        <v>5</v>
      </c>
      <c r="M240" s="45">
        <f t="shared" si="32"/>
        <v>500000</v>
      </c>
      <c r="N240" s="45">
        <f t="shared" si="36"/>
        <v>500000</v>
      </c>
      <c r="O240" s="45"/>
      <c r="P240" s="45" t="s">
        <v>2831</v>
      </c>
      <c r="Q240" s="45"/>
      <c r="R240" s="45"/>
      <c r="S240" s="45">
        <f t="shared" si="33"/>
        <v>0</v>
      </c>
      <c r="T240" s="44" t="s">
        <v>19</v>
      </c>
      <c r="U240" s="44" t="s">
        <v>20</v>
      </c>
      <c r="V240" s="43" t="s">
        <v>21</v>
      </c>
    </row>
    <row r="241" spans="1:22">
      <c r="A241" s="2">
        <v>234</v>
      </c>
      <c r="B241" s="119">
        <v>202510</v>
      </c>
      <c r="C241" s="44" t="s">
        <v>481</v>
      </c>
      <c r="D241" s="44" t="s">
        <v>482</v>
      </c>
      <c r="E241" s="44" t="s">
        <v>447</v>
      </c>
      <c r="F241" s="44">
        <v>5</v>
      </c>
      <c r="G241" s="44">
        <v>0</v>
      </c>
      <c r="H241" s="44">
        <v>0</v>
      </c>
      <c r="I241" s="44">
        <v>0</v>
      </c>
      <c r="J241" s="44">
        <v>0</v>
      </c>
      <c r="K241" s="123">
        <v>100000</v>
      </c>
      <c r="L241" s="124">
        <f t="shared" si="30"/>
        <v>5</v>
      </c>
      <c r="M241" s="45">
        <f t="shared" si="32"/>
        <v>500000</v>
      </c>
      <c r="N241" s="45">
        <f t="shared" ref="N241:N252" si="37">M241</f>
        <v>500000</v>
      </c>
      <c r="O241" s="45"/>
      <c r="P241" s="45" t="s">
        <v>7117</v>
      </c>
      <c r="Q241" s="45"/>
      <c r="R241" s="45"/>
      <c r="S241" s="45">
        <f t="shared" si="33"/>
        <v>0</v>
      </c>
      <c r="T241" s="44" t="s">
        <v>19</v>
      </c>
      <c r="U241" s="44" t="s">
        <v>20</v>
      </c>
      <c r="V241" s="43" t="s">
        <v>21</v>
      </c>
    </row>
    <row r="242" spans="1:22">
      <c r="A242" s="2">
        <v>235</v>
      </c>
      <c r="B242" s="119">
        <v>202510</v>
      </c>
      <c r="C242" s="44" t="s">
        <v>483</v>
      </c>
      <c r="D242" s="44" t="s">
        <v>484</v>
      </c>
      <c r="E242" s="44" t="s">
        <v>485</v>
      </c>
      <c r="F242" s="44">
        <v>0</v>
      </c>
      <c r="G242" s="44">
        <v>0</v>
      </c>
      <c r="H242" s="44">
        <v>4</v>
      </c>
      <c r="I242" s="44">
        <v>0</v>
      </c>
      <c r="J242" s="44">
        <v>0</v>
      </c>
      <c r="K242" s="123">
        <v>100000</v>
      </c>
      <c r="L242" s="124">
        <f t="shared" si="30"/>
        <v>4</v>
      </c>
      <c r="M242" s="45">
        <f t="shared" si="32"/>
        <v>400000</v>
      </c>
      <c r="N242" s="45">
        <f t="shared" si="37"/>
        <v>400000</v>
      </c>
      <c r="O242" s="45"/>
      <c r="P242" s="45" t="s">
        <v>2757</v>
      </c>
      <c r="Q242" s="45"/>
      <c r="R242" s="45"/>
      <c r="S242" s="45">
        <f t="shared" si="33"/>
        <v>0</v>
      </c>
      <c r="T242" s="44" t="s">
        <v>19</v>
      </c>
      <c r="U242" s="44" t="s">
        <v>20</v>
      </c>
      <c r="V242" s="43" t="s">
        <v>21</v>
      </c>
    </row>
    <row r="243" spans="1:22">
      <c r="A243" s="2">
        <v>236</v>
      </c>
      <c r="B243" s="119">
        <v>202510</v>
      </c>
      <c r="C243" s="44" t="s">
        <v>486</v>
      </c>
      <c r="D243" s="44" t="s">
        <v>487</v>
      </c>
      <c r="E243" s="44" t="s">
        <v>485</v>
      </c>
      <c r="F243" s="44">
        <v>0</v>
      </c>
      <c r="G243" s="44">
        <v>0</v>
      </c>
      <c r="H243" s="44">
        <v>4</v>
      </c>
      <c r="I243" s="44">
        <v>0</v>
      </c>
      <c r="J243" s="44">
        <v>0</v>
      </c>
      <c r="K243" s="123">
        <v>100000</v>
      </c>
      <c r="L243" s="124">
        <f t="shared" si="30"/>
        <v>4</v>
      </c>
      <c r="M243" s="45">
        <f t="shared" si="32"/>
        <v>400000</v>
      </c>
      <c r="N243" s="45">
        <f t="shared" si="37"/>
        <v>400000</v>
      </c>
      <c r="O243" s="45"/>
      <c r="P243" s="45" t="s">
        <v>7079</v>
      </c>
      <c r="Q243" s="45"/>
      <c r="R243" s="45"/>
      <c r="S243" s="45">
        <f t="shared" si="33"/>
        <v>0</v>
      </c>
      <c r="T243" s="44" t="s">
        <v>19</v>
      </c>
      <c r="U243" s="44" t="s">
        <v>20</v>
      </c>
      <c r="V243" s="43" t="s">
        <v>21</v>
      </c>
    </row>
    <row r="244" spans="1:22">
      <c r="A244" s="2">
        <v>237</v>
      </c>
      <c r="B244" s="119">
        <v>202510</v>
      </c>
      <c r="C244" s="44" t="s">
        <v>488</v>
      </c>
      <c r="D244" s="44" t="s">
        <v>489</v>
      </c>
      <c r="E244" s="44" t="s">
        <v>485</v>
      </c>
      <c r="F244" s="44">
        <v>0</v>
      </c>
      <c r="G244" s="44">
        <v>0</v>
      </c>
      <c r="H244" s="44">
        <v>4</v>
      </c>
      <c r="I244" s="44">
        <v>0</v>
      </c>
      <c r="J244" s="44">
        <v>0</v>
      </c>
      <c r="K244" s="123">
        <v>100000</v>
      </c>
      <c r="L244" s="124">
        <f t="shared" si="30"/>
        <v>4</v>
      </c>
      <c r="M244" s="45">
        <f t="shared" si="32"/>
        <v>400000</v>
      </c>
      <c r="N244" s="45">
        <f t="shared" si="37"/>
        <v>400000</v>
      </c>
      <c r="O244" s="45"/>
      <c r="P244" s="45" t="s">
        <v>3064</v>
      </c>
      <c r="Q244" s="45"/>
      <c r="R244" s="45"/>
      <c r="S244" s="45">
        <f t="shared" si="33"/>
        <v>0</v>
      </c>
      <c r="T244" s="44" t="s">
        <v>19</v>
      </c>
      <c r="U244" s="44" t="s">
        <v>20</v>
      </c>
      <c r="V244" s="43" t="s">
        <v>21</v>
      </c>
    </row>
    <row r="245" spans="1:22">
      <c r="A245" s="2">
        <v>239</v>
      </c>
      <c r="B245" s="119">
        <v>202510</v>
      </c>
      <c r="C245" s="44" t="s">
        <v>490</v>
      </c>
      <c r="D245" s="44" t="s">
        <v>491</v>
      </c>
      <c r="E245" s="44" t="s">
        <v>485</v>
      </c>
      <c r="F245" s="44">
        <v>0</v>
      </c>
      <c r="G245" s="44">
        <v>0</v>
      </c>
      <c r="H245" s="44">
        <v>4</v>
      </c>
      <c r="I245" s="44">
        <v>0</v>
      </c>
      <c r="J245" s="44">
        <v>0</v>
      </c>
      <c r="K245" s="123">
        <v>100000</v>
      </c>
      <c r="L245" s="124">
        <f t="shared" si="30"/>
        <v>4</v>
      </c>
      <c r="M245" s="45">
        <f t="shared" si="32"/>
        <v>400000</v>
      </c>
      <c r="N245" s="45">
        <f t="shared" si="37"/>
        <v>400000</v>
      </c>
      <c r="O245" s="45"/>
      <c r="P245" s="45" t="s">
        <v>2802</v>
      </c>
      <c r="Q245" s="45"/>
      <c r="R245" s="45"/>
      <c r="S245" s="45">
        <f t="shared" si="33"/>
        <v>0</v>
      </c>
      <c r="T245" s="44" t="s">
        <v>19</v>
      </c>
      <c r="U245" s="44" t="s">
        <v>20</v>
      </c>
      <c r="V245" s="43" t="s">
        <v>21</v>
      </c>
    </row>
    <row r="246" spans="1:22">
      <c r="A246" s="2">
        <v>240</v>
      </c>
      <c r="B246" s="119">
        <v>202510</v>
      </c>
      <c r="C246" s="44" t="s">
        <v>492</v>
      </c>
      <c r="D246" s="44" t="s">
        <v>493</v>
      </c>
      <c r="E246" s="44" t="s">
        <v>485</v>
      </c>
      <c r="F246" s="44">
        <v>0</v>
      </c>
      <c r="G246" s="44">
        <v>0</v>
      </c>
      <c r="H246" s="44">
        <v>4</v>
      </c>
      <c r="I246" s="44">
        <v>0</v>
      </c>
      <c r="J246" s="44">
        <v>0</v>
      </c>
      <c r="K246" s="123">
        <v>100000</v>
      </c>
      <c r="L246" s="124">
        <f t="shared" si="30"/>
        <v>4</v>
      </c>
      <c r="M246" s="45">
        <f t="shared" si="32"/>
        <v>400000</v>
      </c>
      <c r="N246" s="45">
        <f t="shared" si="37"/>
        <v>400000</v>
      </c>
      <c r="O246" s="45"/>
      <c r="P246" s="45" t="s">
        <v>3144</v>
      </c>
      <c r="Q246" s="45"/>
      <c r="R246" s="45"/>
      <c r="S246" s="45">
        <f t="shared" si="33"/>
        <v>0</v>
      </c>
      <c r="T246" s="44" t="s">
        <v>19</v>
      </c>
      <c r="U246" s="44" t="s">
        <v>20</v>
      </c>
      <c r="V246" s="43" t="s">
        <v>21</v>
      </c>
    </row>
    <row r="247" spans="1:22">
      <c r="A247" s="2">
        <v>241</v>
      </c>
      <c r="B247" s="119">
        <v>202510</v>
      </c>
      <c r="C247" s="44" t="s">
        <v>494</v>
      </c>
      <c r="D247" s="44" t="s">
        <v>495</v>
      </c>
      <c r="E247" s="44" t="s">
        <v>485</v>
      </c>
      <c r="F247" s="44">
        <v>0</v>
      </c>
      <c r="G247" s="44">
        <v>0</v>
      </c>
      <c r="H247" s="44">
        <v>4</v>
      </c>
      <c r="I247" s="44">
        <v>0</v>
      </c>
      <c r="J247" s="44">
        <v>0</v>
      </c>
      <c r="K247" s="123">
        <v>100000</v>
      </c>
      <c r="L247" s="124">
        <f t="shared" si="30"/>
        <v>4</v>
      </c>
      <c r="M247" s="45">
        <f t="shared" si="32"/>
        <v>400000</v>
      </c>
      <c r="N247" s="45">
        <f t="shared" si="37"/>
        <v>400000</v>
      </c>
      <c r="O247" s="45"/>
      <c r="P247" s="45" t="s">
        <v>3139</v>
      </c>
      <c r="Q247" s="45"/>
      <c r="R247" s="45"/>
      <c r="S247" s="45">
        <f t="shared" si="33"/>
        <v>0</v>
      </c>
      <c r="T247" s="44" t="s">
        <v>19</v>
      </c>
      <c r="U247" s="44" t="s">
        <v>20</v>
      </c>
      <c r="V247" s="43" t="s">
        <v>21</v>
      </c>
    </row>
    <row r="248" spans="1:22">
      <c r="A248" s="2">
        <v>242</v>
      </c>
      <c r="B248" s="119">
        <v>202510</v>
      </c>
      <c r="C248" s="44" t="s">
        <v>496</v>
      </c>
      <c r="D248" s="44" t="s">
        <v>497</v>
      </c>
      <c r="E248" s="44" t="s">
        <v>485</v>
      </c>
      <c r="F248" s="44">
        <v>0</v>
      </c>
      <c r="G248" s="44">
        <v>0</v>
      </c>
      <c r="H248" s="44">
        <v>4</v>
      </c>
      <c r="I248" s="44">
        <v>0</v>
      </c>
      <c r="J248" s="44">
        <v>0</v>
      </c>
      <c r="K248" s="123">
        <v>100000</v>
      </c>
      <c r="L248" s="124">
        <f t="shared" si="30"/>
        <v>4</v>
      </c>
      <c r="M248" s="45">
        <f t="shared" si="32"/>
        <v>400000</v>
      </c>
      <c r="N248" s="45">
        <f t="shared" si="37"/>
        <v>400000</v>
      </c>
      <c r="O248" s="45"/>
      <c r="P248" s="45" t="s">
        <v>7089</v>
      </c>
      <c r="Q248" s="45"/>
      <c r="R248" s="45"/>
      <c r="S248" s="45">
        <f t="shared" si="33"/>
        <v>0</v>
      </c>
      <c r="T248" s="44" t="s">
        <v>19</v>
      </c>
      <c r="U248" s="44" t="s">
        <v>20</v>
      </c>
      <c r="V248" s="43" t="s">
        <v>21</v>
      </c>
    </row>
    <row r="249" spans="1:22">
      <c r="A249" s="2">
        <v>243</v>
      </c>
      <c r="B249" s="119">
        <v>202510</v>
      </c>
      <c r="C249" s="44" t="s">
        <v>498</v>
      </c>
      <c r="D249" s="44" t="s">
        <v>499</v>
      </c>
      <c r="E249" s="44" t="s">
        <v>485</v>
      </c>
      <c r="F249" s="44">
        <v>0</v>
      </c>
      <c r="G249" s="44">
        <v>0</v>
      </c>
      <c r="H249" s="44">
        <v>4</v>
      </c>
      <c r="I249" s="44">
        <v>0</v>
      </c>
      <c r="J249" s="44">
        <v>0</v>
      </c>
      <c r="K249" s="123">
        <v>100000</v>
      </c>
      <c r="L249" s="124">
        <f t="shared" si="30"/>
        <v>4</v>
      </c>
      <c r="M249" s="45">
        <f t="shared" si="32"/>
        <v>400000</v>
      </c>
      <c r="N249" s="45">
        <f t="shared" si="37"/>
        <v>400000</v>
      </c>
      <c r="O249" s="45"/>
      <c r="P249" s="45" t="s">
        <v>2720</v>
      </c>
      <c r="Q249" s="45"/>
      <c r="R249" s="45"/>
      <c r="S249" s="45">
        <f t="shared" si="33"/>
        <v>0</v>
      </c>
      <c r="T249" s="44" t="s">
        <v>19</v>
      </c>
      <c r="U249" s="44" t="s">
        <v>20</v>
      </c>
      <c r="V249" s="43" t="s">
        <v>21</v>
      </c>
    </row>
    <row r="250" spans="1:22">
      <c r="A250" s="2">
        <v>244</v>
      </c>
      <c r="B250" s="119">
        <v>202510</v>
      </c>
      <c r="C250" s="44" t="s">
        <v>198</v>
      </c>
      <c r="D250" s="44" t="s">
        <v>500</v>
      </c>
      <c r="E250" s="44" t="s">
        <v>485</v>
      </c>
      <c r="F250" s="44">
        <v>0</v>
      </c>
      <c r="G250" s="44">
        <v>0</v>
      </c>
      <c r="H250" s="44">
        <v>4</v>
      </c>
      <c r="I250" s="44">
        <v>0</v>
      </c>
      <c r="J250" s="44">
        <v>0</v>
      </c>
      <c r="K250" s="123">
        <v>100000</v>
      </c>
      <c r="L250" s="124">
        <f t="shared" ref="L250:L313" si="38">SUM(F250:J250)</f>
        <v>4</v>
      </c>
      <c r="M250" s="45">
        <f t="shared" si="32"/>
        <v>400000</v>
      </c>
      <c r="N250" s="45">
        <f t="shared" si="37"/>
        <v>400000</v>
      </c>
      <c r="O250" s="45"/>
      <c r="P250" s="45" t="s">
        <v>2734</v>
      </c>
      <c r="Q250" s="45"/>
      <c r="R250" s="45"/>
      <c r="S250" s="45">
        <f t="shared" si="33"/>
        <v>0</v>
      </c>
      <c r="T250" s="44" t="s">
        <v>19</v>
      </c>
      <c r="U250" s="44" t="s">
        <v>20</v>
      </c>
      <c r="V250" s="43" t="s">
        <v>21</v>
      </c>
    </row>
    <row r="251" spans="1:22">
      <c r="A251" s="2">
        <v>245</v>
      </c>
      <c r="B251" s="119">
        <v>202510</v>
      </c>
      <c r="C251" s="44" t="s">
        <v>501</v>
      </c>
      <c r="D251" s="44" t="s">
        <v>502</v>
      </c>
      <c r="E251" s="44" t="s">
        <v>485</v>
      </c>
      <c r="F251" s="44">
        <v>0</v>
      </c>
      <c r="G251" s="44">
        <v>0</v>
      </c>
      <c r="H251" s="44">
        <v>4</v>
      </c>
      <c r="I251" s="44">
        <v>0</v>
      </c>
      <c r="J251" s="44">
        <v>0</v>
      </c>
      <c r="K251" s="123">
        <v>100000</v>
      </c>
      <c r="L251" s="124">
        <f t="shared" si="38"/>
        <v>4</v>
      </c>
      <c r="M251" s="45">
        <f t="shared" si="32"/>
        <v>400000</v>
      </c>
      <c r="N251" s="45">
        <f t="shared" si="37"/>
        <v>400000</v>
      </c>
      <c r="O251" s="45"/>
      <c r="P251" s="45" t="s">
        <v>2760</v>
      </c>
      <c r="Q251" s="45"/>
      <c r="R251" s="45"/>
      <c r="S251" s="45">
        <f t="shared" si="33"/>
        <v>0</v>
      </c>
      <c r="T251" s="44" t="s">
        <v>19</v>
      </c>
      <c r="U251" s="44" t="s">
        <v>20</v>
      </c>
      <c r="V251" s="43" t="s">
        <v>21</v>
      </c>
    </row>
    <row r="252" spans="1:22">
      <c r="A252" s="2">
        <v>246</v>
      </c>
      <c r="B252" s="119">
        <v>202510</v>
      </c>
      <c r="C252" s="44" t="s">
        <v>503</v>
      </c>
      <c r="D252" s="44" t="s">
        <v>504</v>
      </c>
      <c r="E252" s="44" t="s">
        <v>485</v>
      </c>
      <c r="F252" s="44">
        <v>0</v>
      </c>
      <c r="G252" s="44">
        <v>0</v>
      </c>
      <c r="H252" s="44">
        <v>4</v>
      </c>
      <c r="I252" s="44">
        <v>0</v>
      </c>
      <c r="J252" s="44">
        <v>0</v>
      </c>
      <c r="K252" s="123">
        <v>100000</v>
      </c>
      <c r="L252" s="124">
        <f t="shared" si="38"/>
        <v>4</v>
      </c>
      <c r="M252" s="45">
        <f t="shared" si="32"/>
        <v>400000</v>
      </c>
      <c r="N252" s="45">
        <f t="shared" si="37"/>
        <v>400000</v>
      </c>
      <c r="O252" s="45"/>
      <c r="P252" s="45" t="s">
        <v>7102</v>
      </c>
      <c r="Q252" s="45"/>
      <c r="R252" s="45"/>
      <c r="S252" s="45">
        <f t="shared" si="33"/>
        <v>0</v>
      </c>
      <c r="T252" s="44" t="s">
        <v>19</v>
      </c>
      <c r="U252" s="44" t="s">
        <v>20</v>
      </c>
      <c r="V252" s="43" t="s">
        <v>21</v>
      </c>
    </row>
    <row r="253" spans="1:22">
      <c r="A253" s="2">
        <v>247</v>
      </c>
      <c r="B253" s="119">
        <v>202510</v>
      </c>
      <c r="C253" s="44" t="s">
        <v>505</v>
      </c>
      <c r="D253" s="44" t="s">
        <v>506</v>
      </c>
      <c r="E253" s="44" t="s">
        <v>485</v>
      </c>
      <c r="F253" s="44">
        <v>0</v>
      </c>
      <c r="G253" s="44">
        <v>0</v>
      </c>
      <c r="H253" s="44">
        <v>4</v>
      </c>
      <c r="I253" s="44">
        <v>0</v>
      </c>
      <c r="J253" s="44">
        <v>0</v>
      </c>
      <c r="K253" s="123">
        <v>100000</v>
      </c>
      <c r="L253" s="124">
        <f t="shared" si="38"/>
        <v>4</v>
      </c>
      <c r="M253" s="45">
        <f t="shared" si="32"/>
        <v>400000</v>
      </c>
      <c r="N253" s="45">
        <f t="shared" ref="N253:N258" si="39">M253</f>
        <v>400000</v>
      </c>
      <c r="O253" s="45"/>
      <c r="P253" s="45" t="s">
        <v>3136</v>
      </c>
      <c r="Q253" s="45"/>
      <c r="R253" s="45"/>
      <c r="S253" s="45">
        <f t="shared" si="33"/>
        <v>0</v>
      </c>
      <c r="T253" s="44" t="s">
        <v>19</v>
      </c>
      <c r="U253" s="44" t="s">
        <v>20</v>
      </c>
      <c r="V253" s="43" t="s">
        <v>21</v>
      </c>
    </row>
    <row r="254" spans="1:22">
      <c r="A254" s="2">
        <v>248</v>
      </c>
      <c r="B254" s="119">
        <v>202510</v>
      </c>
      <c r="C254" s="44" t="s">
        <v>507</v>
      </c>
      <c r="D254" s="44" t="s">
        <v>508</v>
      </c>
      <c r="E254" s="44" t="s">
        <v>485</v>
      </c>
      <c r="F254" s="44">
        <v>0</v>
      </c>
      <c r="G254" s="44">
        <v>0</v>
      </c>
      <c r="H254" s="44">
        <v>4</v>
      </c>
      <c r="I254" s="44">
        <v>0</v>
      </c>
      <c r="J254" s="44">
        <v>0</v>
      </c>
      <c r="K254" s="123">
        <v>100000</v>
      </c>
      <c r="L254" s="124">
        <f t="shared" si="38"/>
        <v>4</v>
      </c>
      <c r="M254" s="45">
        <f t="shared" si="32"/>
        <v>400000</v>
      </c>
      <c r="N254" s="45">
        <f t="shared" si="39"/>
        <v>400000</v>
      </c>
      <c r="O254" s="45"/>
      <c r="P254" s="45" t="s">
        <v>3142</v>
      </c>
      <c r="Q254" s="45"/>
      <c r="R254" s="45"/>
      <c r="S254" s="45">
        <f t="shared" si="33"/>
        <v>0</v>
      </c>
      <c r="T254" s="44" t="s">
        <v>19</v>
      </c>
      <c r="U254" s="44" t="s">
        <v>20</v>
      </c>
      <c r="V254" s="43" t="s">
        <v>21</v>
      </c>
    </row>
    <row r="255" spans="1:22">
      <c r="A255" s="2">
        <v>249</v>
      </c>
      <c r="B255" s="119">
        <v>202510</v>
      </c>
      <c r="C255" s="44" t="s">
        <v>509</v>
      </c>
      <c r="D255" s="44" t="s">
        <v>510</v>
      </c>
      <c r="E255" s="44" t="s">
        <v>485</v>
      </c>
      <c r="F255" s="44">
        <v>0</v>
      </c>
      <c r="G255" s="44">
        <v>0</v>
      </c>
      <c r="H255" s="44">
        <v>3</v>
      </c>
      <c r="I255" s="44">
        <v>0</v>
      </c>
      <c r="J255" s="44">
        <v>0</v>
      </c>
      <c r="K255" s="123">
        <v>100000</v>
      </c>
      <c r="L255" s="124">
        <f t="shared" si="38"/>
        <v>3</v>
      </c>
      <c r="M255" s="45">
        <f t="shared" si="32"/>
        <v>300000</v>
      </c>
      <c r="N255" s="45">
        <f t="shared" si="39"/>
        <v>300000</v>
      </c>
      <c r="O255" s="45"/>
      <c r="P255" s="45" t="s">
        <v>3124</v>
      </c>
      <c r="Q255" s="45"/>
      <c r="R255" s="45"/>
      <c r="S255" s="45">
        <f t="shared" ref="S255:S316" si="40">M255-N255</f>
        <v>0</v>
      </c>
      <c r="T255" s="44" t="s">
        <v>19</v>
      </c>
      <c r="U255" s="44" t="s">
        <v>20</v>
      </c>
      <c r="V255" s="43" t="s">
        <v>21</v>
      </c>
    </row>
    <row r="256" spans="1:22">
      <c r="A256" s="2">
        <v>250</v>
      </c>
      <c r="B256" s="119">
        <v>202510</v>
      </c>
      <c r="C256" s="44" t="s">
        <v>511</v>
      </c>
      <c r="D256" s="44" t="s">
        <v>512</v>
      </c>
      <c r="E256" s="44" t="s">
        <v>485</v>
      </c>
      <c r="F256" s="44">
        <v>0</v>
      </c>
      <c r="G256" s="44">
        <v>0</v>
      </c>
      <c r="H256" s="44">
        <v>4</v>
      </c>
      <c r="I256" s="44">
        <v>0</v>
      </c>
      <c r="J256" s="44">
        <v>0</v>
      </c>
      <c r="K256" s="123">
        <v>100000</v>
      </c>
      <c r="L256" s="124">
        <f t="shared" si="38"/>
        <v>4</v>
      </c>
      <c r="M256" s="45">
        <f t="shared" si="32"/>
        <v>400000</v>
      </c>
      <c r="N256" s="45">
        <f t="shared" si="39"/>
        <v>400000</v>
      </c>
      <c r="O256" s="45"/>
      <c r="P256" s="45" t="s">
        <v>6731</v>
      </c>
      <c r="Q256" s="45"/>
      <c r="R256" s="45"/>
      <c r="S256" s="45">
        <f t="shared" si="40"/>
        <v>0</v>
      </c>
      <c r="T256" s="44" t="s">
        <v>19</v>
      </c>
      <c r="U256" s="44" t="s">
        <v>20</v>
      </c>
      <c r="V256" s="43" t="s">
        <v>21</v>
      </c>
    </row>
    <row r="257" spans="1:22">
      <c r="A257" s="2">
        <v>251</v>
      </c>
      <c r="B257" s="119">
        <v>202510</v>
      </c>
      <c r="C257" s="44" t="s">
        <v>513</v>
      </c>
      <c r="D257" s="44" t="s">
        <v>514</v>
      </c>
      <c r="E257" s="44" t="s">
        <v>485</v>
      </c>
      <c r="F257" s="44">
        <v>0</v>
      </c>
      <c r="G257" s="44">
        <v>0</v>
      </c>
      <c r="H257" s="44">
        <v>2</v>
      </c>
      <c r="I257" s="44">
        <v>0</v>
      </c>
      <c r="J257" s="44">
        <v>0</v>
      </c>
      <c r="K257" s="123">
        <v>100000</v>
      </c>
      <c r="L257" s="124">
        <f t="shared" si="38"/>
        <v>2</v>
      </c>
      <c r="M257" s="45">
        <f t="shared" ref="M257:M320" si="41">L257*K257</f>
        <v>200000</v>
      </c>
      <c r="N257" s="45">
        <f t="shared" si="39"/>
        <v>200000</v>
      </c>
      <c r="O257" s="45"/>
      <c r="P257" s="45" t="s">
        <v>6302</v>
      </c>
      <c r="Q257" s="45"/>
      <c r="R257" s="45"/>
      <c r="S257" s="45">
        <f t="shared" si="40"/>
        <v>0</v>
      </c>
      <c r="T257" s="44" t="s">
        <v>19</v>
      </c>
      <c r="U257" s="44" t="s">
        <v>20</v>
      </c>
      <c r="V257" s="43" t="s">
        <v>21</v>
      </c>
    </row>
    <row r="258" spans="1:22">
      <c r="A258" s="2">
        <v>252</v>
      </c>
      <c r="B258" s="119">
        <v>202510</v>
      </c>
      <c r="C258" s="44" t="s">
        <v>515</v>
      </c>
      <c r="D258" s="44" t="s">
        <v>516</v>
      </c>
      <c r="E258" s="44" t="s">
        <v>485</v>
      </c>
      <c r="F258" s="44">
        <v>0</v>
      </c>
      <c r="G258" s="44">
        <v>0</v>
      </c>
      <c r="H258" s="44">
        <v>3</v>
      </c>
      <c r="I258" s="44">
        <v>0</v>
      </c>
      <c r="J258" s="44">
        <v>0</v>
      </c>
      <c r="K258" s="123">
        <v>100000</v>
      </c>
      <c r="L258" s="124">
        <f t="shared" si="38"/>
        <v>3</v>
      </c>
      <c r="M258" s="45">
        <f t="shared" si="41"/>
        <v>300000</v>
      </c>
      <c r="N258" s="45">
        <f t="shared" si="39"/>
        <v>300000</v>
      </c>
      <c r="O258" s="45"/>
      <c r="P258" s="45" t="s">
        <v>6314</v>
      </c>
      <c r="Q258" s="45"/>
      <c r="R258" s="45"/>
      <c r="S258" s="45">
        <f t="shared" si="40"/>
        <v>0</v>
      </c>
      <c r="T258" s="44" t="s">
        <v>19</v>
      </c>
      <c r="U258" s="44" t="s">
        <v>20</v>
      </c>
      <c r="V258" s="43" t="s">
        <v>21</v>
      </c>
    </row>
    <row r="259" spans="1:22">
      <c r="A259" s="2">
        <v>253</v>
      </c>
      <c r="B259" s="119">
        <v>202510</v>
      </c>
      <c r="C259" s="44" t="s">
        <v>517</v>
      </c>
      <c r="D259" s="44" t="s">
        <v>518</v>
      </c>
      <c r="E259" s="44" t="s">
        <v>485</v>
      </c>
      <c r="F259" s="44">
        <v>0</v>
      </c>
      <c r="G259" s="44">
        <v>0</v>
      </c>
      <c r="H259" s="44">
        <v>0</v>
      </c>
      <c r="I259" s="44">
        <v>0</v>
      </c>
      <c r="J259" s="44">
        <v>0</v>
      </c>
      <c r="K259" s="123">
        <v>100000</v>
      </c>
      <c r="L259" s="124">
        <f t="shared" si="38"/>
        <v>0</v>
      </c>
      <c r="M259" s="45">
        <f t="shared" si="41"/>
        <v>0</v>
      </c>
      <c r="N259" s="45"/>
      <c r="O259" s="45"/>
      <c r="P259" s="45"/>
      <c r="Q259" s="45"/>
      <c r="R259" s="45"/>
      <c r="S259" s="45">
        <f t="shared" si="40"/>
        <v>0</v>
      </c>
      <c r="T259" s="44" t="s">
        <v>19</v>
      </c>
      <c r="U259" s="44" t="s">
        <v>20</v>
      </c>
      <c r="V259" s="43" t="s">
        <v>21</v>
      </c>
    </row>
    <row r="260" spans="1:22">
      <c r="A260" s="2">
        <v>254</v>
      </c>
      <c r="B260" s="119">
        <v>202510</v>
      </c>
      <c r="C260" s="44" t="s">
        <v>519</v>
      </c>
      <c r="D260" s="44" t="s">
        <v>520</v>
      </c>
      <c r="E260" s="44" t="s">
        <v>485</v>
      </c>
      <c r="F260" s="44">
        <v>0</v>
      </c>
      <c r="G260" s="44">
        <v>0</v>
      </c>
      <c r="H260" s="44">
        <v>4</v>
      </c>
      <c r="I260" s="44">
        <v>0</v>
      </c>
      <c r="J260" s="44">
        <v>0</v>
      </c>
      <c r="K260" s="123">
        <v>100000</v>
      </c>
      <c r="L260" s="124">
        <f t="shared" si="38"/>
        <v>4</v>
      </c>
      <c r="M260" s="45">
        <f t="shared" si="41"/>
        <v>400000</v>
      </c>
      <c r="N260" s="45">
        <f t="shared" ref="N260:N265" si="42">M260</f>
        <v>400000</v>
      </c>
      <c r="O260" s="45"/>
      <c r="P260" s="45" t="s">
        <v>6073</v>
      </c>
      <c r="Q260" s="45"/>
      <c r="R260" s="45"/>
      <c r="S260" s="45">
        <f t="shared" si="40"/>
        <v>0</v>
      </c>
      <c r="T260" s="44" t="s">
        <v>19</v>
      </c>
      <c r="U260" s="44" t="s">
        <v>20</v>
      </c>
      <c r="V260" s="43" t="s">
        <v>21</v>
      </c>
    </row>
    <row r="261" spans="1:22">
      <c r="A261" s="2">
        <v>255</v>
      </c>
      <c r="B261" s="119">
        <v>202510</v>
      </c>
      <c r="C261" s="44" t="s">
        <v>521</v>
      </c>
      <c r="D261" s="44" t="s">
        <v>522</v>
      </c>
      <c r="E261" s="44" t="s">
        <v>485</v>
      </c>
      <c r="F261" s="44">
        <v>0</v>
      </c>
      <c r="G261" s="44">
        <v>0</v>
      </c>
      <c r="H261" s="44">
        <v>4</v>
      </c>
      <c r="I261" s="44">
        <v>0</v>
      </c>
      <c r="J261" s="44">
        <v>0</v>
      </c>
      <c r="K261" s="123">
        <v>100000</v>
      </c>
      <c r="L261" s="124">
        <f t="shared" si="38"/>
        <v>4</v>
      </c>
      <c r="M261" s="45">
        <f t="shared" si="41"/>
        <v>400000</v>
      </c>
      <c r="N261" s="45">
        <f t="shared" si="42"/>
        <v>400000</v>
      </c>
      <c r="O261" s="45"/>
      <c r="P261" s="45" t="s">
        <v>3109</v>
      </c>
      <c r="Q261" s="45"/>
      <c r="R261" s="45"/>
      <c r="S261" s="45">
        <f t="shared" si="40"/>
        <v>0</v>
      </c>
      <c r="T261" s="44" t="s">
        <v>19</v>
      </c>
      <c r="U261" s="44" t="s">
        <v>20</v>
      </c>
      <c r="V261" s="43" t="s">
        <v>21</v>
      </c>
    </row>
    <row r="262" spans="1:22">
      <c r="A262" s="2">
        <v>256</v>
      </c>
      <c r="B262" s="119">
        <v>202510</v>
      </c>
      <c r="C262" s="44" t="s">
        <v>523</v>
      </c>
      <c r="D262" s="44" t="s">
        <v>524</v>
      </c>
      <c r="E262" s="44" t="s">
        <v>485</v>
      </c>
      <c r="F262" s="44">
        <v>0</v>
      </c>
      <c r="G262" s="44">
        <v>0</v>
      </c>
      <c r="H262" s="44">
        <v>2</v>
      </c>
      <c r="I262" s="44">
        <v>0</v>
      </c>
      <c r="J262" s="44">
        <v>0</v>
      </c>
      <c r="K262" s="123">
        <v>100000</v>
      </c>
      <c r="L262" s="124">
        <f t="shared" si="38"/>
        <v>2</v>
      </c>
      <c r="M262" s="45">
        <f t="shared" si="41"/>
        <v>200000</v>
      </c>
      <c r="N262" s="45">
        <f t="shared" si="42"/>
        <v>200000</v>
      </c>
      <c r="O262" s="45"/>
      <c r="P262" s="45" t="s">
        <v>3052</v>
      </c>
      <c r="Q262" s="45"/>
      <c r="R262" s="45"/>
      <c r="S262" s="45">
        <f t="shared" si="40"/>
        <v>0</v>
      </c>
      <c r="T262" s="44" t="s">
        <v>19</v>
      </c>
      <c r="U262" s="44" t="s">
        <v>20</v>
      </c>
      <c r="V262" s="43" t="s">
        <v>21</v>
      </c>
    </row>
    <row r="263" spans="1:22">
      <c r="A263" s="2">
        <v>257</v>
      </c>
      <c r="B263" s="119">
        <v>202510</v>
      </c>
      <c r="C263" s="44" t="s">
        <v>525</v>
      </c>
      <c r="D263" s="44" t="s">
        <v>526</v>
      </c>
      <c r="E263" s="44" t="s">
        <v>485</v>
      </c>
      <c r="F263" s="44">
        <v>0</v>
      </c>
      <c r="G263" s="44">
        <v>0</v>
      </c>
      <c r="H263" s="44">
        <v>4</v>
      </c>
      <c r="I263" s="44">
        <v>0</v>
      </c>
      <c r="J263" s="44">
        <v>0</v>
      </c>
      <c r="K263" s="123">
        <v>100000</v>
      </c>
      <c r="L263" s="124">
        <f t="shared" si="38"/>
        <v>4</v>
      </c>
      <c r="M263" s="45">
        <f t="shared" si="41"/>
        <v>400000</v>
      </c>
      <c r="N263" s="45">
        <f t="shared" si="42"/>
        <v>400000</v>
      </c>
      <c r="O263" s="45"/>
      <c r="P263" s="45" t="s">
        <v>2677</v>
      </c>
      <c r="Q263" s="45"/>
      <c r="R263" s="45"/>
      <c r="S263" s="45">
        <f t="shared" si="40"/>
        <v>0</v>
      </c>
      <c r="T263" s="44" t="s">
        <v>19</v>
      </c>
      <c r="U263" s="44" t="s">
        <v>20</v>
      </c>
      <c r="V263" s="43" t="s">
        <v>21</v>
      </c>
    </row>
    <row r="264" spans="1:22">
      <c r="A264" s="2">
        <v>258</v>
      </c>
      <c r="B264" s="119">
        <v>202510</v>
      </c>
      <c r="C264" s="44" t="s">
        <v>527</v>
      </c>
      <c r="D264" s="44" t="s">
        <v>528</v>
      </c>
      <c r="E264" s="44" t="s">
        <v>485</v>
      </c>
      <c r="F264" s="44">
        <v>0</v>
      </c>
      <c r="G264" s="44">
        <v>0</v>
      </c>
      <c r="H264" s="44">
        <v>4</v>
      </c>
      <c r="I264" s="44">
        <v>0</v>
      </c>
      <c r="J264" s="44">
        <v>0</v>
      </c>
      <c r="K264" s="123">
        <v>100000</v>
      </c>
      <c r="L264" s="124">
        <f t="shared" si="38"/>
        <v>4</v>
      </c>
      <c r="M264" s="45">
        <f t="shared" si="41"/>
        <v>400000</v>
      </c>
      <c r="N264" s="45">
        <f t="shared" si="42"/>
        <v>400000</v>
      </c>
      <c r="O264" s="45"/>
      <c r="P264" s="45" t="s">
        <v>2778</v>
      </c>
      <c r="Q264" s="45"/>
      <c r="R264" s="45"/>
      <c r="S264" s="45">
        <f t="shared" si="40"/>
        <v>0</v>
      </c>
      <c r="T264" s="44" t="s">
        <v>19</v>
      </c>
      <c r="U264" s="44" t="s">
        <v>20</v>
      </c>
      <c r="V264" s="43" t="s">
        <v>21</v>
      </c>
    </row>
    <row r="265" spans="1:22">
      <c r="A265" s="2">
        <v>259</v>
      </c>
      <c r="B265" s="119">
        <v>202510</v>
      </c>
      <c r="C265" s="44" t="s">
        <v>529</v>
      </c>
      <c r="D265" s="44" t="s">
        <v>530</v>
      </c>
      <c r="E265" s="44" t="s">
        <v>531</v>
      </c>
      <c r="F265" s="44">
        <v>3</v>
      </c>
      <c r="G265" s="44">
        <v>0</v>
      </c>
      <c r="H265" s="44">
        <v>0</v>
      </c>
      <c r="I265" s="44">
        <v>0</v>
      </c>
      <c r="J265" s="44">
        <v>0</v>
      </c>
      <c r="K265" s="123">
        <v>100000</v>
      </c>
      <c r="L265" s="124">
        <f t="shared" si="38"/>
        <v>3</v>
      </c>
      <c r="M265" s="45">
        <f t="shared" si="41"/>
        <v>300000</v>
      </c>
      <c r="N265" s="45">
        <f t="shared" si="42"/>
        <v>300000</v>
      </c>
      <c r="O265" s="45"/>
      <c r="P265" s="45" t="s">
        <v>6564</v>
      </c>
      <c r="Q265" s="45"/>
      <c r="R265" s="45"/>
      <c r="S265" s="45">
        <f t="shared" si="40"/>
        <v>0</v>
      </c>
      <c r="T265" s="44" t="s">
        <v>19</v>
      </c>
      <c r="U265" s="44" t="s">
        <v>20</v>
      </c>
      <c r="V265" s="43" t="s">
        <v>21</v>
      </c>
    </row>
    <row r="266" spans="1:22">
      <c r="A266" s="2">
        <v>260</v>
      </c>
      <c r="B266" s="119">
        <v>202510</v>
      </c>
      <c r="C266" s="44" t="s">
        <v>532</v>
      </c>
      <c r="D266" s="44" t="s">
        <v>533</v>
      </c>
      <c r="E266" s="44" t="s">
        <v>531</v>
      </c>
      <c r="F266" s="44">
        <v>3</v>
      </c>
      <c r="G266" s="44">
        <v>0</v>
      </c>
      <c r="H266" s="44">
        <v>0</v>
      </c>
      <c r="I266" s="44">
        <v>0</v>
      </c>
      <c r="J266" s="44">
        <v>0</v>
      </c>
      <c r="K266" s="123">
        <v>100000</v>
      </c>
      <c r="L266" s="124">
        <f t="shared" si="38"/>
        <v>3</v>
      </c>
      <c r="M266" s="45">
        <f t="shared" si="41"/>
        <v>300000</v>
      </c>
      <c r="N266" s="45">
        <f>M266</f>
        <v>300000</v>
      </c>
      <c r="O266" s="45"/>
      <c r="P266" s="40" t="s">
        <v>6571</v>
      </c>
      <c r="Q266" s="45"/>
      <c r="R266" s="45"/>
      <c r="S266" s="45">
        <f t="shared" si="40"/>
        <v>0</v>
      </c>
      <c r="T266" s="44" t="s">
        <v>19</v>
      </c>
      <c r="U266" s="44" t="s">
        <v>20</v>
      </c>
      <c r="V266" s="43" t="s">
        <v>21</v>
      </c>
    </row>
    <row r="267" spans="1:22">
      <c r="A267" s="2">
        <v>261</v>
      </c>
      <c r="B267" s="119">
        <v>202510</v>
      </c>
      <c r="C267" s="44" t="s">
        <v>534</v>
      </c>
      <c r="D267" s="44" t="s">
        <v>535</v>
      </c>
      <c r="E267" s="44" t="s">
        <v>531</v>
      </c>
      <c r="F267" s="44">
        <v>3</v>
      </c>
      <c r="G267" s="44">
        <v>0</v>
      </c>
      <c r="H267" s="44">
        <v>0</v>
      </c>
      <c r="I267" s="44">
        <v>0</v>
      </c>
      <c r="J267" s="44">
        <v>0</v>
      </c>
      <c r="K267" s="123">
        <v>100000</v>
      </c>
      <c r="L267" s="124">
        <f t="shared" si="38"/>
        <v>3</v>
      </c>
      <c r="M267" s="45">
        <f t="shared" si="41"/>
        <v>300000</v>
      </c>
      <c r="N267" s="45">
        <f>M267</f>
        <v>300000</v>
      </c>
      <c r="O267" s="45"/>
      <c r="P267" s="45" t="s">
        <v>6568</v>
      </c>
      <c r="Q267" s="45"/>
      <c r="R267" s="45"/>
      <c r="S267" s="45">
        <f t="shared" si="40"/>
        <v>0</v>
      </c>
      <c r="T267" s="44" t="s">
        <v>19</v>
      </c>
      <c r="U267" s="44" t="s">
        <v>20</v>
      </c>
      <c r="V267" s="43" t="s">
        <v>21</v>
      </c>
    </row>
    <row r="268" spans="1:22">
      <c r="A268" s="2">
        <v>262</v>
      </c>
      <c r="B268" s="119">
        <v>202510</v>
      </c>
      <c r="C268" s="44" t="s">
        <v>536</v>
      </c>
      <c r="D268" s="44" t="s">
        <v>537</v>
      </c>
      <c r="E268" s="44" t="s">
        <v>531</v>
      </c>
      <c r="F268" s="44">
        <v>3</v>
      </c>
      <c r="G268" s="44">
        <v>0</v>
      </c>
      <c r="H268" s="44">
        <v>0</v>
      </c>
      <c r="I268" s="44">
        <v>0</v>
      </c>
      <c r="J268" s="44">
        <v>0</v>
      </c>
      <c r="K268" s="123">
        <v>100000</v>
      </c>
      <c r="L268" s="124">
        <f t="shared" si="38"/>
        <v>3</v>
      </c>
      <c r="M268" s="45">
        <f t="shared" si="41"/>
        <v>300000</v>
      </c>
      <c r="N268" s="45">
        <f>M268</f>
        <v>300000</v>
      </c>
      <c r="O268" s="45"/>
      <c r="P268" s="45" t="s">
        <v>3131</v>
      </c>
      <c r="Q268" s="45"/>
      <c r="R268" s="45"/>
      <c r="S268" s="45">
        <f t="shared" si="40"/>
        <v>0</v>
      </c>
      <c r="T268" s="44" t="s">
        <v>19</v>
      </c>
      <c r="U268" s="44" t="s">
        <v>20</v>
      </c>
      <c r="V268" s="43" t="s">
        <v>21</v>
      </c>
    </row>
    <row r="269" spans="1:22">
      <c r="A269" s="2">
        <v>263</v>
      </c>
      <c r="B269" s="119">
        <v>202510</v>
      </c>
      <c r="C269" s="44" t="s">
        <v>538</v>
      </c>
      <c r="D269" s="44" t="s">
        <v>539</v>
      </c>
      <c r="E269" s="44" t="s">
        <v>531</v>
      </c>
      <c r="F269" s="44">
        <v>0</v>
      </c>
      <c r="G269" s="44">
        <v>0</v>
      </c>
      <c r="H269" s="44">
        <v>0</v>
      </c>
      <c r="I269" s="44">
        <v>0</v>
      </c>
      <c r="J269" s="44">
        <v>0</v>
      </c>
      <c r="K269" s="123">
        <v>100000</v>
      </c>
      <c r="L269" s="124">
        <f t="shared" si="38"/>
        <v>0</v>
      </c>
      <c r="M269" s="45">
        <f t="shared" si="41"/>
        <v>0</v>
      </c>
      <c r="N269" s="45"/>
      <c r="O269" s="45"/>
      <c r="P269" s="45"/>
      <c r="Q269" s="45"/>
      <c r="R269" s="45"/>
      <c r="S269" s="45">
        <f t="shared" si="40"/>
        <v>0</v>
      </c>
      <c r="T269" s="44" t="s">
        <v>19</v>
      </c>
      <c r="U269" s="44" t="s">
        <v>20</v>
      </c>
      <c r="V269" s="43" t="s">
        <v>21</v>
      </c>
    </row>
    <row r="270" spans="1:22">
      <c r="A270" s="2">
        <v>264</v>
      </c>
      <c r="B270" s="119">
        <v>202510</v>
      </c>
      <c r="C270" s="44" t="s">
        <v>540</v>
      </c>
      <c r="D270" s="44" t="s">
        <v>541</v>
      </c>
      <c r="E270" s="44" t="s">
        <v>531</v>
      </c>
      <c r="F270" s="44">
        <v>3</v>
      </c>
      <c r="G270" s="44">
        <v>0</v>
      </c>
      <c r="H270" s="44">
        <v>0</v>
      </c>
      <c r="I270" s="44">
        <v>0</v>
      </c>
      <c r="J270" s="44">
        <v>0</v>
      </c>
      <c r="K270" s="123">
        <v>100000</v>
      </c>
      <c r="L270" s="124">
        <f t="shared" si="38"/>
        <v>3</v>
      </c>
      <c r="M270" s="45">
        <f t="shared" si="41"/>
        <v>300000</v>
      </c>
      <c r="N270" s="45">
        <f>M270</f>
        <v>300000</v>
      </c>
      <c r="O270" s="45"/>
      <c r="P270" s="40" t="s">
        <v>6587</v>
      </c>
      <c r="Q270" s="45"/>
      <c r="R270" s="45"/>
      <c r="S270" s="45">
        <f t="shared" si="40"/>
        <v>0</v>
      </c>
      <c r="T270" s="44" t="s">
        <v>19</v>
      </c>
      <c r="U270" s="44" t="s">
        <v>20</v>
      </c>
      <c r="V270" s="43" t="s">
        <v>21</v>
      </c>
    </row>
    <row r="271" spans="1:22">
      <c r="A271" s="2">
        <v>265</v>
      </c>
      <c r="B271" s="119">
        <v>202510</v>
      </c>
      <c r="C271" s="44" t="s">
        <v>542</v>
      </c>
      <c r="D271" s="44" t="s">
        <v>543</v>
      </c>
      <c r="E271" s="44" t="s">
        <v>531</v>
      </c>
      <c r="F271" s="44">
        <v>3</v>
      </c>
      <c r="G271" s="44">
        <v>0</v>
      </c>
      <c r="H271" s="44">
        <v>0</v>
      </c>
      <c r="I271" s="44">
        <v>0</v>
      </c>
      <c r="J271" s="44">
        <v>0</v>
      </c>
      <c r="K271" s="123">
        <v>100000</v>
      </c>
      <c r="L271" s="124">
        <f t="shared" si="38"/>
        <v>3</v>
      </c>
      <c r="M271" s="45">
        <f t="shared" si="41"/>
        <v>300000</v>
      </c>
      <c r="N271" s="45">
        <f>M271</f>
        <v>300000</v>
      </c>
      <c r="O271" s="45"/>
      <c r="P271" s="45" t="s">
        <v>6645</v>
      </c>
      <c r="Q271" s="45"/>
      <c r="R271" s="45"/>
      <c r="S271" s="45">
        <f t="shared" si="40"/>
        <v>0</v>
      </c>
      <c r="T271" s="44" t="s">
        <v>19</v>
      </c>
      <c r="U271" s="44" t="s">
        <v>20</v>
      </c>
      <c r="V271" s="43" t="s">
        <v>21</v>
      </c>
    </row>
    <row r="272" spans="1:22">
      <c r="A272" s="2">
        <v>266</v>
      </c>
      <c r="B272" s="119">
        <v>202510</v>
      </c>
      <c r="C272" s="44" t="s">
        <v>544</v>
      </c>
      <c r="D272" s="44" t="s">
        <v>545</v>
      </c>
      <c r="E272" s="44" t="s">
        <v>531</v>
      </c>
      <c r="F272" s="44">
        <v>0</v>
      </c>
      <c r="G272" s="44">
        <v>0</v>
      </c>
      <c r="H272" s="44">
        <v>0</v>
      </c>
      <c r="I272" s="44">
        <v>0</v>
      </c>
      <c r="J272" s="44">
        <v>0</v>
      </c>
      <c r="K272" s="123">
        <v>100000</v>
      </c>
      <c r="L272" s="124">
        <f t="shared" si="38"/>
        <v>0</v>
      </c>
      <c r="M272" s="45">
        <f t="shared" si="41"/>
        <v>0</v>
      </c>
      <c r="N272" s="45"/>
      <c r="O272" s="45"/>
      <c r="P272" s="45"/>
      <c r="Q272" s="45"/>
      <c r="R272" s="45"/>
      <c r="S272" s="45">
        <f t="shared" si="40"/>
        <v>0</v>
      </c>
      <c r="T272" s="44" t="s">
        <v>19</v>
      </c>
      <c r="U272" s="44" t="s">
        <v>20</v>
      </c>
      <c r="V272" s="43" t="s">
        <v>21</v>
      </c>
    </row>
    <row r="273" spans="1:24">
      <c r="A273" s="2">
        <v>267</v>
      </c>
      <c r="B273" s="119">
        <v>202510</v>
      </c>
      <c r="C273" s="44" t="s">
        <v>546</v>
      </c>
      <c r="D273" s="44" t="s">
        <v>547</v>
      </c>
      <c r="E273" s="44" t="s">
        <v>531</v>
      </c>
      <c r="F273" s="44">
        <v>3</v>
      </c>
      <c r="G273" s="44">
        <v>0</v>
      </c>
      <c r="H273" s="44">
        <v>0</v>
      </c>
      <c r="I273" s="44">
        <v>0</v>
      </c>
      <c r="J273" s="44">
        <v>0</v>
      </c>
      <c r="K273" s="123">
        <v>100000</v>
      </c>
      <c r="L273" s="124">
        <f t="shared" si="38"/>
        <v>3</v>
      </c>
      <c r="M273" s="45">
        <f t="shared" si="41"/>
        <v>300000</v>
      </c>
      <c r="N273" s="45">
        <f>M273</f>
        <v>300000</v>
      </c>
      <c r="O273" s="45"/>
      <c r="P273" s="45" t="s">
        <v>6277</v>
      </c>
      <c r="Q273" s="45"/>
      <c r="R273" s="45"/>
      <c r="S273" s="45">
        <f t="shared" si="40"/>
        <v>0</v>
      </c>
      <c r="T273" s="44" t="s">
        <v>19</v>
      </c>
      <c r="U273" s="44" t="s">
        <v>20</v>
      </c>
      <c r="V273" s="43" t="s">
        <v>21</v>
      </c>
    </row>
    <row r="274" spans="1:24">
      <c r="A274" s="2">
        <v>268</v>
      </c>
      <c r="B274" s="129">
        <v>202510</v>
      </c>
      <c r="C274" s="64" t="s">
        <v>548</v>
      </c>
      <c r="D274" s="64" t="s">
        <v>549</v>
      </c>
      <c r="E274" s="64" t="s">
        <v>531</v>
      </c>
      <c r="F274" s="64">
        <v>3</v>
      </c>
      <c r="G274" s="64">
        <v>0</v>
      </c>
      <c r="H274" s="64">
        <v>0</v>
      </c>
      <c r="I274" s="64">
        <v>0</v>
      </c>
      <c r="J274" s="64">
        <v>0</v>
      </c>
      <c r="K274" s="126">
        <v>100000</v>
      </c>
      <c r="L274" s="134">
        <f t="shared" si="38"/>
        <v>3</v>
      </c>
      <c r="M274" s="62">
        <f t="shared" si="41"/>
        <v>300000</v>
      </c>
      <c r="N274" s="45"/>
      <c r="O274" s="45"/>
      <c r="P274" s="45"/>
      <c r="Q274" s="45"/>
      <c r="R274" s="62" t="s">
        <v>7193</v>
      </c>
      <c r="S274" s="45">
        <f t="shared" si="40"/>
        <v>300000</v>
      </c>
      <c r="T274" s="44" t="s">
        <v>19</v>
      </c>
      <c r="U274" s="44" t="s">
        <v>20</v>
      </c>
      <c r="V274" s="43" t="s">
        <v>21</v>
      </c>
    </row>
    <row r="275" spans="1:24">
      <c r="A275" s="2">
        <v>269</v>
      </c>
      <c r="B275" s="119">
        <v>202510</v>
      </c>
      <c r="C275" s="44" t="s">
        <v>550</v>
      </c>
      <c r="D275" s="44" t="s">
        <v>551</v>
      </c>
      <c r="E275" s="44" t="s">
        <v>531</v>
      </c>
      <c r="F275" s="44">
        <v>3</v>
      </c>
      <c r="G275" s="44">
        <v>0</v>
      </c>
      <c r="H275" s="44">
        <v>0</v>
      </c>
      <c r="I275" s="44">
        <v>0</v>
      </c>
      <c r="J275" s="44">
        <v>0</v>
      </c>
      <c r="K275" s="123">
        <v>100000</v>
      </c>
      <c r="L275" s="124">
        <f t="shared" si="38"/>
        <v>3</v>
      </c>
      <c r="M275" s="45">
        <f t="shared" si="41"/>
        <v>300000</v>
      </c>
      <c r="N275" s="45">
        <f>M275</f>
        <v>300000</v>
      </c>
      <c r="O275" s="45"/>
      <c r="P275" s="45" t="s">
        <v>3147</v>
      </c>
      <c r="Q275" s="45"/>
      <c r="R275" s="45"/>
      <c r="S275" s="45">
        <f t="shared" si="40"/>
        <v>0</v>
      </c>
      <c r="T275" s="44" t="s">
        <v>19</v>
      </c>
      <c r="U275" s="44" t="s">
        <v>20</v>
      </c>
      <c r="V275" s="43" t="s">
        <v>21</v>
      </c>
    </row>
    <row r="276" spans="1:24">
      <c r="A276" s="2">
        <v>270</v>
      </c>
      <c r="B276" s="119">
        <v>202510</v>
      </c>
      <c r="C276" s="44" t="s">
        <v>552</v>
      </c>
      <c r="D276" s="44" t="s">
        <v>553</v>
      </c>
      <c r="E276" s="44" t="s">
        <v>531</v>
      </c>
      <c r="F276" s="44">
        <v>2</v>
      </c>
      <c r="G276" s="44">
        <v>0</v>
      </c>
      <c r="H276" s="44">
        <v>0</v>
      </c>
      <c r="I276" s="44">
        <v>0</v>
      </c>
      <c r="J276" s="44">
        <v>0</v>
      </c>
      <c r="K276" s="123">
        <v>100000</v>
      </c>
      <c r="L276" s="124">
        <f t="shared" si="38"/>
        <v>2</v>
      </c>
      <c r="M276" s="45">
        <f t="shared" si="41"/>
        <v>200000</v>
      </c>
      <c r="N276" s="45">
        <f>M276</f>
        <v>200000</v>
      </c>
      <c r="O276" s="45"/>
      <c r="P276" s="45" t="s">
        <v>6549</v>
      </c>
      <c r="Q276" s="45"/>
      <c r="R276" s="45"/>
      <c r="S276" s="45">
        <f t="shared" si="40"/>
        <v>0</v>
      </c>
      <c r="T276" s="44" t="s">
        <v>19</v>
      </c>
      <c r="U276" s="44" t="s">
        <v>20</v>
      </c>
      <c r="V276" s="43" t="s">
        <v>21</v>
      </c>
    </row>
    <row r="277" spans="1:24">
      <c r="A277" s="2">
        <v>271</v>
      </c>
      <c r="B277" s="119">
        <v>202510</v>
      </c>
      <c r="C277" s="44" t="s">
        <v>554</v>
      </c>
      <c r="D277" s="44" t="s">
        <v>555</v>
      </c>
      <c r="E277" s="44" t="s">
        <v>531</v>
      </c>
      <c r="F277" s="44">
        <v>3</v>
      </c>
      <c r="G277" s="44">
        <v>0</v>
      </c>
      <c r="H277" s="44">
        <v>0</v>
      </c>
      <c r="I277" s="44">
        <v>0</v>
      </c>
      <c r="J277" s="44">
        <v>0</v>
      </c>
      <c r="K277" s="123">
        <v>100000</v>
      </c>
      <c r="L277" s="124">
        <f t="shared" si="38"/>
        <v>3</v>
      </c>
      <c r="M277" s="45">
        <f t="shared" si="41"/>
        <v>300000</v>
      </c>
      <c r="N277" s="45">
        <f>M277</f>
        <v>300000</v>
      </c>
      <c r="O277" s="45"/>
      <c r="P277" s="45" t="s">
        <v>6569</v>
      </c>
      <c r="Q277" s="45"/>
      <c r="R277" s="45"/>
      <c r="S277" s="45">
        <f t="shared" si="40"/>
        <v>0</v>
      </c>
      <c r="T277" s="44" t="s">
        <v>19</v>
      </c>
      <c r="U277" s="44" t="s">
        <v>20</v>
      </c>
      <c r="V277" s="43" t="s">
        <v>21</v>
      </c>
    </row>
    <row r="278" spans="1:24">
      <c r="A278" s="2">
        <v>272</v>
      </c>
      <c r="B278" s="119">
        <v>202510</v>
      </c>
      <c r="C278" s="44" t="s">
        <v>556</v>
      </c>
      <c r="D278" s="44" t="s">
        <v>557</v>
      </c>
      <c r="E278" s="44" t="s">
        <v>531</v>
      </c>
      <c r="F278" s="44">
        <v>3</v>
      </c>
      <c r="G278" s="44">
        <v>0</v>
      </c>
      <c r="H278" s="44">
        <v>0</v>
      </c>
      <c r="I278" s="44">
        <v>0</v>
      </c>
      <c r="J278" s="44">
        <v>0</v>
      </c>
      <c r="K278" s="123">
        <v>100000</v>
      </c>
      <c r="L278" s="124">
        <f t="shared" si="38"/>
        <v>3</v>
      </c>
      <c r="M278" s="45">
        <f t="shared" si="41"/>
        <v>300000</v>
      </c>
      <c r="N278" s="45">
        <f>M278</f>
        <v>300000</v>
      </c>
      <c r="O278" s="45"/>
      <c r="P278" s="45" t="s">
        <v>6069</v>
      </c>
      <c r="Q278" s="45"/>
      <c r="R278" s="45"/>
      <c r="S278" s="45">
        <f t="shared" si="40"/>
        <v>0</v>
      </c>
      <c r="T278" s="44" t="s">
        <v>19</v>
      </c>
      <c r="U278" s="44" t="s">
        <v>20</v>
      </c>
      <c r="V278" s="43" t="s">
        <v>21</v>
      </c>
    </row>
    <row r="279" spans="1:24">
      <c r="A279" s="2">
        <v>273</v>
      </c>
      <c r="B279" s="119">
        <v>202510</v>
      </c>
      <c r="C279" s="44" t="s">
        <v>558</v>
      </c>
      <c r="D279" s="44" t="s">
        <v>559</v>
      </c>
      <c r="E279" s="44" t="s">
        <v>560</v>
      </c>
      <c r="F279" s="44">
        <v>0</v>
      </c>
      <c r="G279" s="44">
        <v>0</v>
      </c>
      <c r="H279" s="44">
        <v>0</v>
      </c>
      <c r="I279" s="44">
        <v>0</v>
      </c>
      <c r="J279" s="44">
        <v>9</v>
      </c>
      <c r="K279" s="123">
        <v>100000</v>
      </c>
      <c r="L279" s="124">
        <f t="shared" si="38"/>
        <v>9</v>
      </c>
      <c r="M279" s="45">
        <f t="shared" si="41"/>
        <v>900000</v>
      </c>
      <c r="N279" s="45">
        <f>M279</f>
        <v>900000</v>
      </c>
      <c r="O279" s="45"/>
      <c r="P279" s="45" t="s">
        <v>7088</v>
      </c>
      <c r="Q279" s="45"/>
      <c r="R279" s="45"/>
      <c r="S279" s="45">
        <f t="shared" si="40"/>
        <v>0</v>
      </c>
      <c r="T279" s="44" t="s">
        <v>19</v>
      </c>
      <c r="U279" s="44" t="s">
        <v>20</v>
      </c>
      <c r="V279" s="43" t="s">
        <v>21</v>
      </c>
      <c r="W279">
        <f>VLOOKUP(C279,'Data_HS t5'!$B$2:$K$412,10,TRUE)</f>
        <v>0</v>
      </c>
      <c r="X279" t="str">
        <f>VLOOKUP(C279,'Data_HS t9'!$B$2:$K$454,10,TRUE)</f>
        <v>Tổ dân phố số 12, Phường Thạch Bàn, Quận Long Biên, Thành phố Hà Nội</v>
      </c>
    </row>
    <row r="280" spans="1:24">
      <c r="A280" s="2">
        <v>274</v>
      </c>
      <c r="B280" s="119">
        <v>202510</v>
      </c>
      <c r="C280" s="44" t="s">
        <v>561</v>
      </c>
      <c r="D280" s="44" t="s">
        <v>562</v>
      </c>
      <c r="E280" s="44" t="s">
        <v>560</v>
      </c>
      <c r="F280" s="44">
        <v>0</v>
      </c>
      <c r="G280" s="44">
        <v>0</v>
      </c>
      <c r="H280" s="44">
        <v>0</v>
      </c>
      <c r="I280" s="44">
        <v>0</v>
      </c>
      <c r="J280" s="44">
        <v>0</v>
      </c>
      <c r="K280" s="123">
        <v>100000</v>
      </c>
      <c r="L280" s="124">
        <f t="shared" si="38"/>
        <v>0</v>
      </c>
      <c r="M280" s="45">
        <f t="shared" si="41"/>
        <v>0</v>
      </c>
      <c r="N280" s="45"/>
      <c r="O280" s="45"/>
      <c r="P280" s="45"/>
      <c r="Q280" s="45"/>
      <c r="R280" s="45"/>
      <c r="S280" s="45">
        <f t="shared" si="40"/>
        <v>0</v>
      </c>
      <c r="T280" s="44" t="s">
        <v>19</v>
      </c>
      <c r="U280" s="44" t="s">
        <v>20</v>
      </c>
      <c r="V280" s="43" t="s">
        <v>21</v>
      </c>
      <c r="W280">
        <f>VLOOKUP(C280,'Data_HS t5'!$B$2:$K$412,10,TRUE)</f>
        <v>0</v>
      </c>
      <c r="X280" t="str">
        <f>VLOOKUP(C280,'Data_HS t9'!$B$2:$K$454,10,TRUE)</f>
        <v>Tổ dân phố số 11, Phường Sài Đồng, Quận Long Biên, Thành phố Hà Nội</v>
      </c>
    </row>
    <row r="281" spans="1:24">
      <c r="A281" s="2">
        <v>275</v>
      </c>
      <c r="B281" s="119">
        <v>202510</v>
      </c>
      <c r="C281" s="68" t="s">
        <v>563</v>
      </c>
      <c r="D281" s="68" t="s">
        <v>564</v>
      </c>
      <c r="E281" s="68" t="s">
        <v>560</v>
      </c>
      <c r="F281" s="68">
        <v>0</v>
      </c>
      <c r="G281" s="68">
        <v>0</v>
      </c>
      <c r="H281" s="68">
        <v>0</v>
      </c>
      <c r="I281" s="68">
        <v>7</v>
      </c>
      <c r="J281" s="68">
        <v>0</v>
      </c>
      <c r="K281" s="127">
        <v>100000</v>
      </c>
      <c r="L281" s="128">
        <f t="shared" si="38"/>
        <v>7</v>
      </c>
      <c r="M281" s="65">
        <f t="shared" si="41"/>
        <v>700000</v>
      </c>
      <c r="N281" s="65">
        <v>700000</v>
      </c>
      <c r="O281" s="65"/>
      <c r="P281" s="65" t="s">
        <v>7108</v>
      </c>
      <c r="Q281" s="65"/>
      <c r="R281" s="65"/>
      <c r="S281" s="173">
        <f t="shared" si="40"/>
        <v>0</v>
      </c>
      <c r="T281" s="44" t="s">
        <v>19</v>
      </c>
      <c r="U281" s="44" t="s">
        <v>20</v>
      </c>
      <c r="V281" s="43" t="s">
        <v>21</v>
      </c>
      <c r="W281" t="str">
        <f>VLOOKUP(C281,'Data_HS t5'!$B$2:$K$412,10,TRUE)</f>
        <v>Tổ dân phố số 7, Phường Giang Biên, Quận Long Biên, Thành phố Hà Nội</v>
      </c>
      <c r="X281" t="str">
        <f>VLOOKUP(C281,'Data_HS t9'!$B$2:$K$454,10,TRUE)</f>
        <v>Tổ dân phố số 1, Phường Cự Khối, Quận Long Biên, Thành phố Hà Nội</v>
      </c>
    </row>
    <row r="282" spans="1:24">
      <c r="A282" s="2">
        <v>276</v>
      </c>
      <c r="B282" s="119">
        <v>202510</v>
      </c>
      <c r="C282" s="68" t="s">
        <v>565</v>
      </c>
      <c r="D282" s="68" t="s">
        <v>566</v>
      </c>
      <c r="E282" s="68" t="s">
        <v>560</v>
      </c>
      <c r="F282" s="68">
        <v>0</v>
      </c>
      <c r="G282" s="68">
        <v>0</v>
      </c>
      <c r="H282" s="68">
        <v>0</v>
      </c>
      <c r="I282" s="68">
        <v>7</v>
      </c>
      <c r="J282" s="68">
        <v>0</v>
      </c>
      <c r="K282" s="127">
        <v>100000</v>
      </c>
      <c r="L282" s="128">
        <f t="shared" si="38"/>
        <v>7</v>
      </c>
      <c r="M282" s="65">
        <f t="shared" si="41"/>
        <v>700000</v>
      </c>
      <c r="N282" s="65">
        <v>700000</v>
      </c>
      <c r="O282" s="65"/>
      <c r="P282" s="65" t="s">
        <v>7099</v>
      </c>
      <c r="Q282" s="65"/>
      <c r="R282" s="65"/>
      <c r="S282" s="173">
        <f t="shared" si="40"/>
        <v>0</v>
      </c>
      <c r="T282" s="44" t="s">
        <v>19</v>
      </c>
      <c r="U282" s="44" t="s">
        <v>20</v>
      </c>
      <c r="V282" s="43" t="s">
        <v>21</v>
      </c>
      <c r="W282" t="e">
        <f>VLOOKUP(C282,'Data_HS t5'!$B$2:$K$412,10,TRUE)</f>
        <v>#N/A</v>
      </c>
      <c r="X282" t="str">
        <f>VLOOKUP(C282,'Data_HS t9'!$B$2:$K$454,10,TRUE)</f>
        <v>Tổ dân phố số 36, Phường Ngọc Thụy, Quận Long Biên, Thành phố Hà Nội</v>
      </c>
    </row>
    <row r="283" spans="1:24">
      <c r="A283" s="2">
        <v>277</v>
      </c>
      <c r="B283" s="119">
        <v>202510</v>
      </c>
      <c r="C283" s="44" t="s">
        <v>567</v>
      </c>
      <c r="D283" s="44" t="s">
        <v>568</v>
      </c>
      <c r="E283" s="44" t="s">
        <v>560</v>
      </c>
      <c r="F283" s="44">
        <v>0</v>
      </c>
      <c r="G283" s="44">
        <v>0</v>
      </c>
      <c r="H283" s="44">
        <v>0</v>
      </c>
      <c r="I283" s="44">
        <v>10</v>
      </c>
      <c r="J283" s="44">
        <v>0</v>
      </c>
      <c r="K283" s="123">
        <v>100000</v>
      </c>
      <c r="L283" s="124">
        <f t="shared" si="38"/>
        <v>10</v>
      </c>
      <c r="M283" s="45">
        <f t="shared" si="41"/>
        <v>1000000</v>
      </c>
      <c r="N283" s="45">
        <f>M283</f>
        <v>1000000</v>
      </c>
      <c r="O283" s="45"/>
      <c r="P283" s="45" t="s">
        <v>7076</v>
      </c>
      <c r="Q283" s="45"/>
      <c r="R283" s="45"/>
      <c r="S283" s="45">
        <f t="shared" si="40"/>
        <v>0</v>
      </c>
      <c r="T283" s="44" t="s">
        <v>19</v>
      </c>
      <c r="U283" s="44" t="s">
        <v>20</v>
      </c>
      <c r="V283" s="43" t="s">
        <v>21</v>
      </c>
      <c r="W283" t="str">
        <f>VLOOKUP(C283,'Data_HS t5'!$B$2:$K$412,10,TRUE)</f>
        <v>Phường Thạch Bàn, Quận Long Biên, Thành phố Hà Nội</v>
      </c>
      <c r="X283" t="e">
        <f>VLOOKUP(C283,'Data_HS t9'!$B$2:$K$454,10,TRUE)</f>
        <v>#N/A</v>
      </c>
    </row>
    <row r="284" spans="1:24">
      <c r="A284" s="2">
        <v>278</v>
      </c>
      <c r="B284" s="119">
        <v>202510</v>
      </c>
      <c r="C284" s="44" t="s">
        <v>569</v>
      </c>
      <c r="D284" s="44" t="s">
        <v>570</v>
      </c>
      <c r="E284" s="44" t="s">
        <v>560</v>
      </c>
      <c r="F284" s="44">
        <v>0</v>
      </c>
      <c r="G284" s="44">
        <v>0</v>
      </c>
      <c r="H284" s="44">
        <v>0</v>
      </c>
      <c r="I284" s="44">
        <v>7</v>
      </c>
      <c r="J284" s="44">
        <v>0</v>
      </c>
      <c r="K284" s="123">
        <v>100000</v>
      </c>
      <c r="L284" s="124">
        <f t="shared" si="38"/>
        <v>7</v>
      </c>
      <c r="M284" s="45">
        <f t="shared" si="41"/>
        <v>700000</v>
      </c>
      <c r="N284" s="45">
        <f>M284</f>
        <v>700000</v>
      </c>
      <c r="O284" s="45"/>
      <c r="P284" s="45" t="s">
        <v>7167</v>
      </c>
      <c r="Q284" s="45"/>
      <c r="R284" s="45"/>
      <c r="S284" s="45">
        <f t="shared" si="40"/>
        <v>0</v>
      </c>
      <c r="T284" s="44" t="s">
        <v>19</v>
      </c>
      <c r="U284" s="44" t="s">
        <v>20</v>
      </c>
      <c r="V284" s="43" t="s">
        <v>21</v>
      </c>
      <c r="W284" t="e">
        <f>VLOOKUP(C284,'Data_HS t5'!$B$2:$K$412,10,TRUE)</f>
        <v>#N/A</v>
      </c>
      <c r="X284" t="e">
        <f>VLOOKUP(C284,'Data_HS t9'!$B$2:$K$454,10,TRUE)</f>
        <v>#N/A</v>
      </c>
    </row>
    <row r="285" spans="1:24">
      <c r="A285" s="2">
        <v>279</v>
      </c>
      <c r="B285" s="119">
        <v>202510</v>
      </c>
      <c r="C285" s="44" t="s">
        <v>571</v>
      </c>
      <c r="D285" s="44" t="s">
        <v>572</v>
      </c>
      <c r="E285" s="44" t="s">
        <v>560</v>
      </c>
      <c r="F285" s="44">
        <v>0</v>
      </c>
      <c r="G285" s="44">
        <v>0</v>
      </c>
      <c r="H285" s="44">
        <v>0</v>
      </c>
      <c r="I285" s="44">
        <v>0</v>
      </c>
      <c r="J285" s="44">
        <v>0</v>
      </c>
      <c r="K285" s="123">
        <v>100000</v>
      </c>
      <c r="L285" s="124">
        <f t="shared" si="38"/>
        <v>0</v>
      </c>
      <c r="M285" s="45">
        <f t="shared" si="41"/>
        <v>0</v>
      </c>
      <c r="N285" s="45"/>
      <c r="O285" s="45"/>
      <c r="P285" s="45"/>
      <c r="Q285" s="45"/>
      <c r="R285" s="45"/>
      <c r="S285" s="45">
        <f t="shared" si="40"/>
        <v>0</v>
      </c>
      <c r="T285" s="44" t="s">
        <v>19</v>
      </c>
      <c r="U285" s="44" t="s">
        <v>20</v>
      </c>
      <c r="V285" s="43" t="s">
        <v>21</v>
      </c>
      <c r="W285" t="e">
        <f>VLOOKUP(C285,'Data_HS t5'!$B$2:$K$412,10,TRUE)</f>
        <v>#N/A</v>
      </c>
      <c r="X285" t="str">
        <f>VLOOKUP(C285,'Data_HS t9'!$B$2:$K$454,10,TRUE)</f>
        <v>Tổ dân phố số 36, Phường Ngọc Thụy, Quận Long Biên, Thành phố Hà Nội</v>
      </c>
    </row>
    <row r="286" spans="1:24">
      <c r="A286" s="2">
        <v>280</v>
      </c>
      <c r="B286" s="119">
        <v>202510</v>
      </c>
      <c r="C286" s="44" t="s">
        <v>573</v>
      </c>
      <c r="D286" s="44" t="s">
        <v>574</v>
      </c>
      <c r="E286" s="44" t="s">
        <v>575</v>
      </c>
      <c r="F286" s="44">
        <v>0</v>
      </c>
      <c r="G286" s="44">
        <v>3</v>
      </c>
      <c r="H286" s="44">
        <v>0</v>
      </c>
      <c r="I286" s="44">
        <v>0</v>
      </c>
      <c r="J286" s="44">
        <v>0</v>
      </c>
      <c r="K286" s="123">
        <v>100000</v>
      </c>
      <c r="L286" s="124">
        <f t="shared" si="38"/>
        <v>3</v>
      </c>
      <c r="M286" s="45">
        <f t="shared" si="41"/>
        <v>300000</v>
      </c>
      <c r="N286" s="45">
        <f>M286</f>
        <v>300000</v>
      </c>
      <c r="O286" s="45"/>
      <c r="P286" s="45" t="s">
        <v>7107</v>
      </c>
      <c r="Q286" s="45"/>
      <c r="R286" s="45"/>
      <c r="S286" s="45">
        <f t="shared" si="40"/>
        <v>0</v>
      </c>
      <c r="T286" s="44" t="s">
        <v>19</v>
      </c>
      <c r="U286" s="44" t="s">
        <v>20</v>
      </c>
      <c r="V286" s="43" t="s">
        <v>21</v>
      </c>
      <c r="W286" t="str">
        <f>VLOOKUP(C286,'Data_HS t5'!$B$2:$K$412,10,TRUE)</f>
        <v>Tổ dân phố số 1, Phường Ngọc Lâm, Quận Long Biên, Thành phố Hà Nội</v>
      </c>
      <c r="X286" t="str">
        <f>VLOOKUP(C286,'Data_HS t9'!$B$2:$K$454,10,TRUE)</f>
        <v>Tổ 1, Phường Long Biên, Quận Long Biên, Thành phố Hà Nội</v>
      </c>
    </row>
    <row r="287" spans="1:24">
      <c r="A287" s="2">
        <v>281</v>
      </c>
      <c r="B287" s="119">
        <v>202510</v>
      </c>
      <c r="C287" s="44" t="s">
        <v>576</v>
      </c>
      <c r="D287" s="44" t="s">
        <v>577</v>
      </c>
      <c r="E287" s="44" t="s">
        <v>575</v>
      </c>
      <c r="F287" s="44">
        <v>0</v>
      </c>
      <c r="G287" s="44">
        <v>3</v>
      </c>
      <c r="H287" s="44">
        <v>0</v>
      </c>
      <c r="I287" s="44">
        <v>0</v>
      </c>
      <c r="J287" s="44">
        <v>0</v>
      </c>
      <c r="K287" s="123">
        <v>100000</v>
      </c>
      <c r="L287" s="124">
        <f t="shared" si="38"/>
        <v>3</v>
      </c>
      <c r="M287" s="45">
        <f t="shared" si="41"/>
        <v>300000</v>
      </c>
      <c r="N287" s="45">
        <f t="shared" ref="N287:N295" si="43">M287</f>
        <v>300000</v>
      </c>
      <c r="O287" s="45"/>
      <c r="P287" s="45" t="s">
        <v>6756</v>
      </c>
      <c r="Q287" s="45"/>
      <c r="R287" s="45"/>
      <c r="S287" s="45">
        <f t="shared" si="40"/>
        <v>0</v>
      </c>
      <c r="T287" s="44" t="s">
        <v>19</v>
      </c>
      <c r="U287" s="44" t="s">
        <v>20</v>
      </c>
      <c r="V287" s="43" t="s">
        <v>21</v>
      </c>
      <c r="W287" t="str">
        <f>VLOOKUP(C287,'Data_HS t5'!$B$2:$K$412,10,TRUE)</f>
        <v>Xã Đa Tốn, Huyện Gia Lâm, Thành phố Hà Nội</v>
      </c>
      <c r="X287" t="str">
        <f>VLOOKUP(C287,'Data_HS t9'!$B$2:$K$454,10,TRUE)</f>
        <v>5/366/36/4, Ngọc Lâm, LB</v>
      </c>
    </row>
    <row r="288" spans="1:24">
      <c r="A288" s="2">
        <v>282</v>
      </c>
      <c r="B288" s="119">
        <v>202510</v>
      </c>
      <c r="C288" s="44" t="s">
        <v>578</v>
      </c>
      <c r="D288" s="44" t="s">
        <v>579</v>
      </c>
      <c r="E288" s="44" t="s">
        <v>575</v>
      </c>
      <c r="F288" s="44">
        <v>0</v>
      </c>
      <c r="G288" s="44">
        <v>3</v>
      </c>
      <c r="H288" s="44">
        <v>0</v>
      </c>
      <c r="I288" s="44">
        <v>0</v>
      </c>
      <c r="J288" s="44">
        <v>0</v>
      </c>
      <c r="K288" s="123">
        <v>100000</v>
      </c>
      <c r="L288" s="124">
        <f t="shared" si="38"/>
        <v>3</v>
      </c>
      <c r="M288" s="45">
        <f t="shared" si="41"/>
        <v>300000</v>
      </c>
      <c r="N288" s="45">
        <f t="shared" si="43"/>
        <v>300000</v>
      </c>
      <c r="O288" s="45"/>
      <c r="P288" s="45" t="s">
        <v>7091</v>
      </c>
      <c r="Q288" s="45"/>
      <c r="R288" s="45"/>
      <c r="S288" s="45">
        <f t="shared" si="40"/>
        <v>0</v>
      </c>
      <c r="T288" s="44" t="s">
        <v>19</v>
      </c>
      <c r="U288" s="44" t="s">
        <v>20</v>
      </c>
      <c r="V288" s="43" t="s">
        <v>21</v>
      </c>
      <c r="W288">
        <f>VLOOKUP(C288,'Data_HS t5'!$B$2:$K$412,10,TRUE)</f>
        <v>0</v>
      </c>
      <c r="X288" t="str">
        <f>VLOOKUP(C288,'Data_HS t9'!$B$2:$K$454,10,TRUE)</f>
        <v>Phường Phúc Lợi, Quận Long Biên, Thành phố Hà Nội</v>
      </c>
    </row>
    <row r="289" spans="1:24">
      <c r="A289" s="2">
        <v>283</v>
      </c>
      <c r="B289" s="119">
        <v>202510</v>
      </c>
      <c r="C289" s="44" t="s">
        <v>580</v>
      </c>
      <c r="D289" s="44" t="s">
        <v>581</v>
      </c>
      <c r="E289" s="44" t="s">
        <v>575</v>
      </c>
      <c r="F289" s="44">
        <v>0</v>
      </c>
      <c r="G289" s="44">
        <v>3</v>
      </c>
      <c r="H289" s="44">
        <v>0</v>
      </c>
      <c r="I289" s="44">
        <v>0</v>
      </c>
      <c r="J289" s="44">
        <v>0</v>
      </c>
      <c r="K289" s="123">
        <v>100000</v>
      </c>
      <c r="L289" s="124">
        <f t="shared" si="38"/>
        <v>3</v>
      </c>
      <c r="M289" s="45">
        <f t="shared" si="41"/>
        <v>300000</v>
      </c>
      <c r="N289" s="45">
        <f t="shared" si="43"/>
        <v>300000</v>
      </c>
      <c r="O289" s="45"/>
      <c r="P289" s="45" t="s">
        <v>7068</v>
      </c>
      <c r="Q289" s="45"/>
      <c r="R289" s="45"/>
      <c r="S289" s="45">
        <f t="shared" si="40"/>
        <v>0</v>
      </c>
      <c r="T289" s="44" t="s">
        <v>19</v>
      </c>
      <c r="U289" s="44" t="s">
        <v>20</v>
      </c>
      <c r="V289" s="43" t="s">
        <v>21</v>
      </c>
      <c r="W289" t="str">
        <f>VLOOKUP(C289,'Data_HS t5'!$B$2:$K$412,10,TRUE)</f>
        <v>Tổ dân phố số 15, Phường Phúc Lợi, Quận Long Biên, Thành phố Hà Nội</v>
      </c>
      <c r="X289" t="str">
        <f>VLOOKUP(C289,'Data_HS t9'!$B$2:$K$454,10,TRUE)</f>
        <v>Tổ 3, Thạch Bàn, LB</v>
      </c>
    </row>
    <row r="290" spans="1:24">
      <c r="A290" s="2">
        <v>284</v>
      </c>
      <c r="B290" s="119">
        <v>202510</v>
      </c>
      <c r="C290" s="44" t="s">
        <v>6917</v>
      </c>
      <c r="D290" s="44" t="s">
        <v>591</v>
      </c>
      <c r="E290" s="44" t="s">
        <v>575</v>
      </c>
      <c r="F290" s="44">
        <v>0</v>
      </c>
      <c r="G290" s="44">
        <v>3</v>
      </c>
      <c r="H290" s="44">
        <v>0</v>
      </c>
      <c r="I290" s="44">
        <v>0</v>
      </c>
      <c r="J290" s="44">
        <v>0</v>
      </c>
      <c r="K290" s="123">
        <v>100000</v>
      </c>
      <c r="L290" s="124">
        <f t="shared" si="38"/>
        <v>3</v>
      </c>
      <c r="M290" s="45">
        <f t="shared" si="41"/>
        <v>300000</v>
      </c>
      <c r="N290" s="45">
        <f t="shared" si="43"/>
        <v>300000</v>
      </c>
      <c r="O290" s="45"/>
      <c r="P290" s="45" t="s">
        <v>6730</v>
      </c>
      <c r="Q290" s="45"/>
      <c r="R290" s="45"/>
      <c r="S290" s="45">
        <f t="shared" si="40"/>
        <v>0</v>
      </c>
      <c r="T290" s="44" t="s">
        <v>19</v>
      </c>
      <c r="U290" s="44" t="s">
        <v>20</v>
      </c>
      <c r="V290" s="43" t="s">
        <v>21</v>
      </c>
      <c r="W290" t="e">
        <f>VLOOKUP(#REF!,'Data_HS t5'!$B$2:$K$412,10,TRUE)</f>
        <v>#REF!</v>
      </c>
      <c r="X290" t="e">
        <f>VLOOKUP(#REF!,'Data_HS t9'!$B$2:$K$454,10,TRUE)</f>
        <v>#REF!</v>
      </c>
    </row>
    <row r="291" spans="1:24">
      <c r="A291" s="2">
        <v>285</v>
      </c>
      <c r="B291" s="119">
        <v>202510</v>
      </c>
      <c r="C291" s="44" t="s">
        <v>582</v>
      </c>
      <c r="D291" s="44" t="s">
        <v>583</v>
      </c>
      <c r="E291" s="44" t="s">
        <v>575</v>
      </c>
      <c r="F291" s="44">
        <v>0</v>
      </c>
      <c r="G291" s="44">
        <v>3</v>
      </c>
      <c r="H291" s="44">
        <v>0</v>
      </c>
      <c r="I291" s="44">
        <v>0</v>
      </c>
      <c r="J291" s="44">
        <v>0</v>
      </c>
      <c r="K291" s="123">
        <v>100000</v>
      </c>
      <c r="L291" s="124">
        <f t="shared" si="38"/>
        <v>3</v>
      </c>
      <c r="M291" s="45">
        <f t="shared" si="41"/>
        <v>300000</v>
      </c>
      <c r="N291" s="45">
        <f t="shared" si="43"/>
        <v>300000</v>
      </c>
      <c r="O291" s="45"/>
      <c r="P291" s="45" t="s">
        <v>6658</v>
      </c>
      <c r="Q291" s="45"/>
      <c r="R291" s="45"/>
      <c r="S291" s="45">
        <f t="shared" si="40"/>
        <v>0</v>
      </c>
      <c r="T291" s="44" t="s">
        <v>19</v>
      </c>
      <c r="U291" s="44" t="s">
        <v>20</v>
      </c>
      <c r="V291" s="43" t="s">
        <v>21</v>
      </c>
      <c r="W291" t="str">
        <f>VLOOKUP(C291,'Data_HS t5'!$B$2:$K$412,10,TRUE)</f>
        <v>Tổ dân phố số 1, Phường Ngọc Lâm, Quận Long Biên, Thành phố Hà Nội</v>
      </c>
      <c r="X291" t="str">
        <f>VLOOKUP(C291,'Data_HS t9'!$B$2:$K$454,10,TRUE)</f>
        <v>Tổ 1, Phường Long Biên, Quận Long Biên, Thành phố Hà Nội</v>
      </c>
    </row>
    <row r="292" spans="1:24">
      <c r="A292" s="2">
        <v>287</v>
      </c>
      <c r="B292" s="119">
        <v>202510</v>
      </c>
      <c r="C292" s="44" t="s">
        <v>584</v>
      </c>
      <c r="D292" s="44" t="s">
        <v>585</v>
      </c>
      <c r="E292" s="44" t="s">
        <v>575</v>
      </c>
      <c r="F292" s="44">
        <v>0</v>
      </c>
      <c r="G292" s="44">
        <v>3</v>
      </c>
      <c r="H292" s="44">
        <v>0</v>
      </c>
      <c r="I292" s="44">
        <v>0</v>
      </c>
      <c r="J292" s="44">
        <v>0</v>
      </c>
      <c r="K292" s="123">
        <v>100000</v>
      </c>
      <c r="L292" s="124">
        <f t="shared" si="38"/>
        <v>3</v>
      </c>
      <c r="M292" s="45">
        <f t="shared" si="41"/>
        <v>300000</v>
      </c>
      <c r="N292" s="45">
        <f t="shared" si="43"/>
        <v>300000</v>
      </c>
      <c r="O292" s="45"/>
      <c r="P292" s="45" t="s">
        <v>7093</v>
      </c>
      <c r="Q292" s="45"/>
      <c r="R292" s="45"/>
      <c r="S292" s="45">
        <f t="shared" si="40"/>
        <v>0</v>
      </c>
      <c r="T292" s="44" t="s">
        <v>19</v>
      </c>
      <c r="U292" s="44" t="s">
        <v>20</v>
      </c>
      <c r="V292" s="43" t="s">
        <v>21</v>
      </c>
      <c r="W292" t="str">
        <f>VLOOKUP(C292,'Data_HS t5'!$B$2:$K$412,10,TRUE)</f>
        <v>Phường Thạch Bàn, Quận Long Biên, Thành phố Hà Nội</v>
      </c>
      <c r="X292" t="str">
        <f>VLOOKUP(C292,'Data_HS t9'!$B$2:$K$454,10,TRUE)</f>
        <v>Tổ dân phố số 36, Phường Ngọc Thụy, Quận Long Biên, Thành phố Hà Nội</v>
      </c>
    </row>
    <row r="293" spans="1:24">
      <c r="A293" s="2">
        <v>288</v>
      </c>
      <c r="B293" s="119">
        <v>202510</v>
      </c>
      <c r="C293" s="44" t="s">
        <v>586</v>
      </c>
      <c r="D293" s="44" t="s">
        <v>587</v>
      </c>
      <c r="E293" s="44" t="s">
        <v>575</v>
      </c>
      <c r="F293" s="44">
        <v>0</v>
      </c>
      <c r="G293" s="44">
        <v>3</v>
      </c>
      <c r="H293" s="44">
        <v>0</v>
      </c>
      <c r="I293" s="44">
        <v>0</v>
      </c>
      <c r="J293" s="44">
        <v>0</v>
      </c>
      <c r="K293" s="123">
        <v>100000</v>
      </c>
      <c r="L293" s="124">
        <f t="shared" si="38"/>
        <v>3</v>
      </c>
      <c r="M293" s="45">
        <f t="shared" si="41"/>
        <v>300000</v>
      </c>
      <c r="N293" s="45">
        <f t="shared" si="43"/>
        <v>300000</v>
      </c>
      <c r="O293" s="45"/>
      <c r="P293" s="45" t="s">
        <v>7092</v>
      </c>
      <c r="Q293" s="45"/>
      <c r="R293" s="45"/>
      <c r="S293" s="45">
        <f t="shared" si="40"/>
        <v>0</v>
      </c>
      <c r="T293" s="44" t="s">
        <v>19</v>
      </c>
      <c r="U293" s="44" t="s">
        <v>20</v>
      </c>
      <c r="V293" s="43" t="s">
        <v>21</v>
      </c>
      <c r="W293" t="str">
        <f>VLOOKUP(C293,'Data_HS t5'!$B$2:$K$412,10,TRUE)</f>
        <v>Phường Thạch Bàn, Quận Long Biên, Thành phố Hà Nội</v>
      </c>
      <c r="X293" t="str">
        <f>VLOOKUP(C293,'Data_HS t9'!$B$2:$K$454,10,TRUE)</f>
        <v>Tổ dân phố số 36, Phường Ngọc Thụy, Quận Long Biên, Thành phố Hà Nội</v>
      </c>
    </row>
    <row r="294" spans="1:24">
      <c r="A294" s="2">
        <v>289</v>
      </c>
      <c r="B294" s="119">
        <v>202510</v>
      </c>
      <c r="C294" s="44" t="s">
        <v>588</v>
      </c>
      <c r="D294" s="44" t="s">
        <v>589</v>
      </c>
      <c r="E294" s="44" t="s">
        <v>575</v>
      </c>
      <c r="F294" s="44">
        <v>0</v>
      </c>
      <c r="G294" s="44">
        <v>3</v>
      </c>
      <c r="H294" s="44">
        <v>0</v>
      </c>
      <c r="I294" s="44">
        <v>0</v>
      </c>
      <c r="J294" s="44">
        <v>0</v>
      </c>
      <c r="K294" s="123">
        <v>100000</v>
      </c>
      <c r="L294" s="124">
        <f t="shared" si="38"/>
        <v>3</v>
      </c>
      <c r="M294" s="45">
        <f t="shared" si="41"/>
        <v>300000</v>
      </c>
      <c r="N294" s="45">
        <f t="shared" si="43"/>
        <v>300000</v>
      </c>
      <c r="O294" s="45"/>
      <c r="P294" s="45" t="s">
        <v>6755</v>
      </c>
      <c r="Q294" s="45"/>
      <c r="R294" s="45"/>
      <c r="S294" s="45">
        <f t="shared" si="40"/>
        <v>0</v>
      </c>
      <c r="T294" s="44" t="s">
        <v>19</v>
      </c>
      <c r="U294" s="44" t="s">
        <v>20</v>
      </c>
      <c r="V294" s="43" t="s">
        <v>21</v>
      </c>
      <c r="W294" t="str">
        <f>VLOOKUP(C294,'Data_HS t5'!$B$2:$K$412,10,TRUE)</f>
        <v>Số 77 Gia Quất, Thượng Thanh, LB</v>
      </c>
      <c r="X294" t="str">
        <f>VLOOKUP(C294,'Data_HS t9'!$B$2:$K$454,10,TRUE)</f>
        <v>Hiện nay: Tổ 12, Thạch Bàn, LB</v>
      </c>
    </row>
    <row r="295" spans="1:24">
      <c r="A295" s="2">
        <v>290</v>
      </c>
      <c r="B295" s="119">
        <v>202510</v>
      </c>
      <c r="C295" s="44" t="s">
        <v>590</v>
      </c>
      <c r="D295" s="44" t="s">
        <v>591</v>
      </c>
      <c r="E295" s="44" t="s">
        <v>575</v>
      </c>
      <c r="F295" s="44">
        <v>0</v>
      </c>
      <c r="G295" s="44">
        <v>3</v>
      </c>
      <c r="H295" s="44">
        <v>0</v>
      </c>
      <c r="I295" s="44">
        <v>0</v>
      </c>
      <c r="J295" s="44">
        <v>0</v>
      </c>
      <c r="K295" s="123">
        <v>100000</v>
      </c>
      <c r="L295" s="124">
        <f t="shared" si="38"/>
        <v>3</v>
      </c>
      <c r="M295" s="45">
        <f t="shared" si="41"/>
        <v>300000</v>
      </c>
      <c r="N295" s="45">
        <f t="shared" si="43"/>
        <v>300000</v>
      </c>
      <c r="O295" s="45"/>
      <c r="P295" s="45" t="s">
        <v>3105</v>
      </c>
      <c r="Q295" s="45"/>
      <c r="R295" s="45"/>
      <c r="S295" s="45">
        <f t="shared" si="40"/>
        <v>0</v>
      </c>
      <c r="T295" s="44" t="s">
        <v>19</v>
      </c>
      <c r="U295" s="44" t="s">
        <v>20</v>
      </c>
      <c r="V295" s="43" t="s">
        <v>21</v>
      </c>
      <c r="W295">
        <f>VLOOKUP(C295,'Data_HS t5'!$B$2:$K$412,10,TRUE)</f>
        <v>0</v>
      </c>
      <c r="X295" t="str">
        <f>VLOOKUP(C295,'Data_HS t9'!$B$2:$K$454,10,TRUE)</f>
        <v>Tổ dân phố số 11, Phường Sài Đồng, Quận Long Biên, Thành phố Hà Nội</v>
      </c>
    </row>
    <row r="296" spans="1:24">
      <c r="A296" s="2">
        <v>291</v>
      </c>
      <c r="B296" s="129">
        <v>202510</v>
      </c>
      <c r="C296" s="64" t="s">
        <v>592</v>
      </c>
      <c r="D296" s="64" t="s">
        <v>593</v>
      </c>
      <c r="E296" s="64" t="s">
        <v>594</v>
      </c>
      <c r="F296" s="64">
        <v>9</v>
      </c>
      <c r="G296" s="64">
        <v>0</v>
      </c>
      <c r="H296" s="64">
        <v>0</v>
      </c>
      <c r="I296" s="64">
        <v>0</v>
      </c>
      <c r="J296" s="64">
        <v>0</v>
      </c>
      <c r="K296" s="126">
        <v>100000</v>
      </c>
      <c r="L296" s="134">
        <f t="shared" si="38"/>
        <v>9</v>
      </c>
      <c r="M296" s="62">
        <f t="shared" si="41"/>
        <v>900000</v>
      </c>
      <c r="N296" s="45"/>
      <c r="O296" s="45"/>
      <c r="P296" s="45"/>
      <c r="Q296" s="45"/>
      <c r="R296" s="62" t="s">
        <v>7194</v>
      </c>
      <c r="S296" s="45">
        <f t="shared" si="40"/>
        <v>900000</v>
      </c>
      <c r="T296" s="44" t="s">
        <v>19</v>
      </c>
      <c r="U296" s="44" t="s">
        <v>20</v>
      </c>
      <c r="V296" s="43" t="s">
        <v>21</v>
      </c>
      <c r="W296" t="e">
        <f>VLOOKUP(C296,'Data_HS t5'!$B$2:$K$412,10,TRUE)</f>
        <v>#N/A</v>
      </c>
      <c r="X296" t="e">
        <f>VLOOKUP(C296,'Data_HS t9'!$B$2:$K$454,10,TRUE)</f>
        <v>#N/A</v>
      </c>
    </row>
    <row r="297" spans="1:24" ht="10.8" customHeight="1">
      <c r="A297" s="2">
        <v>292</v>
      </c>
      <c r="B297" s="119">
        <v>202510</v>
      </c>
      <c r="C297" s="44" t="s">
        <v>595</v>
      </c>
      <c r="D297" s="44" t="s">
        <v>596</v>
      </c>
      <c r="E297" s="44" t="s">
        <v>597</v>
      </c>
      <c r="F297" s="44">
        <v>0</v>
      </c>
      <c r="G297" s="44">
        <v>4</v>
      </c>
      <c r="H297" s="44">
        <v>9</v>
      </c>
      <c r="I297" s="44">
        <v>0</v>
      </c>
      <c r="J297" s="44">
        <v>0</v>
      </c>
      <c r="K297" s="123">
        <v>100000</v>
      </c>
      <c r="L297" s="124">
        <f t="shared" si="38"/>
        <v>13</v>
      </c>
      <c r="M297" s="45">
        <f t="shared" si="41"/>
        <v>1300000</v>
      </c>
      <c r="N297" s="45">
        <f>M297</f>
        <v>1300000</v>
      </c>
      <c r="O297" s="45"/>
      <c r="P297" s="45"/>
      <c r="Q297" s="45" t="s">
        <v>6741</v>
      </c>
      <c r="R297" s="45"/>
      <c r="S297" s="45">
        <f t="shared" si="40"/>
        <v>0</v>
      </c>
      <c r="T297" s="44" t="s">
        <v>19</v>
      </c>
      <c r="U297" s="44" t="s">
        <v>20</v>
      </c>
      <c r="V297" s="43" t="s">
        <v>21</v>
      </c>
      <c r="W297" t="e">
        <f>VLOOKUP(C297,'Data_HS t5'!$B$2:$K$412,10,TRUE)</f>
        <v>#N/A</v>
      </c>
      <c r="X297" t="str">
        <f>VLOOKUP(C297,'Data_HS t9'!$B$2:$K$454,10,TRUE)</f>
        <v>Tổ dân phố số 36, Phường Ngọc Thụy, Quận Long Biên, Thành phố Hà Nội</v>
      </c>
    </row>
    <row r="298" spans="1:24">
      <c r="A298" s="2">
        <v>293</v>
      </c>
      <c r="B298" s="119">
        <v>202510</v>
      </c>
      <c r="C298" s="44" t="s">
        <v>598</v>
      </c>
      <c r="D298" s="44" t="s">
        <v>599</v>
      </c>
      <c r="E298" s="44" t="s">
        <v>597</v>
      </c>
      <c r="F298" s="44">
        <v>0</v>
      </c>
      <c r="G298" s="44">
        <v>0</v>
      </c>
      <c r="H298" s="44">
        <v>9</v>
      </c>
      <c r="I298" s="44">
        <v>0</v>
      </c>
      <c r="J298" s="44">
        <v>0</v>
      </c>
      <c r="K298" s="123">
        <v>100000</v>
      </c>
      <c r="L298" s="124">
        <f t="shared" si="38"/>
        <v>9</v>
      </c>
      <c r="M298" s="45">
        <f t="shared" si="41"/>
        <v>900000</v>
      </c>
      <c r="N298" s="45">
        <f t="shared" ref="N298:N322" si="44">M298</f>
        <v>900000</v>
      </c>
      <c r="O298" s="45"/>
      <c r="P298" s="45"/>
      <c r="Q298" s="45" t="s">
        <v>6741</v>
      </c>
      <c r="R298" s="45"/>
      <c r="S298" s="45">
        <f t="shared" si="40"/>
        <v>0</v>
      </c>
      <c r="T298" s="44" t="s">
        <v>19</v>
      </c>
      <c r="U298" s="44" t="s">
        <v>20</v>
      </c>
      <c r="V298" s="43" t="s">
        <v>21</v>
      </c>
      <c r="W298" t="str">
        <f>VLOOKUP(C298,'Data_HS t5'!$B$2:$K$412,10,TRUE)</f>
        <v>Tổ dân phố 21, Phường Phúc Xá, Quận Ba Đình, Thành phố Hà Nội</v>
      </c>
      <c r="X298" t="str">
        <f>VLOOKUP(C298,'Data_HS t9'!$B$2:$K$454,10,TRUE)</f>
        <v>Tổ dân phố số 11, Phường Sài Đồng, Quận Long Biên, Thành phố Hà Nội</v>
      </c>
    </row>
    <row r="299" spans="1:24">
      <c r="A299" s="2">
        <v>294</v>
      </c>
      <c r="B299" s="119">
        <v>202510</v>
      </c>
      <c r="C299" s="44" t="s">
        <v>600</v>
      </c>
      <c r="D299" s="44" t="s">
        <v>601</v>
      </c>
      <c r="E299" s="44" t="s">
        <v>597</v>
      </c>
      <c r="F299" s="44">
        <v>0</v>
      </c>
      <c r="G299" s="44">
        <v>4</v>
      </c>
      <c r="H299" s="44">
        <v>9</v>
      </c>
      <c r="I299" s="44">
        <v>0</v>
      </c>
      <c r="J299" s="44">
        <v>0</v>
      </c>
      <c r="K299" s="123">
        <v>100000</v>
      </c>
      <c r="L299" s="124">
        <f t="shared" si="38"/>
        <v>13</v>
      </c>
      <c r="M299" s="45">
        <f t="shared" si="41"/>
        <v>1300000</v>
      </c>
      <c r="N299" s="45">
        <f t="shared" si="44"/>
        <v>1300000</v>
      </c>
      <c r="O299" s="45"/>
      <c r="P299" s="45"/>
      <c r="Q299" s="45" t="s">
        <v>6741</v>
      </c>
      <c r="R299" s="45"/>
      <c r="S299" s="45">
        <f t="shared" si="40"/>
        <v>0</v>
      </c>
      <c r="T299" s="44" t="s">
        <v>19</v>
      </c>
      <c r="U299" s="44" t="s">
        <v>20</v>
      </c>
      <c r="V299" s="43" t="s">
        <v>21</v>
      </c>
      <c r="W299" t="str">
        <f>VLOOKUP(C299,'Data_HS t5'!$B$2:$K$412,10,TRUE)</f>
        <v>Tổ dân phố số 13, Phường Thạch Bàn, Quận Long Biên, Thành phố Hà Nội</v>
      </c>
      <c r="X299" t="str">
        <f>VLOOKUP(C299,'Data_HS t9'!$B$2:$K$454,10,TRUE)</f>
        <v>Tổ dân phố số 1, Phường Cự Khối, Quận Long Biên, Thành phố Hà Nội</v>
      </c>
    </row>
    <row r="300" spans="1:24">
      <c r="A300" s="2">
        <v>295</v>
      </c>
      <c r="B300" s="119">
        <v>202510</v>
      </c>
      <c r="C300" s="44" t="s">
        <v>602</v>
      </c>
      <c r="D300" s="44" t="s">
        <v>603</v>
      </c>
      <c r="E300" s="44" t="s">
        <v>597</v>
      </c>
      <c r="F300" s="44">
        <v>0</v>
      </c>
      <c r="G300" s="44">
        <v>3</v>
      </c>
      <c r="H300" s="44">
        <v>9</v>
      </c>
      <c r="I300" s="44">
        <v>0</v>
      </c>
      <c r="J300" s="44">
        <v>0</v>
      </c>
      <c r="K300" s="123">
        <v>100000</v>
      </c>
      <c r="L300" s="124">
        <f t="shared" si="38"/>
        <v>12</v>
      </c>
      <c r="M300" s="45">
        <f t="shared" si="41"/>
        <v>1200000</v>
      </c>
      <c r="N300" s="45">
        <f t="shared" si="44"/>
        <v>1200000</v>
      </c>
      <c r="O300" s="45"/>
      <c r="P300" s="45"/>
      <c r="Q300" s="45" t="s">
        <v>6741</v>
      </c>
      <c r="R300" s="45"/>
      <c r="S300" s="45">
        <f t="shared" si="40"/>
        <v>0</v>
      </c>
      <c r="T300" s="44" t="s">
        <v>19</v>
      </c>
      <c r="U300" s="44" t="s">
        <v>20</v>
      </c>
      <c r="V300" s="43" t="s">
        <v>21</v>
      </c>
      <c r="W300" t="str">
        <f>VLOOKUP(C300,'Data_HS t5'!$B$2:$K$412,10,TRUE)</f>
        <v>Tổ dân phố số 7, Phường Giang Biên, Quận Long Biên, Thành phố Hà Nội</v>
      </c>
      <c r="X300" t="str">
        <f>VLOOKUP(C300,'Data_HS t9'!$B$2:$K$454,10,TRUE)</f>
        <v>Tổ dân phố số 1, Phường Cự Khối, Quận Long Biên, Thành phố Hà Nội</v>
      </c>
    </row>
    <row r="301" spans="1:24">
      <c r="A301" s="2">
        <v>296</v>
      </c>
      <c r="B301" s="119">
        <v>202510</v>
      </c>
      <c r="C301" s="44" t="s">
        <v>604</v>
      </c>
      <c r="D301" s="44" t="s">
        <v>605</v>
      </c>
      <c r="E301" s="44" t="s">
        <v>597</v>
      </c>
      <c r="F301" s="44">
        <v>0</v>
      </c>
      <c r="G301" s="44">
        <v>4</v>
      </c>
      <c r="H301" s="44">
        <v>9</v>
      </c>
      <c r="I301" s="44">
        <v>0</v>
      </c>
      <c r="J301" s="44">
        <v>0</v>
      </c>
      <c r="K301" s="123">
        <v>100000</v>
      </c>
      <c r="L301" s="124">
        <f t="shared" si="38"/>
        <v>13</v>
      </c>
      <c r="M301" s="45">
        <f t="shared" si="41"/>
        <v>1300000</v>
      </c>
      <c r="N301" s="45">
        <f t="shared" si="44"/>
        <v>1300000</v>
      </c>
      <c r="O301" s="45"/>
      <c r="P301" s="45"/>
      <c r="Q301" s="45" t="s">
        <v>6741</v>
      </c>
      <c r="R301" s="45"/>
      <c r="S301" s="45">
        <f t="shared" si="40"/>
        <v>0</v>
      </c>
      <c r="T301" s="44" t="s">
        <v>19</v>
      </c>
      <c r="U301" s="44" t="s">
        <v>20</v>
      </c>
      <c r="V301" s="43" t="s">
        <v>21</v>
      </c>
      <c r="W301" t="str">
        <f>VLOOKUP(C301,'Data_HS t5'!$B$2:$K$412,10,TRUE)</f>
        <v>Phường Thạch Bàn, Quận Long Biên, Thành phố Hà Nội</v>
      </c>
      <c r="X301" t="str">
        <f>VLOOKUP(C301,'Data_HS t9'!$B$2:$K$454,10,TRUE)</f>
        <v>Tổ dân phố số 36, Phường Ngọc Thụy, Quận Long Biên, Thành phố Hà Nội</v>
      </c>
    </row>
    <row r="302" spans="1:24">
      <c r="A302" s="2">
        <v>297</v>
      </c>
      <c r="B302" s="119">
        <v>202510</v>
      </c>
      <c r="C302" s="44" t="s">
        <v>606</v>
      </c>
      <c r="D302" s="44" t="s">
        <v>607</v>
      </c>
      <c r="E302" s="44" t="s">
        <v>597</v>
      </c>
      <c r="F302" s="44">
        <v>0</v>
      </c>
      <c r="G302" s="44">
        <v>0</v>
      </c>
      <c r="H302" s="44">
        <v>9</v>
      </c>
      <c r="I302" s="44">
        <v>0</v>
      </c>
      <c r="J302" s="44">
        <v>0</v>
      </c>
      <c r="K302" s="123">
        <v>100000</v>
      </c>
      <c r="L302" s="124">
        <f t="shared" si="38"/>
        <v>9</v>
      </c>
      <c r="M302" s="45">
        <f t="shared" si="41"/>
        <v>900000</v>
      </c>
      <c r="N302" s="45">
        <f t="shared" si="44"/>
        <v>900000</v>
      </c>
      <c r="O302" s="45"/>
      <c r="P302" s="45"/>
      <c r="Q302" s="45" t="s">
        <v>6741</v>
      </c>
      <c r="R302" s="45"/>
      <c r="S302" s="45">
        <f t="shared" si="40"/>
        <v>0</v>
      </c>
      <c r="T302" s="44" t="s">
        <v>19</v>
      </c>
      <c r="U302" s="44" t="s">
        <v>20</v>
      </c>
      <c r="V302" s="43" t="s">
        <v>21</v>
      </c>
      <c r="W302" t="e">
        <f>VLOOKUP(C302,'Data_HS t5'!$B$2:$K$412,10,TRUE)</f>
        <v>#N/A</v>
      </c>
      <c r="X302" t="str">
        <f>VLOOKUP(C302,'Data_HS t9'!$B$2:$K$454,10,TRUE)</f>
        <v>Tổ dân phố số 36, Phường Ngọc Thụy, Quận Long Biên, Thành phố Hà Nội</v>
      </c>
    </row>
    <row r="303" spans="1:24">
      <c r="A303" s="2">
        <v>298</v>
      </c>
      <c r="B303" s="119">
        <v>202510</v>
      </c>
      <c r="C303" s="44" t="s">
        <v>608</v>
      </c>
      <c r="D303" s="44" t="s">
        <v>609</v>
      </c>
      <c r="E303" s="44" t="s">
        <v>597</v>
      </c>
      <c r="F303" s="44">
        <v>0</v>
      </c>
      <c r="G303" s="44">
        <v>4</v>
      </c>
      <c r="H303" s="44">
        <v>9</v>
      </c>
      <c r="I303" s="44">
        <v>0</v>
      </c>
      <c r="J303" s="44">
        <v>0</v>
      </c>
      <c r="K303" s="123">
        <v>100000</v>
      </c>
      <c r="L303" s="124">
        <f t="shared" si="38"/>
        <v>13</v>
      </c>
      <c r="M303" s="45">
        <f t="shared" si="41"/>
        <v>1300000</v>
      </c>
      <c r="N303" s="45">
        <f t="shared" si="44"/>
        <v>1300000</v>
      </c>
      <c r="O303" s="45"/>
      <c r="P303" s="45"/>
      <c r="Q303" s="45" t="s">
        <v>6741</v>
      </c>
      <c r="R303" s="45"/>
      <c r="S303" s="45">
        <f t="shared" si="40"/>
        <v>0</v>
      </c>
      <c r="T303" s="44" t="s">
        <v>19</v>
      </c>
      <c r="U303" s="44" t="s">
        <v>20</v>
      </c>
      <c r="V303" s="43" t="s">
        <v>21</v>
      </c>
      <c r="W303">
        <f>VLOOKUP(C303,'Data_HS t5'!$B$2:$K$412,10,TRUE)</f>
        <v>0</v>
      </c>
      <c r="X303" t="str">
        <f>VLOOKUP(C303,'Data_HS t9'!$B$2:$K$454,10,TRUE)</f>
        <v>Tổ 13, Khu Đô thị Việt Hưng, Phường Giang Biên, Quận Long Biên.</v>
      </c>
    </row>
    <row r="304" spans="1:24">
      <c r="A304" s="2">
        <v>299</v>
      </c>
      <c r="B304" s="119">
        <v>202510</v>
      </c>
      <c r="C304" s="44" t="s">
        <v>610</v>
      </c>
      <c r="D304" s="44" t="s">
        <v>611</v>
      </c>
      <c r="E304" s="44" t="s">
        <v>597</v>
      </c>
      <c r="F304" s="44">
        <v>0</v>
      </c>
      <c r="G304" s="44">
        <v>4</v>
      </c>
      <c r="H304" s="44">
        <v>9</v>
      </c>
      <c r="I304" s="44">
        <v>0</v>
      </c>
      <c r="J304" s="44">
        <v>0</v>
      </c>
      <c r="K304" s="123">
        <v>100000</v>
      </c>
      <c r="L304" s="124">
        <f t="shared" si="38"/>
        <v>13</v>
      </c>
      <c r="M304" s="45">
        <f t="shared" si="41"/>
        <v>1300000</v>
      </c>
      <c r="N304" s="45">
        <f t="shared" si="44"/>
        <v>1300000</v>
      </c>
      <c r="O304" s="45"/>
      <c r="P304" s="45"/>
      <c r="Q304" s="45" t="s">
        <v>6741</v>
      </c>
      <c r="R304" s="45"/>
      <c r="S304" s="45">
        <f t="shared" si="40"/>
        <v>0</v>
      </c>
      <c r="T304" s="44" t="s">
        <v>19</v>
      </c>
      <c r="U304" s="44" t="s">
        <v>20</v>
      </c>
      <c r="V304" s="43" t="s">
        <v>21</v>
      </c>
      <c r="W304">
        <f>VLOOKUP(C304,'Data_HS t5'!$B$2:$K$412,10,TRUE)</f>
        <v>0</v>
      </c>
      <c r="X304" t="str">
        <f>VLOOKUP(C304,'Data_HS t9'!$B$2:$K$454,10,TRUE)</f>
        <v>Tổ dân phố số 11, Phường Sài Đồng, Quận Long Biên, Thành phố Hà Nội</v>
      </c>
    </row>
    <row r="305" spans="1:24">
      <c r="A305" s="2">
        <v>300</v>
      </c>
      <c r="B305" s="119">
        <v>202510</v>
      </c>
      <c r="C305" s="44" t="s">
        <v>612</v>
      </c>
      <c r="D305" s="44" t="s">
        <v>613</v>
      </c>
      <c r="E305" s="44" t="s">
        <v>597</v>
      </c>
      <c r="F305" s="44">
        <v>0</v>
      </c>
      <c r="G305" s="44">
        <v>0</v>
      </c>
      <c r="H305" s="44">
        <v>9</v>
      </c>
      <c r="I305" s="44">
        <v>0</v>
      </c>
      <c r="J305" s="44">
        <v>0</v>
      </c>
      <c r="K305" s="123">
        <v>100000</v>
      </c>
      <c r="L305" s="124">
        <f t="shared" si="38"/>
        <v>9</v>
      </c>
      <c r="M305" s="45">
        <f t="shared" si="41"/>
        <v>900000</v>
      </c>
      <c r="N305" s="45">
        <f t="shared" si="44"/>
        <v>900000</v>
      </c>
      <c r="O305" s="45"/>
      <c r="P305" s="45"/>
      <c r="Q305" s="45" t="s">
        <v>6741</v>
      </c>
      <c r="R305" s="45"/>
      <c r="S305" s="45">
        <f t="shared" si="40"/>
        <v>0</v>
      </c>
      <c r="T305" s="44" t="s">
        <v>19</v>
      </c>
      <c r="U305" s="44" t="s">
        <v>20</v>
      </c>
      <c r="V305" s="43" t="s">
        <v>21</v>
      </c>
      <c r="W305" t="str">
        <f>VLOOKUP(C305,'Data_HS t5'!$B$2:$K$412,10,TRUE)</f>
        <v>Tổ dân phố số 4, Phường Thạch Bàn, Quận Long Biên, Thành phố Hà Nội</v>
      </c>
      <c r="X305" t="e">
        <f>VLOOKUP(C305,'Data_HS t9'!$B$2:$K$454,10,TRUE)</f>
        <v>#N/A</v>
      </c>
    </row>
    <row r="306" spans="1:24">
      <c r="A306" s="2">
        <v>301</v>
      </c>
      <c r="B306" s="119">
        <v>202510</v>
      </c>
      <c r="C306" s="44" t="s">
        <v>614</v>
      </c>
      <c r="D306" s="44" t="s">
        <v>615</v>
      </c>
      <c r="E306" s="44" t="s">
        <v>597</v>
      </c>
      <c r="F306" s="44">
        <v>0</v>
      </c>
      <c r="G306" s="44">
        <v>4</v>
      </c>
      <c r="H306" s="44">
        <v>9</v>
      </c>
      <c r="I306" s="44">
        <v>0</v>
      </c>
      <c r="J306" s="44">
        <v>0</v>
      </c>
      <c r="K306" s="123">
        <v>100000</v>
      </c>
      <c r="L306" s="124">
        <f t="shared" si="38"/>
        <v>13</v>
      </c>
      <c r="M306" s="45">
        <f t="shared" si="41"/>
        <v>1300000</v>
      </c>
      <c r="N306" s="45">
        <f t="shared" si="44"/>
        <v>1300000</v>
      </c>
      <c r="O306" s="45"/>
      <c r="P306" s="45"/>
      <c r="Q306" s="45" t="s">
        <v>6741</v>
      </c>
      <c r="R306" s="45"/>
      <c r="S306" s="45">
        <f t="shared" si="40"/>
        <v>0</v>
      </c>
      <c r="T306" s="44" t="s">
        <v>19</v>
      </c>
      <c r="U306" s="44" t="s">
        <v>20</v>
      </c>
      <c r="V306" s="43" t="s">
        <v>21</v>
      </c>
      <c r="W306">
        <f>VLOOKUP(C306,'Data_HS t5'!$B$2:$K$412,10,TRUE)</f>
        <v>0</v>
      </c>
      <c r="X306">
        <f>VLOOKUP(C306,'Data_HS t9'!$B$2:$K$454,10,TRUE)</f>
        <v>0</v>
      </c>
    </row>
    <row r="307" spans="1:24">
      <c r="A307" s="2">
        <v>302</v>
      </c>
      <c r="B307" s="119">
        <v>202510</v>
      </c>
      <c r="C307" s="44" t="s">
        <v>616</v>
      </c>
      <c r="D307" s="44" t="s">
        <v>617</v>
      </c>
      <c r="E307" s="44" t="s">
        <v>597</v>
      </c>
      <c r="F307" s="44">
        <v>0</v>
      </c>
      <c r="G307" s="44">
        <v>4</v>
      </c>
      <c r="H307" s="44">
        <v>9</v>
      </c>
      <c r="I307" s="44">
        <v>0</v>
      </c>
      <c r="J307" s="44">
        <v>0</v>
      </c>
      <c r="K307" s="123">
        <v>100000</v>
      </c>
      <c r="L307" s="124">
        <f t="shared" si="38"/>
        <v>13</v>
      </c>
      <c r="M307" s="45">
        <f t="shared" si="41"/>
        <v>1300000</v>
      </c>
      <c r="N307" s="45">
        <f t="shared" si="44"/>
        <v>1300000</v>
      </c>
      <c r="O307" s="45"/>
      <c r="P307" s="45"/>
      <c r="Q307" s="45" t="s">
        <v>6741</v>
      </c>
      <c r="R307" s="45"/>
      <c r="S307" s="45">
        <f t="shared" si="40"/>
        <v>0</v>
      </c>
      <c r="T307" s="44" t="s">
        <v>19</v>
      </c>
      <c r="U307" s="44" t="s">
        <v>20</v>
      </c>
      <c r="V307" s="43" t="s">
        <v>21</v>
      </c>
      <c r="W307">
        <f>VLOOKUP(C307,'Data_HS t5'!$B$2:$K$412,10,TRUE)</f>
        <v>0</v>
      </c>
      <c r="X307" t="str">
        <f>VLOOKUP(C307,'Data_HS t9'!$B$2:$K$454,10,TRUE)</f>
        <v>Tổ 13, Khu Đô thị Việt Hưng, Phường Giang Biên, Quận Long Biên.</v>
      </c>
    </row>
    <row r="308" spans="1:24">
      <c r="A308" s="2">
        <v>303</v>
      </c>
      <c r="B308" s="119">
        <v>202510</v>
      </c>
      <c r="C308" s="44" t="s">
        <v>618</v>
      </c>
      <c r="D308" s="44" t="s">
        <v>619</v>
      </c>
      <c r="E308" s="44" t="s">
        <v>597</v>
      </c>
      <c r="F308" s="44">
        <v>0</v>
      </c>
      <c r="G308" s="44">
        <v>4</v>
      </c>
      <c r="H308" s="44">
        <v>9</v>
      </c>
      <c r="I308" s="44">
        <v>0</v>
      </c>
      <c r="J308" s="44">
        <v>0</v>
      </c>
      <c r="K308" s="123">
        <v>100000</v>
      </c>
      <c r="L308" s="124">
        <f t="shared" si="38"/>
        <v>13</v>
      </c>
      <c r="M308" s="45">
        <f t="shared" si="41"/>
        <v>1300000</v>
      </c>
      <c r="N308" s="45">
        <f t="shared" si="44"/>
        <v>1300000</v>
      </c>
      <c r="O308" s="45"/>
      <c r="P308" s="45"/>
      <c r="Q308" s="45" t="s">
        <v>6741</v>
      </c>
      <c r="R308" s="45"/>
      <c r="S308" s="45">
        <f t="shared" si="40"/>
        <v>0</v>
      </c>
      <c r="T308" s="44" t="s">
        <v>19</v>
      </c>
      <c r="U308" s="44" t="s">
        <v>20</v>
      </c>
      <c r="V308" s="43" t="s">
        <v>21</v>
      </c>
      <c r="W308" t="str">
        <f>VLOOKUP(C308,'Data_HS t5'!$B$2:$K$412,10,TRUE)</f>
        <v>Phường Thạch Bàn, Quận Long Biên, Thành phố Hà Nội</v>
      </c>
      <c r="X308" t="e">
        <f>VLOOKUP(C308,'Data_HS t9'!$B$2:$K$454,10,TRUE)</f>
        <v>#N/A</v>
      </c>
    </row>
    <row r="309" spans="1:24">
      <c r="A309" s="2">
        <v>304</v>
      </c>
      <c r="B309" s="119">
        <v>202510</v>
      </c>
      <c r="C309" s="44" t="s">
        <v>620</v>
      </c>
      <c r="D309" s="44" t="s">
        <v>621</v>
      </c>
      <c r="E309" s="44" t="s">
        <v>597</v>
      </c>
      <c r="F309" s="44">
        <v>0</v>
      </c>
      <c r="G309" s="44">
        <v>0</v>
      </c>
      <c r="H309" s="44">
        <v>9</v>
      </c>
      <c r="I309" s="44">
        <v>0</v>
      </c>
      <c r="J309" s="44">
        <v>0</v>
      </c>
      <c r="K309" s="123">
        <v>100000</v>
      </c>
      <c r="L309" s="124">
        <f t="shared" si="38"/>
        <v>9</v>
      </c>
      <c r="M309" s="45">
        <f t="shared" si="41"/>
        <v>900000</v>
      </c>
      <c r="N309" s="45">
        <f t="shared" si="44"/>
        <v>900000</v>
      </c>
      <c r="O309" s="45"/>
      <c r="P309" s="45"/>
      <c r="Q309" s="45" t="s">
        <v>6741</v>
      </c>
      <c r="R309" s="45"/>
      <c r="S309" s="45">
        <f t="shared" si="40"/>
        <v>0</v>
      </c>
      <c r="T309" s="44" t="s">
        <v>19</v>
      </c>
      <c r="U309" s="44" t="s">
        <v>20</v>
      </c>
      <c r="V309" s="43" t="s">
        <v>21</v>
      </c>
      <c r="W309" t="str">
        <f>VLOOKUP(C309,'Data_HS t5'!$B$2:$K$412,10,TRUE)</f>
        <v>Phường Thạch Bàn, Quận Long Biên, Thành phố Hà Nội</v>
      </c>
      <c r="X309" t="str">
        <f>VLOOKUP(C309,'Data_HS t9'!$B$2:$K$454,10,TRUE)</f>
        <v>5/366/36/4, Ngọc Lâm, LB</v>
      </c>
    </row>
    <row r="310" spans="1:24">
      <c r="A310" s="2">
        <v>305</v>
      </c>
      <c r="B310" s="119">
        <v>202510</v>
      </c>
      <c r="C310" s="44" t="s">
        <v>622</v>
      </c>
      <c r="D310" s="44" t="s">
        <v>623</v>
      </c>
      <c r="E310" s="44" t="s">
        <v>597</v>
      </c>
      <c r="F310" s="44">
        <v>0</v>
      </c>
      <c r="G310" s="44">
        <v>4</v>
      </c>
      <c r="H310" s="44">
        <v>9</v>
      </c>
      <c r="I310" s="44">
        <v>0</v>
      </c>
      <c r="J310" s="44">
        <v>0</v>
      </c>
      <c r="K310" s="123">
        <v>100000</v>
      </c>
      <c r="L310" s="124">
        <f t="shared" si="38"/>
        <v>13</v>
      </c>
      <c r="M310" s="45">
        <f t="shared" si="41"/>
        <v>1300000</v>
      </c>
      <c r="N310" s="45">
        <f t="shared" si="44"/>
        <v>1300000</v>
      </c>
      <c r="O310" s="45"/>
      <c r="P310" s="45"/>
      <c r="Q310" s="45" t="s">
        <v>6741</v>
      </c>
      <c r="R310" s="45"/>
      <c r="S310" s="45">
        <f t="shared" si="40"/>
        <v>0</v>
      </c>
      <c r="T310" s="44" t="s">
        <v>19</v>
      </c>
      <c r="U310" s="44" t="s">
        <v>20</v>
      </c>
      <c r="V310" s="43" t="s">
        <v>21</v>
      </c>
      <c r="W310" t="str">
        <f>VLOOKUP(C310,'Data_HS t5'!$B$2:$K$412,10,TRUE)</f>
        <v>Tổ dân phố 21, Phường Phúc Xá, Quận Ba Đình, Thành phố Hà Nội</v>
      </c>
      <c r="X310" t="str">
        <f>VLOOKUP(C310,'Data_HS t9'!$B$2:$K$454,10,TRUE)</f>
        <v>Tổ dân phố số 20, Phường Thượng Thanh, Quận Long Biên, Thành phố Hà Nội</v>
      </c>
    </row>
    <row r="311" spans="1:24">
      <c r="A311" s="2">
        <v>306</v>
      </c>
      <c r="B311" s="119">
        <v>202510</v>
      </c>
      <c r="C311" s="44" t="s">
        <v>624</v>
      </c>
      <c r="D311" s="44" t="s">
        <v>625</v>
      </c>
      <c r="E311" s="44" t="s">
        <v>597</v>
      </c>
      <c r="F311" s="44">
        <v>0</v>
      </c>
      <c r="G311" s="44">
        <v>2</v>
      </c>
      <c r="H311" s="44">
        <v>9</v>
      </c>
      <c r="I311" s="44">
        <v>0</v>
      </c>
      <c r="J311" s="44">
        <v>0</v>
      </c>
      <c r="K311" s="123">
        <v>100000</v>
      </c>
      <c r="L311" s="124">
        <f t="shared" si="38"/>
        <v>11</v>
      </c>
      <c r="M311" s="45">
        <f t="shared" si="41"/>
        <v>1100000</v>
      </c>
      <c r="N311" s="45">
        <f t="shared" si="44"/>
        <v>1100000</v>
      </c>
      <c r="O311" s="45"/>
      <c r="P311" s="45"/>
      <c r="Q311" s="45" t="s">
        <v>6741</v>
      </c>
      <c r="R311" s="45"/>
      <c r="S311" s="45">
        <f t="shared" si="40"/>
        <v>0</v>
      </c>
      <c r="T311" s="44" t="s">
        <v>19</v>
      </c>
      <c r="U311" s="44" t="s">
        <v>20</v>
      </c>
      <c r="V311" s="43" t="s">
        <v>21</v>
      </c>
      <c r="W311" t="str">
        <f>VLOOKUP(C311,'Data_HS t5'!$B$2:$K$412,10,TRUE)</f>
        <v>Phường Thạch Bàn, Quận Long Biên, Thành phố Hà Nội</v>
      </c>
      <c r="X311" t="str">
        <f>VLOOKUP(C311,'Data_HS t9'!$B$2:$K$454,10,TRUE)</f>
        <v>Tổ dân phố số 36, Phường Ngọc Thụy, Quận Long Biên, Thành phố Hà Nội</v>
      </c>
    </row>
    <row r="312" spans="1:24">
      <c r="A312" s="2">
        <v>307</v>
      </c>
      <c r="B312" s="119">
        <v>202510</v>
      </c>
      <c r="C312" s="44" t="s">
        <v>626</v>
      </c>
      <c r="D312" s="44" t="s">
        <v>627</v>
      </c>
      <c r="E312" s="44" t="s">
        <v>597</v>
      </c>
      <c r="F312" s="44">
        <v>0</v>
      </c>
      <c r="G312" s="44">
        <v>4</v>
      </c>
      <c r="H312" s="44">
        <v>9</v>
      </c>
      <c r="I312" s="44">
        <v>0</v>
      </c>
      <c r="J312" s="44">
        <v>0</v>
      </c>
      <c r="K312" s="123">
        <v>100000</v>
      </c>
      <c r="L312" s="124">
        <f t="shared" si="38"/>
        <v>13</v>
      </c>
      <c r="M312" s="45">
        <f t="shared" si="41"/>
        <v>1300000</v>
      </c>
      <c r="N312" s="45">
        <f t="shared" si="44"/>
        <v>1300000</v>
      </c>
      <c r="O312" s="45"/>
      <c r="P312" s="45"/>
      <c r="Q312" s="45" t="s">
        <v>6741</v>
      </c>
      <c r="R312" s="45"/>
      <c r="S312" s="45">
        <f t="shared" si="40"/>
        <v>0</v>
      </c>
      <c r="T312" s="44" t="s">
        <v>19</v>
      </c>
      <c r="U312" s="44" t="s">
        <v>20</v>
      </c>
      <c r="V312" s="43" t="s">
        <v>21</v>
      </c>
      <c r="W312" t="str">
        <f>VLOOKUP(C312,'Data_HS t5'!$B$2:$K$412,10,TRUE)</f>
        <v>Phường Long Biên, Quận Long Biên, Thành phố Hà Nội</v>
      </c>
      <c r="X312" t="str">
        <f>VLOOKUP(C312,'Data_HS t9'!$B$2:$K$454,10,TRUE)</f>
        <v>P3r4 cc Happy Star No10, Giang Biên, LB</v>
      </c>
    </row>
    <row r="313" spans="1:24">
      <c r="A313" s="2">
        <v>308</v>
      </c>
      <c r="B313" s="119">
        <v>202510</v>
      </c>
      <c r="C313" s="44" t="s">
        <v>3680</v>
      </c>
      <c r="D313" s="44" t="s">
        <v>629</v>
      </c>
      <c r="E313" s="44" t="s">
        <v>597</v>
      </c>
      <c r="F313" s="44">
        <v>0</v>
      </c>
      <c r="G313" s="44">
        <v>4</v>
      </c>
      <c r="H313" s="44">
        <v>9</v>
      </c>
      <c r="I313" s="44">
        <v>0</v>
      </c>
      <c r="J313" s="44">
        <v>0</v>
      </c>
      <c r="K313" s="123">
        <v>100000</v>
      </c>
      <c r="L313" s="124">
        <f t="shared" si="38"/>
        <v>13</v>
      </c>
      <c r="M313" s="45">
        <f t="shared" si="41"/>
        <v>1300000</v>
      </c>
      <c r="N313" s="45">
        <f t="shared" si="44"/>
        <v>1300000</v>
      </c>
      <c r="O313" s="45"/>
      <c r="P313" s="45"/>
      <c r="Q313" s="45" t="s">
        <v>6741</v>
      </c>
      <c r="R313" s="45"/>
      <c r="S313" s="45">
        <f t="shared" si="40"/>
        <v>0</v>
      </c>
      <c r="T313" s="44" t="s">
        <v>19</v>
      </c>
      <c r="U313" s="44" t="s">
        <v>20</v>
      </c>
      <c r="V313" s="43" t="s">
        <v>21</v>
      </c>
      <c r="W313">
        <f>VLOOKUP(C313,'Data_HS t5'!$B$2:$K$412,10,TRUE)</f>
        <v>0</v>
      </c>
      <c r="X313" t="str">
        <f>VLOOKUP(C313,'Data_HS t9'!$B$2:$K$454,10,TRUE)</f>
        <v>Phường Phúc Lợi, Quận Long Biên, Thành phố Hà Nội</v>
      </c>
    </row>
    <row r="314" spans="1:24">
      <c r="A314" s="2">
        <v>309</v>
      </c>
      <c r="B314" s="119">
        <v>202510</v>
      </c>
      <c r="C314" s="44" t="s">
        <v>630</v>
      </c>
      <c r="D314" s="44" t="s">
        <v>631</v>
      </c>
      <c r="E314" s="44" t="s">
        <v>597</v>
      </c>
      <c r="F314" s="44">
        <v>0</v>
      </c>
      <c r="G314" s="44">
        <v>0</v>
      </c>
      <c r="H314" s="44">
        <v>9</v>
      </c>
      <c r="I314" s="44">
        <v>0</v>
      </c>
      <c r="J314" s="44">
        <v>0</v>
      </c>
      <c r="K314" s="123">
        <v>100000</v>
      </c>
      <c r="L314" s="124">
        <f t="shared" ref="L314:L377" si="45">SUM(F314:J314)</f>
        <v>9</v>
      </c>
      <c r="M314" s="45">
        <f t="shared" si="41"/>
        <v>900000</v>
      </c>
      <c r="N314" s="45">
        <f t="shared" si="44"/>
        <v>900000</v>
      </c>
      <c r="O314" s="45"/>
      <c r="P314" s="45"/>
      <c r="Q314" s="45" t="s">
        <v>6741</v>
      </c>
      <c r="R314" s="45"/>
      <c r="S314" s="45">
        <f t="shared" si="40"/>
        <v>0</v>
      </c>
      <c r="T314" s="44" t="s">
        <v>19</v>
      </c>
      <c r="U314" s="44" t="s">
        <v>20</v>
      </c>
      <c r="V314" s="43" t="s">
        <v>21</v>
      </c>
      <c r="W314">
        <f>VLOOKUP(C314,'Data_HS t5'!$B$2:$K$412,10,TRUE)</f>
        <v>0</v>
      </c>
      <c r="X314">
        <f>VLOOKUP(C314,'Data_HS t9'!$B$2:$K$454,10,TRUE)</f>
        <v>0</v>
      </c>
    </row>
    <row r="315" spans="1:24">
      <c r="A315" s="2">
        <v>310</v>
      </c>
      <c r="B315" s="119">
        <v>202510</v>
      </c>
      <c r="C315" s="44" t="s">
        <v>285</v>
      </c>
      <c r="D315" s="44" t="s">
        <v>632</v>
      </c>
      <c r="E315" s="44" t="s">
        <v>597</v>
      </c>
      <c r="F315" s="44">
        <v>0</v>
      </c>
      <c r="G315" s="44">
        <v>0</v>
      </c>
      <c r="H315" s="44">
        <v>9</v>
      </c>
      <c r="I315" s="44">
        <v>0</v>
      </c>
      <c r="J315" s="44">
        <v>0</v>
      </c>
      <c r="K315" s="123">
        <v>100000</v>
      </c>
      <c r="L315" s="124">
        <f t="shared" si="45"/>
        <v>9</v>
      </c>
      <c r="M315" s="45">
        <f t="shared" si="41"/>
        <v>900000</v>
      </c>
      <c r="N315" s="45">
        <f t="shared" si="44"/>
        <v>900000</v>
      </c>
      <c r="O315" s="45"/>
      <c r="P315" s="45"/>
      <c r="Q315" s="45" t="s">
        <v>6741</v>
      </c>
      <c r="R315" s="45"/>
      <c r="S315" s="45">
        <f t="shared" si="40"/>
        <v>0</v>
      </c>
      <c r="T315" s="44" t="s">
        <v>19</v>
      </c>
      <c r="U315" s="44" t="s">
        <v>20</v>
      </c>
      <c r="V315" s="43" t="s">
        <v>21</v>
      </c>
      <c r="W315" t="str">
        <f>VLOOKUP(C315,'Data_HS t5'!$B$2:$K$412,10,TRUE)</f>
        <v>Tổ dân phố số 4, Phường Thạch Bàn, Quận Long Biên, Thành phố Hà Nội</v>
      </c>
      <c r="X315" t="str">
        <f>VLOOKUP(C315,'Data_HS t9'!$B$2:$K$454,10,TRUE)</f>
        <v>Tổ 3, Thạch Bàn, LB</v>
      </c>
    </row>
    <row r="316" spans="1:24">
      <c r="A316" s="2">
        <v>311</v>
      </c>
      <c r="B316" s="119">
        <v>202510</v>
      </c>
      <c r="C316" s="44" t="s">
        <v>633</v>
      </c>
      <c r="D316" s="44" t="s">
        <v>634</v>
      </c>
      <c r="E316" s="44" t="s">
        <v>597</v>
      </c>
      <c r="F316" s="44">
        <v>0</v>
      </c>
      <c r="G316" s="44">
        <v>0</v>
      </c>
      <c r="H316" s="44">
        <v>9</v>
      </c>
      <c r="I316" s="44">
        <v>0</v>
      </c>
      <c r="J316" s="44">
        <v>0</v>
      </c>
      <c r="K316" s="123">
        <v>100000</v>
      </c>
      <c r="L316" s="124">
        <f t="shared" si="45"/>
        <v>9</v>
      </c>
      <c r="M316" s="45">
        <f t="shared" si="41"/>
        <v>900000</v>
      </c>
      <c r="N316" s="45">
        <f t="shared" si="44"/>
        <v>900000</v>
      </c>
      <c r="O316" s="45"/>
      <c r="P316" s="45"/>
      <c r="Q316" s="45" t="s">
        <v>6741</v>
      </c>
      <c r="R316" s="45"/>
      <c r="S316" s="45">
        <f t="shared" si="40"/>
        <v>0</v>
      </c>
      <c r="T316" s="44" t="s">
        <v>19</v>
      </c>
      <c r="U316" s="44" t="s">
        <v>20</v>
      </c>
      <c r="V316" s="43" t="s">
        <v>21</v>
      </c>
      <c r="W316" t="str">
        <f>VLOOKUP(C316,'Data_HS t5'!$B$2:$K$412,10,TRUE)</f>
        <v>Tổ dân phố số 4, Phường Thạch Bàn, Quận Long Biên, Thành phố Hà Nội</v>
      </c>
      <c r="X316" t="str">
        <f>VLOOKUP(C316,'Data_HS t9'!$B$2:$K$454,10,TRUE)</f>
        <v>Tổ 3, Thạch Bàn, LB</v>
      </c>
    </row>
    <row r="317" spans="1:24">
      <c r="A317" s="2"/>
      <c r="B317" s="119"/>
      <c r="C317" s="44" t="s">
        <v>3778</v>
      </c>
      <c r="D317" s="44"/>
      <c r="E317" s="44" t="s">
        <v>597</v>
      </c>
      <c r="F317" s="44"/>
      <c r="G317" s="44">
        <v>4</v>
      </c>
      <c r="H317" s="44"/>
      <c r="I317" s="44"/>
      <c r="J317" s="44"/>
      <c r="K317" s="123">
        <v>100000</v>
      </c>
      <c r="L317" s="124">
        <f t="shared" si="45"/>
        <v>4</v>
      </c>
      <c r="M317" s="45">
        <f t="shared" si="41"/>
        <v>400000</v>
      </c>
      <c r="N317" s="45">
        <f t="shared" si="44"/>
        <v>400000</v>
      </c>
      <c r="O317" s="45"/>
      <c r="P317" s="45"/>
      <c r="Q317" s="45" t="s">
        <v>6741</v>
      </c>
      <c r="R317" s="45"/>
      <c r="S317" s="45">
        <f>M317-N317</f>
        <v>0</v>
      </c>
      <c r="T317" s="44"/>
      <c r="U317" s="44"/>
      <c r="V317" s="43"/>
    </row>
    <row r="318" spans="1:24">
      <c r="A318" s="2"/>
      <c r="B318" s="119"/>
      <c r="C318" s="44" t="s">
        <v>6739</v>
      </c>
      <c r="D318" s="44"/>
      <c r="E318" s="44" t="s">
        <v>597</v>
      </c>
      <c r="F318" s="44"/>
      <c r="G318" s="44">
        <v>4</v>
      </c>
      <c r="H318" s="44"/>
      <c r="I318" s="44"/>
      <c r="J318" s="44"/>
      <c r="K318" s="123">
        <v>100000</v>
      </c>
      <c r="L318" s="124">
        <f t="shared" si="45"/>
        <v>4</v>
      </c>
      <c r="M318" s="45">
        <f t="shared" si="41"/>
        <v>400000</v>
      </c>
      <c r="N318" s="45">
        <f t="shared" si="44"/>
        <v>400000</v>
      </c>
      <c r="O318" s="45"/>
      <c r="P318" s="45"/>
      <c r="Q318" s="45" t="s">
        <v>6741</v>
      </c>
      <c r="R318" s="45"/>
      <c r="S318" s="45">
        <f t="shared" ref="S318:S379" si="46">M318-N318</f>
        <v>0</v>
      </c>
      <c r="T318" s="44"/>
      <c r="U318" s="44"/>
      <c r="V318" s="43"/>
    </row>
    <row r="319" spans="1:24">
      <c r="A319" s="2"/>
      <c r="B319" s="119"/>
      <c r="C319" s="44" t="s">
        <v>588</v>
      </c>
      <c r="D319" s="44"/>
      <c r="E319" s="44" t="s">
        <v>597</v>
      </c>
      <c r="F319" s="44"/>
      <c r="G319" s="44">
        <v>4</v>
      </c>
      <c r="H319" s="44"/>
      <c r="I319" s="44"/>
      <c r="J319" s="44"/>
      <c r="K319" s="123">
        <v>100000</v>
      </c>
      <c r="L319" s="124">
        <f t="shared" si="45"/>
        <v>4</v>
      </c>
      <c r="M319" s="45">
        <f t="shared" si="41"/>
        <v>400000</v>
      </c>
      <c r="N319" s="45">
        <f t="shared" si="44"/>
        <v>400000</v>
      </c>
      <c r="O319" s="45"/>
      <c r="P319" s="45"/>
      <c r="Q319" s="45" t="s">
        <v>6741</v>
      </c>
      <c r="R319" s="45"/>
      <c r="S319" s="45">
        <f t="shared" si="46"/>
        <v>0</v>
      </c>
      <c r="T319" s="44"/>
      <c r="U319" s="44"/>
      <c r="V319" s="43"/>
    </row>
    <row r="320" spans="1:24">
      <c r="A320" s="2"/>
      <c r="B320" s="119"/>
      <c r="C320" s="44" t="s">
        <v>267</v>
      </c>
      <c r="D320" s="44"/>
      <c r="E320" s="44" t="s">
        <v>597</v>
      </c>
      <c r="F320" s="44"/>
      <c r="G320" s="44">
        <v>4</v>
      </c>
      <c r="H320" s="44"/>
      <c r="I320" s="44"/>
      <c r="J320" s="44"/>
      <c r="K320" s="123">
        <v>100000</v>
      </c>
      <c r="L320" s="124">
        <f t="shared" si="45"/>
        <v>4</v>
      </c>
      <c r="M320" s="45">
        <f t="shared" si="41"/>
        <v>400000</v>
      </c>
      <c r="N320" s="45">
        <f t="shared" si="44"/>
        <v>400000</v>
      </c>
      <c r="O320" s="45"/>
      <c r="P320" s="45"/>
      <c r="Q320" s="45" t="s">
        <v>6741</v>
      </c>
      <c r="R320" s="45"/>
      <c r="S320" s="45">
        <f t="shared" si="46"/>
        <v>0</v>
      </c>
      <c r="T320" s="44"/>
      <c r="U320" s="44"/>
      <c r="V320" s="43"/>
    </row>
    <row r="321" spans="1:24">
      <c r="A321" s="2"/>
      <c r="B321" s="119"/>
      <c r="C321" s="44" t="s">
        <v>1407</v>
      </c>
      <c r="D321" s="44"/>
      <c r="E321" s="44" t="s">
        <v>597</v>
      </c>
      <c r="F321" s="44"/>
      <c r="G321" s="44">
        <v>2</v>
      </c>
      <c r="H321" s="44"/>
      <c r="I321" s="44"/>
      <c r="J321" s="44"/>
      <c r="K321" s="123">
        <v>100000</v>
      </c>
      <c r="L321" s="124">
        <f t="shared" si="45"/>
        <v>2</v>
      </c>
      <c r="M321" s="45">
        <f t="shared" ref="M321:M384" si="47">L321*K321</f>
        <v>200000</v>
      </c>
      <c r="N321" s="45">
        <f t="shared" si="44"/>
        <v>200000</v>
      </c>
      <c r="O321" s="45"/>
      <c r="P321" s="45"/>
      <c r="Q321" s="45" t="s">
        <v>6741</v>
      </c>
      <c r="R321" s="45"/>
      <c r="S321" s="45">
        <f t="shared" si="46"/>
        <v>0</v>
      </c>
      <c r="T321" s="44"/>
      <c r="U321" s="44"/>
      <c r="V321" s="43"/>
    </row>
    <row r="322" spans="1:24">
      <c r="A322" s="2"/>
      <c r="B322" s="119"/>
      <c r="C322" s="44" t="s">
        <v>6740</v>
      </c>
      <c r="D322" s="44"/>
      <c r="E322" s="44" t="s">
        <v>597</v>
      </c>
      <c r="F322" s="44"/>
      <c r="G322" s="44">
        <v>4</v>
      </c>
      <c r="H322" s="44"/>
      <c r="I322" s="44"/>
      <c r="J322" s="44"/>
      <c r="K322" s="123">
        <v>100000</v>
      </c>
      <c r="L322" s="124">
        <f t="shared" si="45"/>
        <v>4</v>
      </c>
      <c r="M322" s="45">
        <f t="shared" si="47"/>
        <v>400000</v>
      </c>
      <c r="N322" s="45">
        <f t="shared" si="44"/>
        <v>400000</v>
      </c>
      <c r="O322" s="45"/>
      <c r="P322" s="45"/>
      <c r="Q322" s="45" t="s">
        <v>6741</v>
      </c>
      <c r="R322" s="45"/>
      <c r="S322" s="45">
        <f t="shared" si="46"/>
        <v>0</v>
      </c>
      <c r="T322" s="44"/>
      <c r="U322" s="44"/>
      <c r="V322" s="43"/>
    </row>
    <row r="323" spans="1:24" ht="26.4">
      <c r="A323" s="2">
        <v>312</v>
      </c>
      <c r="B323" s="119">
        <v>202510</v>
      </c>
      <c r="C323" s="44" t="s">
        <v>503</v>
      </c>
      <c r="D323" s="44" t="s">
        <v>635</v>
      </c>
      <c r="E323" s="44" t="s">
        <v>636</v>
      </c>
      <c r="F323" s="44">
        <v>8</v>
      </c>
      <c r="G323" s="44">
        <v>0</v>
      </c>
      <c r="H323" s="44">
        <v>0</v>
      </c>
      <c r="I323" s="44">
        <v>9</v>
      </c>
      <c r="J323" s="44">
        <v>0</v>
      </c>
      <c r="K323" s="123">
        <v>100000</v>
      </c>
      <c r="L323" s="124">
        <f t="shared" si="45"/>
        <v>17</v>
      </c>
      <c r="M323" s="45">
        <f t="shared" si="47"/>
        <v>1700000</v>
      </c>
      <c r="N323" s="45">
        <f>M323</f>
        <v>1700000</v>
      </c>
      <c r="O323" s="45"/>
      <c r="P323" s="61" t="s">
        <v>6757</v>
      </c>
      <c r="Q323" s="45"/>
      <c r="R323" s="45"/>
      <c r="S323" s="45">
        <f t="shared" si="46"/>
        <v>0</v>
      </c>
      <c r="T323" s="44" t="s">
        <v>19</v>
      </c>
      <c r="U323" s="44" t="s">
        <v>20</v>
      </c>
      <c r="V323" s="43" t="s">
        <v>21</v>
      </c>
      <c r="W323">
        <f>VLOOKUP(C323,'Data_HS t5'!$B$2:$K$412,10,TRUE)</f>
        <v>0</v>
      </c>
      <c r="X323" t="str">
        <f>VLOOKUP(C323,'Data_HS t9'!$B$2:$K$454,10,TRUE)</f>
        <v>Tổ dân phố số 11, Phường Sài Đồng, Quận Long Biên, Thành phố Hà Nội</v>
      </c>
    </row>
    <row r="324" spans="1:24">
      <c r="A324" s="2">
        <v>313</v>
      </c>
      <c r="B324" s="119">
        <v>202510</v>
      </c>
      <c r="C324" s="44" t="s">
        <v>637</v>
      </c>
      <c r="D324" s="44" t="s">
        <v>638</v>
      </c>
      <c r="E324" s="44" t="s">
        <v>636</v>
      </c>
      <c r="F324" s="44">
        <v>8</v>
      </c>
      <c r="G324" s="44">
        <v>0</v>
      </c>
      <c r="H324" s="44">
        <v>0</v>
      </c>
      <c r="I324" s="44">
        <v>0</v>
      </c>
      <c r="J324" s="44">
        <v>0</v>
      </c>
      <c r="K324" s="123">
        <v>100000</v>
      </c>
      <c r="L324" s="124">
        <f t="shared" si="45"/>
        <v>8</v>
      </c>
      <c r="M324" s="45">
        <f t="shared" si="47"/>
        <v>800000</v>
      </c>
      <c r="N324" s="45">
        <f t="shared" ref="N324:N329" si="48">M324</f>
        <v>800000</v>
      </c>
      <c r="O324" s="45"/>
      <c r="P324" s="45" t="s">
        <v>6371</v>
      </c>
      <c r="Q324" s="45"/>
      <c r="R324" s="45"/>
      <c r="S324" s="45">
        <f t="shared" si="46"/>
        <v>0</v>
      </c>
      <c r="T324" s="44" t="s">
        <v>19</v>
      </c>
      <c r="U324" s="44" t="s">
        <v>20</v>
      </c>
      <c r="V324" s="43" t="s">
        <v>21</v>
      </c>
      <c r="W324" t="str">
        <f>VLOOKUP(C324,'Data_HS t5'!$B$2:$K$412,10,TRUE)</f>
        <v>Tổ dân phố số 4, Phường Thạch Bàn, Quận Long Biên, Thành phố Hà Nội</v>
      </c>
      <c r="X324" t="str">
        <f>VLOOKUP(C324,'Data_HS t9'!$B$2:$K$454,10,TRUE)</f>
        <v>Tổ 3, Thạch Bàn, LB</v>
      </c>
    </row>
    <row r="325" spans="1:24" ht="26.4">
      <c r="A325" s="2">
        <v>314</v>
      </c>
      <c r="B325" s="119">
        <v>202510</v>
      </c>
      <c r="C325" s="44" t="s">
        <v>7105</v>
      </c>
      <c r="D325" s="44" t="s">
        <v>640</v>
      </c>
      <c r="E325" s="44" t="s">
        <v>636</v>
      </c>
      <c r="F325" s="44">
        <v>8</v>
      </c>
      <c r="G325" s="44">
        <v>0</v>
      </c>
      <c r="H325" s="44">
        <v>0</v>
      </c>
      <c r="I325" s="44">
        <v>10</v>
      </c>
      <c r="J325" s="44">
        <v>0</v>
      </c>
      <c r="K325" s="123">
        <v>100000</v>
      </c>
      <c r="L325" s="124">
        <f t="shared" si="45"/>
        <v>18</v>
      </c>
      <c r="M325" s="45">
        <f t="shared" si="47"/>
        <v>1800000</v>
      </c>
      <c r="N325" s="45">
        <f t="shared" si="48"/>
        <v>1800000</v>
      </c>
      <c r="O325" s="45"/>
      <c r="P325" s="61" t="s">
        <v>7118</v>
      </c>
      <c r="Q325" s="45"/>
      <c r="R325" s="45"/>
      <c r="S325" s="45">
        <f t="shared" si="46"/>
        <v>0</v>
      </c>
      <c r="T325" s="44" t="s">
        <v>19</v>
      </c>
      <c r="U325" s="44" t="s">
        <v>20</v>
      </c>
      <c r="V325" s="43" t="s">
        <v>21</v>
      </c>
      <c r="W325" t="str">
        <f>VLOOKUP(C325,'Data_HS t5'!$B$2:$K$412,10,TRUE)</f>
        <v>Phường Thạch Bàn, Quận Long Biên, Thành phố Hà Nội</v>
      </c>
      <c r="X325" t="e">
        <f>VLOOKUP(C325,'Data_HS t9'!$B$2:$K$454,10,TRUE)</f>
        <v>#N/A</v>
      </c>
    </row>
    <row r="326" spans="1:24">
      <c r="A326" s="2">
        <v>315</v>
      </c>
      <c r="B326" s="119">
        <v>202510</v>
      </c>
      <c r="C326" s="44" t="s">
        <v>641</v>
      </c>
      <c r="D326" s="44" t="s">
        <v>642</v>
      </c>
      <c r="E326" s="44" t="s">
        <v>636</v>
      </c>
      <c r="F326" s="44">
        <v>8</v>
      </c>
      <c r="G326" s="44">
        <v>0</v>
      </c>
      <c r="H326" s="44">
        <v>0</v>
      </c>
      <c r="I326" s="44">
        <v>0</v>
      </c>
      <c r="J326" s="44">
        <v>0</v>
      </c>
      <c r="K326" s="123">
        <v>100000</v>
      </c>
      <c r="L326" s="124">
        <f t="shared" si="45"/>
        <v>8</v>
      </c>
      <c r="M326" s="45">
        <f t="shared" si="47"/>
        <v>800000</v>
      </c>
      <c r="N326" s="45">
        <f t="shared" si="48"/>
        <v>800000</v>
      </c>
      <c r="O326" s="45"/>
      <c r="P326" s="45" t="s">
        <v>3121</v>
      </c>
      <c r="Q326" s="45"/>
      <c r="R326" s="45"/>
      <c r="S326" s="45">
        <f t="shared" si="46"/>
        <v>0</v>
      </c>
      <c r="T326" s="44" t="s">
        <v>19</v>
      </c>
      <c r="U326" s="44" t="s">
        <v>20</v>
      </c>
      <c r="V326" s="43" t="s">
        <v>21</v>
      </c>
      <c r="W326">
        <f>VLOOKUP(C326,'Data_HS t5'!$B$2:$K$412,10,TRUE)</f>
        <v>0</v>
      </c>
      <c r="X326" t="str">
        <f>VLOOKUP(C326,'Data_HS t9'!$B$2:$K$454,10,TRUE)</f>
        <v>Phường Phúc Lợi, Quận Long Biên, Thành phố Hà Nội</v>
      </c>
    </row>
    <row r="327" spans="1:24">
      <c r="A327" s="2">
        <v>316</v>
      </c>
      <c r="B327" s="119">
        <v>202510</v>
      </c>
      <c r="C327" s="44" t="s">
        <v>643</v>
      </c>
      <c r="D327" s="44" t="s">
        <v>644</v>
      </c>
      <c r="E327" s="44" t="s">
        <v>636</v>
      </c>
      <c r="F327" s="44">
        <v>8</v>
      </c>
      <c r="G327" s="44">
        <v>0</v>
      </c>
      <c r="H327" s="44">
        <v>0</v>
      </c>
      <c r="I327" s="44">
        <v>0</v>
      </c>
      <c r="J327" s="44">
        <v>0</v>
      </c>
      <c r="K327" s="123">
        <v>100000</v>
      </c>
      <c r="L327" s="124">
        <f t="shared" si="45"/>
        <v>8</v>
      </c>
      <c r="M327" s="45">
        <f t="shared" si="47"/>
        <v>800000</v>
      </c>
      <c r="N327" s="45">
        <f t="shared" si="48"/>
        <v>800000</v>
      </c>
      <c r="O327" s="45"/>
      <c r="P327" s="45" t="s">
        <v>6362</v>
      </c>
      <c r="Q327" s="45"/>
      <c r="R327" s="45"/>
      <c r="S327" s="45">
        <f t="shared" si="46"/>
        <v>0</v>
      </c>
      <c r="T327" s="44" t="s">
        <v>19</v>
      </c>
      <c r="U327" s="44" t="s">
        <v>20</v>
      </c>
      <c r="V327" s="43" t="s">
        <v>21</v>
      </c>
      <c r="W327" t="str">
        <f>VLOOKUP(C327,'Data_HS t5'!$B$2:$K$412,10,TRUE)</f>
        <v>Tổ dân phố 21, Phường Phúc Xá, Quận Ba Đình, Thành phố Hà Nội</v>
      </c>
      <c r="X327" t="str">
        <f>VLOOKUP(C327,'Data_HS t9'!$B$2:$K$454,10,TRUE)</f>
        <v>Tổ dân phố số 11, Phường Sài Đồng, Quận Long Biên, Thành phố Hà Nội</v>
      </c>
    </row>
    <row r="328" spans="1:24">
      <c r="A328" s="2">
        <v>317</v>
      </c>
      <c r="B328" s="119">
        <v>202510</v>
      </c>
      <c r="C328" s="44" t="s">
        <v>645</v>
      </c>
      <c r="D328" s="44" t="s">
        <v>646</v>
      </c>
      <c r="E328" s="44" t="s">
        <v>636</v>
      </c>
      <c r="F328" s="44">
        <v>8</v>
      </c>
      <c r="G328" s="44">
        <v>0</v>
      </c>
      <c r="H328" s="44">
        <v>0</v>
      </c>
      <c r="I328" s="44">
        <v>0</v>
      </c>
      <c r="J328" s="44">
        <v>0</v>
      </c>
      <c r="K328" s="123">
        <v>100000</v>
      </c>
      <c r="L328" s="124">
        <f t="shared" si="45"/>
        <v>8</v>
      </c>
      <c r="M328" s="45">
        <f t="shared" si="47"/>
        <v>800000</v>
      </c>
      <c r="N328" s="45">
        <f t="shared" si="48"/>
        <v>800000</v>
      </c>
      <c r="O328" s="45"/>
      <c r="P328" s="45" t="s">
        <v>2095</v>
      </c>
      <c r="Q328" s="45"/>
      <c r="R328" s="45"/>
      <c r="S328" s="45">
        <f t="shared" si="46"/>
        <v>0</v>
      </c>
      <c r="T328" s="44" t="s">
        <v>19</v>
      </c>
      <c r="U328" s="44" t="s">
        <v>20</v>
      </c>
      <c r="V328" s="43" t="s">
        <v>21</v>
      </c>
      <c r="W328" t="str">
        <f>VLOOKUP(C328,'Data_HS t5'!$B$2:$K$412,10,TRUE)</f>
        <v>Số 77 Gia Quất, Thượng Thanh, LB</v>
      </c>
      <c r="X328" t="str">
        <f>VLOOKUP(C328,'Data_HS t9'!$B$2:$K$454,10,TRUE)</f>
        <v>Hiện nay: Tổ 12, Thạch Bàn, LB</v>
      </c>
    </row>
    <row r="329" spans="1:24">
      <c r="A329" s="2">
        <v>318</v>
      </c>
      <c r="B329" s="119">
        <v>202510</v>
      </c>
      <c r="C329" s="44" t="s">
        <v>647</v>
      </c>
      <c r="D329" s="44" t="s">
        <v>648</v>
      </c>
      <c r="E329" s="44" t="s">
        <v>636</v>
      </c>
      <c r="F329" s="44">
        <v>8</v>
      </c>
      <c r="G329" s="44">
        <v>0</v>
      </c>
      <c r="H329" s="44">
        <v>0</v>
      </c>
      <c r="I329" s="44">
        <v>0</v>
      </c>
      <c r="J329" s="44">
        <v>0</v>
      </c>
      <c r="K329" s="123">
        <v>100000</v>
      </c>
      <c r="L329" s="124">
        <f t="shared" si="45"/>
        <v>8</v>
      </c>
      <c r="M329" s="45">
        <f t="shared" si="47"/>
        <v>800000</v>
      </c>
      <c r="N329" s="45">
        <f t="shared" si="48"/>
        <v>800000</v>
      </c>
      <c r="O329" s="45"/>
      <c r="P329" s="45" t="s">
        <v>2764</v>
      </c>
      <c r="Q329" s="45"/>
      <c r="R329" s="45"/>
      <c r="S329" s="45">
        <f t="shared" si="46"/>
        <v>0</v>
      </c>
      <c r="T329" s="44" t="s">
        <v>19</v>
      </c>
      <c r="U329" s="44" t="s">
        <v>20</v>
      </c>
      <c r="V329" s="43" t="s">
        <v>21</v>
      </c>
      <c r="W329" t="str">
        <f>VLOOKUP(C329,'Data_HS t5'!$B$2:$K$412,10,TRUE)</f>
        <v>Phường Thạch Bàn, Quận Long Biên, Thành phố Hà Nội</v>
      </c>
      <c r="X329" t="str">
        <f>VLOOKUP(C329,'Data_HS t9'!$B$2:$K$454,10,TRUE)</f>
        <v>Tổ dân phố số 1, Phường Cự Khối, Quận Long Biên, Thành phố Hà Nội</v>
      </c>
    </row>
    <row r="330" spans="1:24">
      <c r="A330" s="2">
        <v>319</v>
      </c>
      <c r="B330" s="119">
        <v>202510</v>
      </c>
      <c r="C330" s="44" t="s">
        <v>649</v>
      </c>
      <c r="D330" s="44" t="s">
        <v>650</v>
      </c>
      <c r="E330" s="44" t="s">
        <v>636</v>
      </c>
      <c r="F330" s="44">
        <v>8</v>
      </c>
      <c r="G330" s="44">
        <v>0</v>
      </c>
      <c r="H330" s="44">
        <v>0</v>
      </c>
      <c r="I330" s="44">
        <v>0</v>
      </c>
      <c r="J330" s="44">
        <v>0</v>
      </c>
      <c r="K330" s="123">
        <v>100000</v>
      </c>
      <c r="L330" s="124">
        <f t="shared" si="45"/>
        <v>8</v>
      </c>
      <c r="M330" s="45">
        <f t="shared" si="47"/>
        <v>800000</v>
      </c>
      <c r="N330" s="45">
        <f>M330</f>
        <v>800000</v>
      </c>
      <c r="O330" s="45"/>
      <c r="P330" s="45" t="s">
        <v>7150</v>
      </c>
      <c r="Q330" s="45"/>
      <c r="R330" s="45"/>
      <c r="S330" s="45">
        <f t="shared" si="46"/>
        <v>0</v>
      </c>
      <c r="T330" s="44" t="s">
        <v>19</v>
      </c>
      <c r="U330" s="44" t="s">
        <v>20</v>
      </c>
      <c r="V330" s="43" t="s">
        <v>21</v>
      </c>
      <c r="W330" t="e">
        <f>VLOOKUP(C330,'Data_HS t5'!$B$2:$K$412,10,TRUE)</f>
        <v>#N/A</v>
      </c>
      <c r="X330" t="str">
        <f>VLOOKUP(C330,'Data_HS t9'!$B$2:$K$454,10,TRUE)</f>
        <v>Tổ dân phố số 36, Phường Ngọc Thụy, Quận Long Biên, Thành phố Hà Nội</v>
      </c>
    </row>
    <row r="331" spans="1:24">
      <c r="A331" s="2">
        <v>320</v>
      </c>
      <c r="B331" s="119">
        <v>202510</v>
      </c>
      <c r="C331" s="44" t="s">
        <v>651</v>
      </c>
      <c r="D331" s="44" t="s">
        <v>652</v>
      </c>
      <c r="E331" s="44" t="s">
        <v>636</v>
      </c>
      <c r="F331" s="44">
        <v>8</v>
      </c>
      <c r="G331" s="44">
        <v>0</v>
      </c>
      <c r="H331" s="44">
        <v>0</v>
      </c>
      <c r="I331" s="44">
        <v>0</v>
      </c>
      <c r="J331" s="44">
        <v>0</v>
      </c>
      <c r="K331" s="123">
        <v>100000</v>
      </c>
      <c r="L331" s="124">
        <f t="shared" si="45"/>
        <v>8</v>
      </c>
      <c r="M331" s="45">
        <f t="shared" si="47"/>
        <v>800000</v>
      </c>
      <c r="N331" s="45">
        <f t="shared" ref="N331:N338" si="49">M331</f>
        <v>800000</v>
      </c>
      <c r="O331" s="45"/>
      <c r="P331" s="45" t="s">
        <v>2084</v>
      </c>
      <c r="Q331" s="45"/>
      <c r="R331" s="45"/>
      <c r="S331" s="45">
        <f t="shared" si="46"/>
        <v>0</v>
      </c>
      <c r="T331" s="44" t="s">
        <v>19</v>
      </c>
      <c r="U331" s="44" t="s">
        <v>20</v>
      </c>
      <c r="V331" s="43" t="s">
        <v>21</v>
      </c>
      <c r="W331">
        <f>VLOOKUP(C331,'Data_HS t5'!$B$2:$K$412,10,TRUE)</f>
        <v>0</v>
      </c>
      <c r="X331" t="str">
        <f>VLOOKUP(C331,'Data_HS t9'!$B$2:$K$454,10,TRUE)</f>
        <v>Phường Phúc Lợi, Quận Long Biên, Thành phố Hà Nội</v>
      </c>
    </row>
    <row r="332" spans="1:24">
      <c r="A332" s="2">
        <v>321</v>
      </c>
      <c r="B332" s="119">
        <v>202510</v>
      </c>
      <c r="C332" s="44" t="s">
        <v>653</v>
      </c>
      <c r="D332" s="44" t="s">
        <v>654</v>
      </c>
      <c r="E332" s="44" t="s">
        <v>636</v>
      </c>
      <c r="F332" s="44">
        <v>8</v>
      </c>
      <c r="G332" s="44">
        <v>0</v>
      </c>
      <c r="H332" s="44">
        <v>0</v>
      </c>
      <c r="I332" s="44">
        <v>0</v>
      </c>
      <c r="J332" s="44">
        <v>0</v>
      </c>
      <c r="K332" s="123">
        <v>100000</v>
      </c>
      <c r="L332" s="124">
        <f t="shared" si="45"/>
        <v>8</v>
      </c>
      <c r="M332" s="45">
        <f t="shared" si="47"/>
        <v>800000</v>
      </c>
      <c r="N332" s="45">
        <f t="shared" si="49"/>
        <v>800000</v>
      </c>
      <c r="O332" s="45"/>
      <c r="P332" s="45" t="s">
        <v>6308</v>
      </c>
      <c r="Q332" s="45"/>
      <c r="R332" s="45"/>
      <c r="S332" s="45">
        <f t="shared" si="46"/>
        <v>0</v>
      </c>
      <c r="T332" s="44" t="s">
        <v>19</v>
      </c>
      <c r="U332" s="44" t="s">
        <v>20</v>
      </c>
      <c r="V332" s="43" t="s">
        <v>21</v>
      </c>
      <c r="W332" t="str">
        <f>VLOOKUP(C332,'Data_HS t5'!$B$2:$K$412,10,TRUE)</f>
        <v>Phường Long Biên, Quận Long Biên, Thành phố Hà Nội</v>
      </c>
      <c r="X332" t="e">
        <f>VLOOKUP(C332,'Data_HS t9'!$B$2:$K$454,10,TRUE)</f>
        <v>#N/A</v>
      </c>
    </row>
    <row r="333" spans="1:24">
      <c r="A333" s="2">
        <v>322</v>
      </c>
      <c r="B333" s="119">
        <v>202510</v>
      </c>
      <c r="C333" s="44" t="s">
        <v>655</v>
      </c>
      <c r="D333" s="44" t="s">
        <v>656</v>
      </c>
      <c r="E333" s="44" t="s">
        <v>636</v>
      </c>
      <c r="F333" s="44">
        <v>8</v>
      </c>
      <c r="G333" s="44">
        <v>0</v>
      </c>
      <c r="H333" s="44">
        <v>0</v>
      </c>
      <c r="I333" s="44">
        <v>0</v>
      </c>
      <c r="J333" s="44">
        <v>0</v>
      </c>
      <c r="K333" s="123">
        <v>100000</v>
      </c>
      <c r="L333" s="124">
        <f t="shared" si="45"/>
        <v>8</v>
      </c>
      <c r="M333" s="45">
        <f t="shared" si="47"/>
        <v>800000</v>
      </c>
      <c r="N333" s="45">
        <f t="shared" si="49"/>
        <v>800000</v>
      </c>
      <c r="O333" s="45"/>
      <c r="P333" s="45" t="s">
        <v>6438</v>
      </c>
      <c r="Q333" s="45"/>
      <c r="R333" s="45"/>
      <c r="S333" s="45">
        <f t="shared" si="46"/>
        <v>0</v>
      </c>
      <c r="T333" s="44" t="s">
        <v>19</v>
      </c>
      <c r="U333" s="44" t="s">
        <v>20</v>
      </c>
      <c r="V333" s="43" t="s">
        <v>21</v>
      </c>
      <c r="W333" t="str">
        <f>VLOOKUP(C333,'Data_HS t5'!$B$2:$K$412,10,TRUE)</f>
        <v>Tổ dân phố 21, Phường Phúc Xá, Quận Ba Đình, Thành phố Hà Nội</v>
      </c>
      <c r="X333" t="str">
        <f>VLOOKUP(C333,'Data_HS t9'!$B$2:$K$454,10,TRUE)</f>
        <v>Tổ dân phố số 4, Phường Phúc Đồng, Quận Long Biên, Thành phố Hà Nội</v>
      </c>
    </row>
    <row r="334" spans="1:24">
      <c r="A334" s="2">
        <v>324</v>
      </c>
      <c r="B334" s="119">
        <v>202510</v>
      </c>
      <c r="C334" s="44" t="s">
        <v>207</v>
      </c>
      <c r="D334" s="44" t="s">
        <v>657</v>
      </c>
      <c r="E334" s="44" t="s">
        <v>636</v>
      </c>
      <c r="F334" s="44">
        <v>8</v>
      </c>
      <c r="G334" s="44">
        <v>0</v>
      </c>
      <c r="H334" s="44">
        <v>0</v>
      </c>
      <c r="I334" s="44">
        <v>0</v>
      </c>
      <c r="J334" s="44">
        <v>0</v>
      </c>
      <c r="K334" s="123">
        <v>100000</v>
      </c>
      <c r="L334" s="124">
        <f t="shared" si="45"/>
        <v>8</v>
      </c>
      <c r="M334" s="45">
        <f t="shared" si="47"/>
        <v>800000</v>
      </c>
      <c r="N334" s="45">
        <f t="shared" si="49"/>
        <v>800000</v>
      </c>
      <c r="O334" s="45"/>
      <c r="P334" s="45" t="s">
        <v>6570</v>
      </c>
      <c r="Q334" s="45"/>
      <c r="R334" s="45"/>
      <c r="S334" s="45">
        <f t="shared" si="46"/>
        <v>0</v>
      </c>
      <c r="T334" s="44" t="s">
        <v>19</v>
      </c>
      <c r="U334" s="44" t="s">
        <v>20</v>
      </c>
      <c r="V334" s="43" t="s">
        <v>21</v>
      </c>
      <c r="W334">
        <f>VLOOKUP(C334,'Data_HS t5'!$B$2:$K$412,10,TRUE)</f>
        <v>0</v>
      </c>
      <c r="X334" t="str">
        <f>VLOOKUP(C334,'Data_HS t9'!$B$2:$K$454,10,TRUE)</f>
        <v>Tổ dân phố số 11, Phường Sài Đồng, Quận Long Biên, Thành phố Hà Nội</v>
      </c>
    </row>
    <row r="335" spans="1:24">
      <c r="A335" s="2">
        <v>325</v>
      </c>
      <c r="B335" s="119">
        <v>202510</v>
      </c>
      <c r="C335" s="44" t="s">
        <v>658</v>
      </c>
      <c r="D335" s="44" t="s">
        <v>659</v>
      </c>
      <c r="E335" s="44" t="s">
        <v>636</v>
      </c>
      <c r="F335" s="44">
        <v>8</v>
      </c>
      <c r="G335" s="44">
        <v>0</v>
      </c>
      <c r="H335" s="44">
        <v>0</v>
      </c>
      <c r="I335" s="44">
        <v>0</v>
      </c>
      <c r="J335" s="44">
        <v>0</v>
      </c>
      <c r="K335" s="123">
        <v>100000</v>
      </c>
      <c r="L335" s="124">
        <f t="shared" si="45"/>
        <v>8</v>
      </c>
      <c r="M335" s="45">
        <f t="shared" si="47"/>
        <v>800000</v>
      </c>
      <c r="N335" s="45">
        <f t="shared" si="49"/>
        <v>800000</v>
      </c>
      <c r="O335" s="45"/>
      <c r="P335" s="45" t="s">
        <v>7084</v>
      </c>
      <c r="Q335" s="45"/>
      <c r="R335" s="45"/>
      <c r="S335" s="45">
        <f t="shared" si="46"/>
        <v>0</v>
      </c>
      <c r="T335" s="44" t="s">
        <v>19</v>
      </c>
      <c r="U335" s="44" t="s">
        <v>20</v>
      </c>
      <c r="V335" s="43" t="s">
        <v>21</v>
      </c>
      <c r="W335" t="str">
        <f>VLOOKUP(C335,'Data_HS t5'!$B$2:$K$412,10,TRUE)</f>
        <v>Phường Thạch Bàn, Quận Long Biên, Thành phố Hà Nội</v>
      </c>
      <c r="X335" t="e">
        <f>VLOOKUP(C335,'Data_HS t9'!$B$2:$K$454,10,TRUE)</f>
        <v>#N/A</v>
      </c>
    </row>
    <row r="336" spans="1:24">
      <c r="A336" s="2">
        <v>326</v>
      </c>
      <c r="B336" s="119">
        <v>202510</v>
      </c>
      <c r="C336" s="44" t="s">
        <v>660</v>
      </c>
      <c r="D336" s="44" t="s">
        <v>661</v>
      </c>
      <c r="E336" s="44" t="s">
        <v>636</v>
      </c>
      <c r="F336" s="44">
        <v>0</v>
      </c>
      <c r="G336" s="44">
        <v>0</v>
      </c>
      <c r="H336" s="44">
        <v>0</v>
      </c>
      <c r="I336" s="44">
        <v>9</v>
      </c>
      <c r="J336" s="44">
        <v>0</v>
      </c>
      <c r="K336" s="123">
        <v>100000</v>
      </c>
      <c r="L336" s="124">
        <f t="shared" si="45"/>
        <v>9</v>
      </c>
      <c r="M336" s="45">
        <f t="shared" si="47"/>
        <v>900000</v>
      </c>
      <c r="N336" s="45">
        <f t="shared" si="49"/>
        <v>900000</v>
      </c>
      <c r="O336" s="45"/>
      <c r="P336" s="45" t="s">
        <v>2071</v>
      </c>
      <c r="Q336" s="45"/>
      <c r="R336" s="45"/>
      <c r="S336" s="45">
        <f t="shared" si="46"/>
        <v>0</v>
      </c>
      <c r="T336" s="44" t="s">
        <v>19</v>
      </c>
      <c r="U336" s="44" t="s">
        <v>20</v>
      </c>
      <c r="V336" s="43" t="s">
        <v>21</v>
      </c>
      <c r="W336">
        <f>VLOOKUP(C336,'Data_HS t5'!$B$2:$K$412,10,TRUE)</f>
        <v>0</v>
      </c>
      <c r="X336" t="str">
        <f>VLOOKUP(C336,'Data_HS t9'!$B$2:$K$454,10,TRUE)</f>
        <v>Tổ dân phố số 15, Phường Việt Hưng, Quận Long Biên, Thành phố Hà Nội</v>
      </c>
    </row>
    <row r="337" spans="1:24">
      <c r="A337" s="2">
        <v>327</v>
      </c>
      <c r="B337" s="119">
        <v>202510</v>
      </c>
      <c r="C337" s="44" t="s">
        <v>662</v>
      </c>
      <c r="D337" s="44" t="s">
        <v>663</v>
      </c>
      <c r="E337" s="44" t="s">
        <v>636</v>
      </c>
      <c r="F337" s="44">
        <v>0</v>
      </c>
      <c r="G337" s="44">
        <v>0</v>
      </c>
      <c r="H337" s="44">
        <v>0</v>
      </c>
      <c r="I337" s="44">
        <v>10</v>
      </c>
      <c r="J337" s="44">
        <v>0</v>
      </c>
      <c r="K337" s="123">
        <v>100000</v>
      </c>
      <c r="L337" s="124">
        <f t="shared" si="45"/>
        <v>10</v>
      </c>
      <c r="M337" s="45">
        <f t="shared" si="47"/>
        <v>1000000</v>
      </c>
      <c r="N337" s="45">
        <f t="shared" si="49"/>
        <v>1000000</v>
      </c>
      <c r="O337" s="45"/>
      <c r="P337" s="45" t="s">
        <v>2098</v>
      </c>
      <c r="Q337" s="45"/>
      <c r="R337" s="45"/>
      <c r="S337" s="45">
        <f t="shared" si="46"/>
        <v>0</v>
      </c>
      <c r="T337" s="44" t="s">
        <v>19</v>
      </c>
      <c r="U337" s="44" t="s">
        <v>20</v>
      </c>
      <c r="V337" s="43" t="s">
        <v>21</v>
      </c>
      <c r="W337">
        <f>VLOOKUP(C337,'Data_HS t5'!$B$2:$K$412,10,TRUE)</f>
        <v>0</v>
      </c>
      <c r="X337" t="str">
        <f>VLOOKUP(C337,'Data_HS t9'!$B$2:$K$454,10,TRUE)</f>
        <v>Tổ 13, Khu Đô thị Việt Hưng, Phường Giang Biên, Quận Long Biên.</v>
      </c>
    </row>
    <row r="338" spans="1:24">
      <c r="A338" s="2">
        <v>328</v>
      </c>
      <c r="B338" s="119">
        <v>202510</v>
      </c>
      <c r="C338" s="44" t="s">
        <v>664</v>
      </c>
      <c r="D338" s="44" t="s">
        <v>665</v>
      </c>
      <c r="E338" s="44" t="s">
        <v>636</v>
      </c>
      <c r="F338" s="44">
        <v>0</v>
      </c>
      <c r="G338" s="44">
        <v>0</v>
      </c>
      <c r="H338" s="44">
        <v>0</v>
      </c>
      <c r="I338" s="44">
        <v>10</v>
      </c>
      <c r="J338" s="44">
        <v>0</v>
      </c>
      <c r="K338" s="123">
        <v>100000</v>
      </c>
      <c r="L338" s="124">
        <f t="shared" si="45"/>
        <v>10</v>
      </c>
      <c r="M338" s="45">
        <f t="shared" si="47"/>
        <v>1000000</v>
      </c>
      <c r="N338" s="45">
        <f t="shared" si="49"/>
        <v>1000000</v>
      </c>
      <c r="O338" s="45"/>
      <c r="P338" s="45" t="s">
        <v>7082</v>
      </c>
      <c r="Q338" s="45"/>
      <c r="R338" s="45"/>
      <c r="S338" s="45">
        <f t="shared" si="46"/>
        <v>0</v>
      </c>
      <c r="T338" s="44" t="s">
        <v>19</v>
      </c>
      <c r="U338" s="44" t="s">
        <v>20</v>
      </c>
      <c r="V338" s="43" t="s">
        <v>21</v>
      </c>
      <c r="W338" t="e">
        <f>VLOOKUP(C338,'Data_HS t5'!$B$2:$K$412,10,TRUE)</f>
        <v>#N/A</v>
      </c>
      <c r="X338" t="str">
        <f>VLOOKUP(C338,'Data_HS t9'!$B$2:$K$454,10,TRUE)</f>
        <v>Tổ dân phố số 36, Phường Ngọc Thụy, Quận Long Biên, Thành phố Hà Nội</v>
      </c>
    </row>
    <row r="339" spans="1:24">
      <c r="A339" s="2">
        <v>329</v>
      </c>
      <c r="B339" s="119">
        <v>202510</v>
      </c>
      <c r="C339" s="44" t="s">
        <v>666</v>
      </c>
      <c r="D339" s="44" t="s">
        <v>667</v>
      </c>
      <c r="E339" s="44" t="s">
        <v>636</v>
      </c>
      <c r="F339" s="44">
        <v>8</v>
      </c>
      <c r="G339" s="44">
        <v>0</v>
      </c>
      <c r="H339" s="44">
        <v>0</v>
      </c>
      <c r="I339" s="44">
        <v>10</v>
      </c>
      <c r="J339" s="44">
        <v>0</v>
      </c>
      <c r="K339" s="123">
        <v>100000</v>
      </c>
      <c r="L339" s="124">
        <f t="shared" si="45"/>
        <v>18</v>
      </c>
      <c r="M339" s="45">
        <f t="shared" si="47"/>
        <v>1800000</v>
      </c>
      <c r="N339" s="45">
        <f t="shared" ref="N339:N344" si="50">M339</f>
        <v>1800000</v>
      </c>
      <c r="O339" s="45"/>
      <c r="P339" s="45" t="s">
        <v>2700</v>
      </c>
      <c r="Q339" s="45"/>
      <c r="R339" s="45"/>
      <c r="S339" s="45">
        <f t="shared" si="46"/>
        <v>0</v>
      </c>
      <c r="T339" s="44" t="s">
        <v>19</v>
      </c>
      <c r="U339" s="44" t="s">
        <v>20</v>
      </c>
      <c r="V339" s="43" t="s">
        <v>21</v>
      </c>
      <c r="W339" t="str">
        <f>VLOOKUP(C339,'Data_HS t5'!$B$2:$K$412,10,TRUE)</f>
        <v>Tổ dân phố số 4, Phường Thạch Bàn, Quận Long Biên, Thành phố Hà Nội</v>
      </c>
      <c r="X339" t="str">
        <f>VLOOKUP(C339,'Data_HS t9'!$B$2:$K$454,10,TRUE)</f>
        <v>Tổ 3, Thạch Bàn, LB</v>
      </c>
    </row>
    <row r="340" spans="1:24">
      <c r="A340" s="2">
        <v>330</v>
      </c>
      <c r="B340" s="119">
        <v>202510</v>
      </c>
      <c r="C340" s="44" t="s">
        <v>668</v>
      </c>
      <c r="D340" s="44" t="s">
        <v>669</v>
      </c>
      <c r="E340" s="44" t="s">
        <v>636</v>
      </c>
      <c r="F340" s="44">
        <v>8</v>
      </c>
      <c r="G340" s="44">
        <v>0</v>
      </c>
      <c r="H340" s="44">
        <v>0</v>
      </c>
      <c r="I340" s="44">
        <v>7</v>
      </c>
      <c r="J340" s="44">
        <v>0</v>
      </c>
      <c r="K340" s="123">
        <v>100000</v>
      </c>
      <c r="L340" s="124">
        <f t="shared" si="45"/>
        <v>15</v>
      </c>
      <c r="M340" s="45">
        <f t="shared" si="47"/>
        <v>1500000</v>
      </c>
      <c r="N340" s="45">
        <f t="shared" si="50"/>
        <v>1500000</v>
      </c>
      <c r="O340" s="45"/>
      <c r="P340" s="45" t="s">
        <v>2756</v>
      </c>
      <c r="Q340" s="45"/>
      <c r="R340" s="45"/>
      <c r="S340" s="45">
        <f t="shared" si="46"/>
        <v>0</v>
      </c>
      <c r="T340" s="44" t="s">
        <v>19</v>
      </c>
      <c r="U340" s="44" t="s">
        <v>20</v>
      </c>
      <c r="V340" s="43" t="s">
        <v>21</v>
      </c>
      <c r="W340" t="str">
        <f>VLOOKUP(C340,'Data_HS t5'!$B$2:$K$412,10,TRUE)</f>
        <v>Phường Thạch Bàn, Quận Long Biên, Thành phố Hà Nội</v>
      </c>
      <c r="X340" t="str">
        <f>VLOOKUP(C340,'Data_HS t9'!$B$2:$K$454,10,TRUE)</f>
        <v>5/366/36/4, Ngọc Lâm, LB</v>
      </c>
    </row>
    <row r="341" spans="1:24">
      <c r="A341" s="2">
        <v>331</v>
      </c>
      <c r="B341" s="119">
        <v>202510</v>
      </c>
      <c r="C341" s="44" t="s">
        <v>670</v>
      </c>
      <c r="D341" s="44" t="s">
        <v>671</v>
      </c>
      <c r="E341" s="44" t="s">
        <v>636</v>
      </c>
      <c r="F341" s="44">
        <v>8</v>
      </c>
      <c r="G341" s="44">
        <v>0</v>
      </c>
      <c r="H341" s="44">
        <v>0</v>
      </c>
      <c r="I341" s="44">
        <v>0</v>
      </c>
      <c r="J341" s="44">
        <v>0</v>
      </c>
      <c r="K341" s="123">
        <v>100000</v>
      </c>
      <c r="L341" s="124">
        <f t="shared" si="45"/>
        <v>8</v>
      </c>
      <c r="M341" s="45">
        <f t="shared" si="47"/>
        <v>800000</v>
      </c>
      <c r="N341" s="45">
        <f t="shared" si="50"/>
        <v>800000</v>
      </c>
      <c r="O341" s="45"/>
      <c r="P341" s="45" t="s">
        <v>2111</v>
      </c>
      <c r="Q341" s="45"/>
      <c r="R341" s="45"/>
      <c r="S341" s="45">
        <f t="shared" si="46"/>
        <v>0</v>
      </c>
      <c r="T341" s="44" t="s">
        <v>19</v>
      </c>
      <c r="U341" s="44" t="s">
        <v>20</v>
      </c>
      <c r="V341" s="43" t="s">
        <v>21</v>
      </c>
      <c r="W341">
        <f>VLOOKUP(C341,'Data_HS t5'!$B$2:$K$412,10,TRUE)</f>
        <v>0</v>
      </c>
      <c r="X341" t="str">
        <f>VLOOKUP(C341,'Data_HS t9'!$B$2:$K$454,10,TRUE)</f>
        <v>Tổ 13, Khu Đô thị Việt Hưng, Phường Giang Biên, Quận Long Biên.</v>
      </c>
    </row>
    <row r="342" spans="1:24">
      <c r="A342" s="2">
        <v>332</v>
      </c>
      <c r="B342" s="119">
        <v>202510</v>
      </c>
      <c r="C342" s="44" t="s">
        <v>672</v>
      </c>
      <c r="D342" s="44" t="s">
        <v>673</v>
      </c>
      <c r="E342" s="44" t="s">
        <v>636</v>
      </c>
      <c r="F342" s="44">
        <v>8</v>
      </c>
      <c r="G342" s="44">
        <v>0</v>
      </c>
      <c r="H342" s="44">
        <v>0</v>
      </c>
      <c r="I342" s="44">
        <v>0</v>
      </c>
      <c r="J342" s="44">
        <v>0</v>
      </c>
      <c r="K342" s="123">
        <v>100000</v>
      </c>
      <c r="L342" s="124">
        <f t="shared" si="45"/>
        <v>8</v>
      </c>
      <c r="M342" s="45">
        <f t="shared" si="47"/>
        <v>800000</v>
      </c>
      <c r="N342" s="45">
        <f t="shared" si="50"/>
        <v>800000</v>
      </c>
      <c r="O342" s="45"/>
      <c r="P342" s="45" t="s">
        <v>2105</v>
      </c>
      <c r="Q342" s="45"/>
      <c r="R342" s="45"/>
      <c r="S342" s="45">
        <f t="shared" si="46"/>
        <v>0</v>
      </c>
      <c r="T342" s="44" t="s">
        <v>19</v>
      </c>
      <c r="U342" s="44" t="s">
        <v>20</v>
      </c>
      <c r="V342" s="43" t="s">
        <v>21</v>
      </c>
      <c r="W342" t="str">
        <f>VLOOKUP(C342,'Data_HS t5'!$B$2:$K$412,10,TRUE)</f>
        <v>Phường Long Biên, Quận Long Biên, Thành phố Hà Nội</v>
      </c>
      <c r="X342" t="e">
        <f>VLOOKUP(C342,'Data_HS t9'!$B$2:$K$454,10,TRUE)</f>
        <v>#N/A</v>
      </c>
    </row>
    <row r="343" spans="1:24">
      <c r="A343" s="2">
        <v>333</v>
      </c>
      <c r="B343" s="119">
        <v>202510</v>
      </c>
      <c r="C343" s="44" t="s">
        <v>674</v>
      </c>
      <c r="D343" s="44" t="s">
        <v>675</v>
      </c>
      <c r="E343" s="44" t="s">
        <v>676</v>
      </c>
      <c r="F343" s="44">
        <v>9</v>
      </c>
      <c r="G343" s="44">
        <v>0</v>
      </c>
      <c r="H343" s="44">
        <v>0</v>
      </c>
      <c r="I343" s="44">
        <v>0</v>
      </c>
      <c r="J343" s="44">
        <v>8</v>
      </c>
      <c r="K343" s="123">
        <v>100000</v>
      </c>
      <c r="L343" s="124">
        <f t="shared" si="45"/>
        <v>17</v>
      </c>
      <c r="M343" s="45">
        <f t="shared" si="47"/>
        <v>1700000</v>
      </c>
      <c r="N343" s="45">
        <f t="shared" si="50"/>
        <v>1700000</v>
      </c>
      <c r="O343" s="45"/>
      <c r="P343" s="45" t="s">
        <v>2788</v>
      </c>
      <c r="Q343" s="45"/>
      <c r="R343" s="45"/>
      <c r="S343" s="45">
        <f t="shared" si="46"/>
        <v>0</v>
      </c>
      <c r="T343" s="44" t="s">
        <v>19</v>
      </c>
      <c r="U343" s="44" t="s">
        <v>20</v>
      </c>
      <c r="V343" s="43" t="s">
        <v>21</v>
      </c>
      <c r="W343" t="str">
        <f>VLOOKUP(C343,'Data_HS t5'!$B$2:$K$412,10,TRUE)</f>
        <v>Hiện nay: Tổ 12, Thạch Bàn, LB</v>
      </c>
      <c r="X343" t="str">
        <f>VLOOKUP(C343,'Data_HS t9'!$B$2:$K$454,10,TRUE)</f>
        <v>Hiện nay: Tổ 12, Thạch Bàn, LB</v>
      </c>
    </row>
    <row r="344" spans="1:24">
      <c r="A344" s="2">
        <v>334</v>
      </c>
      <c r="B344" s="119">
        <v>202510</v>
      </c>
      <c r="C344" s="44" t="s">
        <v>677</v>
      </c>
      <c r="D344" s="44" t="s">
        <v>678</v>
      </c>
      <c r="E344" s="44" t="s">
        <v>676</v>
      </c>
      <c r="F344" s="44">
        <v>9</v>
      </c>
      <c r="G344" s="44">
        <v>0</v>
      </c>
      <c r="H344" s="44">
        <v>0</v>
      </c>
      <c r="I344" s="44">
        <v>0</v>
      </c>
      <c r="J344" s="44">
        <v>8</v>
      </c>
      <c r="K344" s="123">
        <v>100000</v>
      </c>
      <c r="L344" s="124">
        <f t="shared" si="45"/>
        <v>17</v>
      </c>
      <c r="M344" s="45">
        <f t="shared" si="47"/>
        <v>1700000</v>
      </c>
      <c r="N344" s="45">
        <f t="shared" si="50"/>
        <v>1700000</v>
      </c>
      <c r="O344" s="45"/>
      <c r="P344" s="45" t="s">
        <v>2726</v>
      </c>
      <c r="Q344" s="45"/>
      <c r="R344" s="45"/>
      <c r="S344" s="45">
        <f t="shared" si="46"/>
        <v>0</v>
      </c>
      <c r="T344" s="44" t="s">
        <v>19</v>
      </c>
      <c r="U344" s="44" t="s">
        <v>20</v>
      </c>
      <c r="V344" s="43" t="s">
        <v>21</v>
      </c>
      <c r="W344" t="str">
        <f>VLOOKUP(C344,'Data_HS t5'!$B$2:$K$412,10,TRUE)</f>
        <v>Phường Lê Đại Hành, Quận Hai Bà Trưng, Thành phố Hà Nội</v>
      </c>
      <c r="X344" t="str">
        <f>VLOOKUP(C344,'Data_HS t9'!$B$2:$K$454,10,TRUE)</f>
        <v>P3r4 cc Happy Star No10, Giang Biên, LB</v>
      </c>
    </row>
    <row r="345" spans="1:24">
      <c r="A345" s="2">
        <v>335</v>
      </c>
      <c r="B345" s="119">
        <v>202510</v>
      </c>
      <c r="C345" s="44" t="s">
        <v>679</v>
      </c>
      <c r="D345" s="44" t="s">
        <v>680</v>
      </c>
      <c r="E345" s="44" t="s">
        <v>676</v>
      </c>
      <c r="F345" s="44">
        <v>9</v>
      </c>
      <c r="G345" s="44">
        <v>0</v>
      </c>
      <c r="H345" s="44">
        <v>0</v>
      </c>
      <c r="I345" s="44">
        <v>0</v>
      </c>
      <c r="J345" s="44">
        <v>8</v>
      </c>
      <c r="K345" s="123">
        <v>100000</v>
      </c>
      <c r="L345" s="124">
        <f t="shared" si="45"/>
        <v>17</v>
      </c>
      <c r="M345" s="45">
        <f t="shared" si="47"/>
        <v>1700000</v>
      </c>
      <c r="N345" s="45">
        <f>M345</f>
        <v>1700000</v>
      </c>
      <c r="O345" s="45"/>
      <c r="P345" s="45" t="s">
        <v>3079</v>
      </c>
      <c r="Q345" s="45"/>
      <c r="R345" s="45"/>
      <c r="S345" s="45">
        <f t="shared" si="46"/>
        <v>0</v>
      </c>
      <c r="T345" s="44" t="s">
        <v>19</v>
      </c>
      <c r="U345" s="44" t="s">
        <v>20</v>
      </c>
      <c r="V345" s="43" t="s">
        <v>21</v>
      </c>
      <c r="W345" t="str">
        <f>VLOOKUP(C345,'Data_HS t5'!$B$2:$K$412,10,TRUE)</f>
        <v>Tổ dân phố 21, Phường Phúc Xá, Quận Ba Đình, Thành phố Hà Nội</v>
      </c>
      <c r="X345" t="str">
        <f>VLOOKUP(C345,'Data_HS t9'!$B$2:$K$454,10,TRUE)</f>
        <v>Tổ dân phố số 5, Phường Ngọc Lâm, Quận Long Biên, Thành phố Hà Nội</v>
      </c>
    </row>
    <row r="346" spans="1:24">
      <c r="A346" s="2">
        <v>336</v>
      </c>
      <c r="B346" s="119">
        <v>202510</v>
      </c>
      <c r="C346" s="44" t="s">
        <v>681</v>
      </c>
      <c r="D346" s="44" t="s">
        <v>682</v>
      </c>
      <c r="E346" s="44" t="s">
        <v>676</v>
      </c>
      <c r="F346" s="44">
        <v>9</v>
      </c>
      <c r="G346" s="44">
        <v>0</v>
      </c>
      <c r="H346" s="44">
        <v>0</v>
      </c>
      <c r="I346" s="44">
        <v>0</v>
      </c>
      <c r="J346" s="44">
        <v>8</v>
      </c>
      <c r="K346" s="123">
        <v>100000</v>
      </c>
      <c r="L346" s="124">
        <f t="shared" si="45"/>
        <v>17</v>
      </c>
      <c r="M346" s="45">
        <f t="shared" si="47"/>
        <v>1700000</v>
      </c>
      <c r="N346" s="45">
        <f>M346</f>
        <v>1700000</v>
      </c>
      <c r="O346" s="45"/>
      <c r="P346" s="45" t="s">
        <v>3106</v>
      </c>
      <c r="Q346" s="45"/>
      <c r="R346" s="45"/>
      <c r="S346" s="45">
        <f t="shared" si="46"/>
        <v>0</v>
      </c>
      <c r="T346" s="44" t="s">
        <v>19</v>
      </c>
      <c r="U346" s="44" t="s">
        <v>20</v>
      </c>
      <c r="V346" s="43" t="s">
        <v>21</v>
      </c>
      <c r="W346">
        <f>VLOOKUP(C346,'Data_HS t5'!$B$2:$K$412,10,TRUE)</f>
        <v>0</v>
      </c>
      <c r="X346">
        <f>VLOOKUP(C346,'Data_HS t9'!$B$2:$K$454,10,TRUE)</f>
        <v>0</v>
      </c>
    </row>
    <row r="347" spans="1:24">
      <c r="A347" s="2">
        <v>337</v>
      </c>
      <c r="B347" s="119">
        <v>202510</v>
      </c>
      <c r="C347" s="44" t="s">
        <v>683</v>
      </c>
      <c r="D347" s="44" t="s">
        <v>684</v>
      </c>
      <c r="E347" s="44" t="s">
        <v>676</v>
      </c>
      <c r="F347" s="44">
        <v>8</v>
      </c>
      <c r="G347" s="44">
        <v>0</v>
      </c>
      <c r="H347" s="44">
        <v>0</v>
      </c>
      <c r="I347" s="44">
        <v>5</v>
      </c>
      <c r="J347" s="44">
        <v>9</v>
      </c>
      <c r="K347" s="123">
        <v>100000</v>
      </c>
      <c r="L347" s="124">
        <f t="shared" si="45"/>
        <v>22</v>
      </c>
      <c r="M347" s="45">
        <f t="shared" si="47"/>
        <v>2200000</v>
      </c>
      <c r="N347" s="45">
        <f>M347</f>
        <v>2200000</v>
      </c>
      <c r="O347" s="45"/>
      <c r="P347" s="45" t="s">
        <v>2782</v>
      </c>
      <c r="Q347" s="45"/>
      <c r="R347" s="45"/>
      <c r="S347" s="45">
        <f t="shared" si="46"/>
        <v>0</v>
      </c>
      <c r="T347" s="44" t="s">
        <v>19</v>
      </c>
      <c r="U347" s="44" t="s">
        <v>20</v>
      </c>
      <c r="V347" s="43" t="s">
        <v>21</v>
      </c>
      <c r="W347" t="e">
        <f>VLOOKUP(C347,'Data_HS t5'!$B$2:$K$412,10,TRUE)</f>
        <v>#N/A</v>
      </c>
      <c r="X347" t="e">
        <f>VLOOKUP(C347,'Data_HS t9'!$B$2:$K$454,10,TRUE)</f>
        <v>#N/A</v>
      </c>
    </row>
    <row r="348" spans="1:24">
      <c r="A348" s="2">
        <v>338</v>
      </c>
      <c r="B348" s="119">
        <v>202510</v>
      </c>
      <c r="C348" s="44" t="s">
        <v>685</v>
      </c>
      <c r="D348" s="44" t="s">
        <v>686</v>
      </c>
      <c r="E348" s="44" t="s">
        <v>676</v>
      </c>
      <c r="F348" s="44">
        <v>0</v>
      </c>
      <c r="G348" s="44">
        <v>0</v>
      </c>
      <c r="H348" s="44">
        <v>0</v>
      </c>
      <c r="I348" s="44">
        <v>0</v>
      </c>
      <c r="J348" s="44">
        <v>0</v>
      </c>
      <c r="K348" s="123">
        <v>100000</v>
      </c>
      <c r="L348" s="124">
        <f t="shared" si="45"/>
        <v>0</v>
      </c>
      <c r="M348" s="45">
        <f t="shared" si="47"/>
        <v>0</v>
      </c>
      <c r="N348" s="45"/>
      <c r="O348" s="45"/>
      <c r="P348" s="45"/>
      <c r="Q348" s="45"/>
      <c r="R348" s="45"/>
      <c r="S348" s="45">
        <f t="shared" si="46"/>
        <v>0</v>
      </c>
      <c r="T348" s="44" t="s">
        <v>19</v>
      </c>
      <c r="U348" s="44" t="s">
        <v>20</v>
      </c>
      <c r="V348" s="43" t="s">
        <v>21</v>
      </c>
      <c r="W348" t="str">
        <f>VLOOKUP(C348,'Data_HS t5'!$B$2:$K$412,10,TRUE)</f>
        <v>Thôn Du Nội, Xã Mai Lâm, Huyện Đông Anh, Thành phố Hà Nội</v>
      </c>
      <c r="X348" t="str">
        <f>VLOOKUP(C348,'Data_HS t9'!$B$2:$K$454,10,TRUE)</f>
        <v>Tổ 1, Phường Long Biên, Quận Long Biên, Thành phố Hà Nội</v>
      </c>
    </row>
    <row r="349" spans="1:24">
      <c r="A349" s="2">
        <v>339</v>
      </c>
      <c r="B349" s="119">
        <v>202510</v>
      </c>
      <c r="C349" s="44" t="s">
        <v>687</v>
      </c>
      <c r="D349" s="44" t="s">
        <v>688</v>
      </c>
      <c r="E349" s="44" t="s">
        <v>676</v>
      </c>
      <c r="F349" s="44">
        <v>9</v>
      </c>
      <c r="G349" s="44">
        <v>0</v>
      </c>
      <c r="H349" s="44">
        <v>0</v>
      </c>
      <c r="I349" s="44">
        <v>0</v>
      </c>
      <c r="J349" s="44">
        <v>0</v>
      </c>
      <c r="K349" s="123">
        <v>100000</v>
      </c>
      <c r="L349" s="124">
        <f t="shared" si="45"/>
        <v>9</v>
      </c>
      <c r="M349" s="45">
        <f t="shared" si="47"/>
        <v>900000</v>
      </c>
      <c r="N349" s="45">
        <f>M349</f>
        <v>900000</v>
      </c>
      <c r="O349" s="45"/>
      <c r="P349" s="45" t="s">
        <v>6316</v>
      </c>
      <c r="Q349" s="45"/>
      <c r="R349" s="45"/>
      <c r="S349" s="45">
        <f t="shared" si="46"/>
        <v>0</v>
      </c>
      <c r="T349" s="44" t="s">
        <v>19</v>
      </c>
      <c r="U349" s="44" t="s">
        <v>20</v>
      </c>
      <c r="V349" s="43" t="s">
        <v>21</v>
      </c>
      <c r="W349">
        <f>VLOOKUP(C349,'Data_HS t5'!$B$2:$K$412,10,TRUE)</f>
        <v>0</v>
      </c>
      <c r="X349" t="str">
        <f>VLOOKUP(C349,'Data_HS t9'!$B$2:$K$454,10,TRUE)</f>
        <v>Tổ dân phố số 11, Phường Sài Đồng, Quận Long Biên, Thành phố Hà Nội</v>
      </c>
    </row>
    <row r="350" spans="1:24">
      <c r="A350" s="2">
        <v>340</v>
      </c>
      <c r="B350" s="119">
        <v>202510</v>
      </c>
      <c r="C350" s="44" t="s">
        <v>689</v>
      </c>
      <c r="D350" s="44" t="s">
        <v>690</v>
      </c>
      <c r="E350" s="44" t="s">
        <v>676</v>
      </c>
      <c r="F350" s="44">
        <v>9</v>
      </c>
      <c r="G350" s="44">
        <v>0</v>
      </c>
      <c r="H350" s="44">
        <v>0</v>
      </c>
      <c r="I350" s="44">
        <v>0</v>
      </c>
      <c r="J350" s="44">
        <v>0</v>
      </c>
      <c r="K350" s="123">
        <v>100000</v>
      </c>
      <c r="L350" s="124">
        <f t="shared" si="45"/>
        <v>9</v>
      </c>
      <c r="M350" s="45">
        <f t="shared" si="47"/>
        <v>900000</v>
      </c>
      <c r="N350" s="45">
        <f>M350</f>
        <v>900000</v>
      </c>
      <c r="O350" s="45"/>
      <c r="P350" s="45" t="s">
        <v>2749</v>
      </c>
      <c r="Q350" s="45"/>
      <c r="R350" s="45"/>
      <c r="S350" s="45">
        <f t="shared" si="46"/>
        <v>0</v>
      </c>
      <c r="T350" s="44" t="s">
        <v>19</v>
      </c>
      <c r="U350" s="44" t="s">
        <v>20</v>
      </c>
      <c r="V350" s="43" t="s">
        <v>21</v>
      </c>
      <c r="W350" t="str">
        <f>VLOOKUP(C350,'Data_HS t5'!$B$2:$K$412,10,TRUE)</f>
        <v>Tổ dân phố số 23, Phường Bồ Đề, Quận Long Biên, Thành phố Hà Nội</v>
      </c>
      <c r="X350" t="str">
        <f>VLOOKUP(C350,'Data_HS t9'!$B$2:$K$454,10,TRUE)</f>
        <v>Tổ 3, Thạch Bàn, LB</v>
      </c>
    </row>
    <row r="351" spans="1:24">
      <c r="A351" s="2">
        <v>341</v>
      </c>
      <c r="B351" s="119">
        <v>202510</v>
      </c>
      <c r="C351" s="44" t="s">
        <v>691</v>
      </c>
      <c r="D351" s="44" t="s">
        <v>692</v>
      </c>
      <c r="E351" s="44" t="s">
        <v>676</v>
      </c>
      <c r="F351" s="44">
        <v>9</v>
      </c>
      <c r="G351" s="44">
        <v>0</v>
      </c>
      <c r="H351" s="44">
        <v>0</v>
      </c>
      <c r="I351" s="44">
        <v>0</v>
      </c>
      <c r="J351" s="44">
        <v>0</v>
      </c>
      <c r="K351" s="123">
        <v>100000</v>
      </c>
      <c r="L351" s="124">
        <f t="shared" si="45"/>
        <v>9</v>
      </c>
      <c r="M351" s="45">
        <f t="shared" si="47"/>
        <v>900000</v>
      </c>
      <c r="N351" s="45">
        <f>M351</f>
        <v>900000</v>
      </c>
      <c r="O351" s="45"/>
      <c r="P351" s="45" t="s">
        <v>2073</v>
      </c>
      <c r="Q351" s="45"/>
      <c r="R351" s="45"/>
      <c r="S351" s="45">
        <f t="shared" si="46"/>
        <v>0</v>
      </c>
      <c r="T351" s="44" t="s">
        <v>19</v>
      </c>
      <c r="U351" s="44" t="s">
        <v>20</v>
      </c>
      <c r="V351" s="43" t="s">
        <v>21</v>
      </c>
      <c r="W351" t="str">
        <f>VLOOKUP(C351,'Data_HS t5'!$B$2:$K$412,10,TRUE)</f>
        <v>Tổ dân phố 21, Phường Phúc Xá, Quận Ba Đình, Thành phố Hà Nội</v>
      </c>
      <c r="X351" t="str">
        <f>VLOOKUP(C351,'Data_HS t9'!$B$2:$K$454,10,TRUE)</f>
        <v>Phường Thạch Bàn, Quận Long Biên, Thành phố Hà Nội</v>
      </c>
    </row>
    <row r="352" spans="1:24">
      <c r="A352" s="2">
        <v>342</v>
      </c>
      <c r="B352" s="119">
        <v>202510</v>
      </c>
      <c r="C352" s="44" t="s">
        <v>693</v>
      </c>
      <c r="D352" s="44" t="s">
        <v>694</v>
      </c>
      <c r="E352" s="44" t="s">
        <v>676</v>
      </c>
      <c r="F352" s="44">
        <v>9</v>
      </c>
      <c r="G352" s="44">
        <v>0</v>
      </c>
      <c r="H352" s="44">
        <v>0</v>
      </c>
      <c r="I352" s="44">
        <v>0</v>
      </c>
      <c r="J352" s="44">
        <v>0</v>
      </c>
      <c r="K352" s="123">
        <v>100000</v>
      </c>
      <c r="L352" s="124">
        <f t="shared" si="45"/>
        <v>9</v>
      </c>
      <c r="M352" s="45">
        <f t="shared" si="47"/>
        <v>900000</v>
      </c>
      <c r="N352" s="45">
        <f>M352</f>
        <v>900000</v>
      </c>
      <c r="O352" s="45"/>
      <c r="P352" s="45" t="s">
        <v>7066</v>
      </c>
      <c r="Q352" s="45"/>
      <c r="R352" s="45"/>
      <c r="S352" s="45">
        <f t="shared" si="46"/>
        <v>0</v>
      </c>
      <c r="T352" s="44" t="s">
        <v>19</v>
      </c>
      <c r="U352" s="44" t="s">
        <v>20</v>
      </c>
      <c r="V352" s="43" t="s">
        <v>21</v>
      </c>
      <c r="W352" t="str">
        <f>VLOOKUP(C352,'Data_HS t5'!$B$2:$K$412,10,TRUE)</f>
        <v>Tổ dân phố 21, Phường Phúc Xá, Quận Ba Đình, Thành phố Hà Nội</v>
      </c>
      <c r="X352" t="str">
        <f>VLOOKUP(C352,'Data_HS t9'!$B$2:$K$454,10,TRUE)</f>
        <v>Tổ dân phố số 4, Phường Phúc Đồng, Quận Long Biên, Thành phố Hà Nội</v>
      </c>
    </row>
    <row r="353" spans="1:24">
      <c r="A353" s="2">
        <v>343</v>
      </c>
      <c r="B353" s="119">
        <v>202510</v>
      </c>
      <c r="C353" s="44" t="s">
        <v>695</v>
      </c>
      <c r="D353" s="44" t="s">
        <v>696</v>
      </c>
      <c r="E353" s="44" t="s">
        <v>676</v>
      </c>
      <c r="F353" s="44">
        <v>9</v>
      </c>
      <c r="G353" s="44">
        <v>0</v>
      </c>
      <c r="H353" s="44">
        <v>0</v>
      </c>
      <c r="I353" s="44">
        <v>0</v>
      </c>
      <c r="J353" s="44">
        <v>0</v>
      </c>
      <c r="K353" s="123">
        <v>100000</v>
      </c>
      <c r="L353" s="124">
        <f t="shared" si="45"/>
        <v>9</v>
      </c>
      <c r="M353" s="45">
        <f t="shared" si="47"/>
        <v>900000</v>
      </c>
      <c r="N353" s="45">
        <f>M353</f>
        <v>900000</v>
      </c>
      <c r="O353" s="45"/>
      <c r="P353" s="45" t="s">
        <v>6550</v>
      </c>
      <c r="Q353" s="45"/>
      <c r="R353" s="45"/>
      <c r="S353" s="45">
        <f t="shared" si="46"/>
        <v>0</v>
      </c>
      <c r="T353" s="44" t="s">
        <v>19</v>
      </c>
      <c r="U353" s="44" t="s">
        <v>20</v>
      </c>
      <c r="V353" s="43" t="s">
        <v>21</v>
      </c>
      <c r="W353">
        <f>VLOOKUP(C353,'Data_HS t5'!$B$2:$K$412,10,TRUE)</f>
        <v>0</v>
      </c>
      <c r="X353" t="str">
        <f>VLOOKUP(C353,'Data_HS t9'!$B$2:$K$454,10,TRUE)</f>
        <v>Tổ dân phố số 11, Phường Sài Đồng, Quận Long Biên, Thành phố Hà Nội</v>
      </c>
    </row>
    <row r="354" spans="1:24">
      <c r="A354" s="2">
        <v>344</v>
      </c>
      <c r="B354" s="119">
        <v>202510</v>
      </c>
      <c r="C354" s="44" t="s">
        <v>697</v>
      </c>
      <c r="D354" s="44" t="s">
        <v>698</v>
      </c>
      <c r="E354" s="44" t="s">
        <v>676</v>
      </c>
      <c r="F354" s="44">
        <v>9</v>
      </c>
      <c r="G354" s="44">
        <v>0</v>
      </c>
      <c r="H354" s="44">
        <v>0</v>
      </c>
      <c r="I354" s="44">
        <v>0</v>
      </c>
      <c r="J354" s="44">
        <v>8</v>
      </c>
      <c r="K354" s="123">
        <v>100000</v>
      </c>
      <c r="L354" s="124">
        <f t="shared" si="45"/>
        <v>17</v>
      </c>
      <c r="M354" s="45">
        <f t="shared" si="47"/>
        <v>1700000</v>
      </c>
      <c r="N354" s="45">
        <f t="shared" ref="N354:N367" si="51">M354</f>
        <v>1700000</v>
      </c>
      <c r="O354" s="45"/>
      <c r="P354" s="45" t="s">
        <v>3057</v>
      </c>
      <c r="Q354" s="45"/>
      <c r="R354" s="45"/>
      <c r="S354" s="45">
        <f t="shared" si="46"/>
        <v>0</v>
      </c>
      <c r="T354" s="44" t="s">
        <v>19</v>
      </c>
      <c r="U354" s="44" t="s">
        <v>20</v>
      </c>
      <c r="V354" s="43" t="s">
        <v>21</v>
      </c>
      <c r="W354" t="str">
        <f>VLOOKUP(C354,'Data_HS t5'!$B$2:$K$412,10,TRUE)</f>
        <v>Phường Thạch Bàn, Quận Long Biên, Thành phố Hà Nội</v>
      </c>
      <c r="X354" t="str">
        <f>VLOOKUP(C354,'Data_HS t9'!$B$2:$K$454,10,TRUE)</f>
        <v>Tổ dân phố số 36, Phường Ngọc Thụy, Quận Long Biên, Thành phố Hà Nội</v>
      </c>
    </row>
    <row r="355" spans="1:24">
      <c r="A355" s="2">
        <v>345</v>
      </c>
      <c r="B355" s="119">
        <v>202510</v>
      </c>
      <c r="C355" s="44" t="s">
        <v>699</v>
      </c>
      <c r="D355" s="44" t="s">
        <v>700</v>
      </c>
      <c r="E355" s="44" t="s">
        <v>676</v>
      </c>
      <c r="F355" s="44">
        <v>9</v>
      </c>
      <c r="G355" s="44">
        <v>0</v>
      </c>
      <c r="H355" s="44">
        <v>0</v>
      </c>
      <c r="I355" s="44">
        <v>0</v>
      </c>
      <c r="J355" s="44">
        <v>0</v>
      </c>
      <c r="K355" s="123">
        <v>100000</v>
      </c>
      <c r="L355" s="124">
        <f t="shared" si="45"/>
        <v>9</v>
      </c>
      <c r="M355" s="45">
        <f t="shared" si="47"/>
        <v>900000</v>
      </c>
      <c r="N355" s="45">
        <f t="shared" si="51"/>
        <v>900000</v>
      </c>
      <c r="O355" s="45"/>
      <c r="P355" s="45"/>
      <c r="Q355" s="45" t="s">
        <v>3150</v>
      </c>
      <c r="R355" s="45">
        <v>15000</v>
      </c>
      <c r="S355" s="45">
        <f t="shared" si="46"/>
        <v>0</v>
      </c>
      <c r="T355" s="44" t="s">
        <v>19</v>
      </c>
      <c r="U355" s="44" t="s">
        <v>20</v>
      </c>
      <c r="V355" s="43" t="s">
        <v>21</v>
      </c>
      <c r="W355" t="str">
        <f>VLOOKUP(C355,'Data_HS t5'!$B$2:$K$412,10,TRUE)</f>
        <v>Phường Thạch Bàn, Quận Long Biên, Thành phố Hà Nội</v>
      </c>
      <c r="X355" t="str">
        <f>VLOOKUP(C355,'Data_HS t9'!$B$2:$K$454,10,TRUE)</f>
        <v>Tổ 3, Thạch Bàn, LB</v>
      </c>
    </row>
    <row r="356" spans="1:24">
      <c r="A356" s="2">
        <v>346</v>
      </c>
      <c r="B356" s="119">
        <v>202510</v>
      </c>
      <c r="C356" s="44" t="s">
        <v>701</v>
      </c>
      <c r="D356" s="44" t="s">
        <v>702</v>
      </c>
      <c r="E356" s="44" t="s">
        <v>676</v>
      </c>
      <c r="F356" s="44">
        <v>9</v>
      </c>
      <c r="G356" s="44">
        <v>0</v>
      </c>
      <c r="H356" s="44">
        <v>0</v>
      </c>
      <c r="I356" s="44">
        <v>0</v>
      </c>
      <c r="J356" s="44">
        <v>0</v>
      </c>
      <c r="K356" s="123">
        <v>100000</v>
      </c>
      <c r="L356" s="124">
        <f t="shared" si="45"/>
        <v>9</v>
      </c>
      <c r="M356" s="45">
        <f t="shared" si="47"/>
        <v>900000</v>
      </c>
      <c r="N356" s="45">
        <f t="shared" si="51"/>
        <v>900000</v>
      </c>
      <c r="O356" s="45"/>
      <c r="P356" s="45" t="s">
        <v>3083</v>
      </c>
      <c r="Q356" s="45"/>
      <c r="R356" s="45"/>
      <c r="S356" s="45">
        <f t="shared" si="46"/>
        <v>0</v>
      </c>
      <c r="T356" s="44" t="s">
        <v>19</v>
      </c>
      <c r="U356" s="44" t="s">
        <v>20</v>
      </c>
      <c r="V356" s="43" t="s">
        <v>21</v>
      </c>
      <c r="W356" t="str">
        <f>VLOOKUP(C356,'Data_HS t5'!$B$2:$K$412,10,TRUE)</f>
        <v>Phường Lê Đại Hành, Quận Hai Bà Trưng, Thành phố Hà Nội</v>
      </c>
      <c r="X356" t="str">
        <f>VLOOKUP(C356,'Data_HS t9'!$B$2:$K$454,10,TRUE)</f>
        <v>P3r4 cc Happy Star No10, Giang Biên, LB</v>
      </c>
    </row>
    <row r="357" spans="1:24">
      <c r="A357" s="2">
        <v>347</v>
      </c>
      <c r="B357" s="119">
        <v>202510</v>
      </c>
      <c r="C357" s="44" t="s">
        <v>703</v>
      </c>
      <c r="D357" s="44" t="s">
        <v>704</v>
      </c>
      <c r="E357" s="44" t="s">
        <v>676</v>
      </c>
      <c r="F357" s="44">
        <v>9</v>
      </c>
      <c r="G357" s="44">
        <v>0</v>
      </c>
      <c r="H357" s="44">
        <v>0</v>
      </c>
      <c r="I357" s="44">
        <v>0</v>
      </c>
      <c r="J357" s="44">
        <v>0</v>
      </c>
      <c r="K357" s="123">
        <v>100000</v>
      </c>
      <c r="L357" s="124">
        <f t="shared" si="45"/>
        <v>9</v>
      </c>
      <c r="M357" s="45">
        <f t="shared" si="47"/>
        <v>900000</v>
      </c>
      <c r="N357" s="45">
        <f t="shared" si="51"/>
        <v>900000</v>
      </c>
      <c r="O357" s="45"/>
      <c r="P357" s="45" t="s">
        <v>2724</v>
      </c>
      <c r="Q357" s="45"/>
      <c r="R357" s="45"/>
      <c r="S357" s="45">
        <f t="shared" si="46"/>
        <v>0</v>
      </c>
      <c r="T357" s="44" t="s">
        <v>19</v>
      </c>
      <c r="U357" s="44" t="s">
        <v>20</v>
      </c>
      <c r="V357" s="43" t="s">
        <v>21</v>
      </c>
      <c r="W357" t="str">
        <f>VLOOKUP(C357,'Data_HS t5'!$B$2:$K$412,10,TRUE)</f>
        <v>Hiện nay: Tổ 12, Thạch Bàn, LB</v>
      </c>
      <c r="X357" t="str">
        <f>VLOOKUP(C357,'Data_HS t9'!$B$2:$K$454,10,TRUE)</f>
        <v>Hiện nay: Tổ 12, Thạch Bàn, LB</v>
      </c>
    </row>
    <row r="358" spans="1:24">
      <c r="A358" s="2">
        <v>348</v>
      </c>
      <c r="B358" s="119">
        <v>202510</v>
      </c>
      <c r="C358" s="44" t="s">
        <v>705</v>
      </c>
      <c r="D358" s="44" t="s">
        <v>706</v>
      </c>
      <c r="E358" s="44" t="s">
        <v>676</v>
      </c>
      <c r="F358" s="44">
        <v>9</v>
      </c>
      <c r="G358" s="44">
        <v>0</v>
      </c>
      <c r="H358" s="44">
        <v>0</v>
      </c>
      <c r="I358" s="44">
        <v>0</v>
      </c>
      <c r="J358" s="44">
        <v>8</v>
      </c>
      <c r="K358" s="123">
        <v>100000</v>
      </c>
      <c r="L358" s="124">
        <f t="shared" si="45"/>
        <v>17</v>
      </c>
      <c r="M358" s="45">
        <f t="shared" si="47"/>
        <v>1700000</v>
      </c>
      <c r="N358" s="45">
        <f t="shared" si="51"/>
        <v>1700000</v>
      </c>
      <c r="O358" s="45"/>
      <c r="P358" s="45" t="s">
        <v>2106</v>
      </c>
      <c r="Q358" s="45"/>
      <c r="R358" s="45"/>
      <c r="S358" s="45">
        <f t="shared" si="46"/>
        <v>0</v>
      </c>
      <c r="T358" s="44" t="s">
        <v>19</v>
      </c>
      <c r="U358" s="44" t="s">
        <v>20</v>
      </c>
      <c r="V358" s="43" t="s">
        <v>21</v>
      </c>
      <c r="W358">
        <f>VLOOKUP(C358,'Data_HS t5'!$B$2:$K$412,10,TRUE)</f>
        <v>0</v>
      </c>
      <c r="X358" t="str">
        <f>VLOOKUP(C358,'Data_HS t9'!$B$2:$K$454,10,TRUE)</f>
        <v>Tổ dân phố số 11, Phường Sài Đồng, Quận Long Biên, Thành phố Hà Nội</v>
      </c>
    </row>
    <row r="359" spans="1:24">
      <c r="A359" s="2">
        <v>349</v>
      </c>
      <c r="B359" s="119">
        <v>202510</v>
      </c>
      <c r="C359" s="44" t="s">
        <v>422</v>
      </c>
      <c r="D359" s="44" t="s">
        <v>707</v>
      </c>
      <c r="E359" s="44" t="s">
        <v>676</v>
      </c>
      <c r="F359" s="44">
        <v>9</v>
      </c>
      <c r="G359" s="44">
        <v>0</v>
      </c>
      <c r="H359" s="44">
        <v>0</v>
      </c>
      <c r="I359" s="44">
        <v>0</v>
      </c>
      <c r="J359" s="44">
        <v>8</v>
      </c>
      <c r="K359" s="123">
        <v>100000</v>
      </c>
      <c r="L359" s="124">
        <f t="shared" si="45"/>
        <v>17</v>
      </c>
      <c r="M359" s="45">
        <f t="shared" si="47"/>
        <v>1700000</v>
      </c>
      <c r="N359" s="45">
        <f t="shared" si="51"/>
        <v>1700000</v>
      </c>
      <c r="O359" s="45"/>
      <c r="P359" s="45" t="s">
        <v>2794</v>
      </c>
      <c r="Q359" s="45"/>
      <c r="R359" s="45"/>
      <c r="S359" s="45">
        <f t="shared" si="46"/>
        <v>0</v>
      </c>
      <c r="T359" s="44" t="s">
        <v>19</v>
      </c>
      <c r="U359" s="44" t="s">
        <v>20</v>
      </c>
      <c r="V359" s="43" t="s">
        <v>21</v>
      </c>
      <c r="W359">
        <f>VLOOKUP(C359,'Data_HS t5'!$B$2:$K$412,10,TRUE)</f>
        <v>0</v>
      </c>
      <c r="X359" t="str">
        <f>VLOOKUP(C359,'Data_HS t9'!$B$2:$K$454,10,TRUE)</f>
        <v>Tổ dân phố số 11, Phường Sài Đồng, Quận Long Biên, Thành phố Hà Nội</v>
      </c>
    </row>
    <row r="360" spans="1:24">
      <c r="A360" s="2">
        <v>350</v>
      </c>
      <c r="B360" s="119">
        <v>202510</v>
      </c>
      <c r="C360" s="44" t="s">
        <v>708</v>
      </c>
      <c r="D360" s="44" t="s">
        <v>709</v>
      </c>
      <c r="E360" s="44" t="s">
        <v>676</v>
      </c>
      <c r="F360" s="44">
        <v>0</v>
      </c>
      <c r="G360" s="44">
        <v>0</v>
      </c>
      <c r="H360" s="44">
        <v>0</v>
      </c>
      <c r="I360" s="44">
        <v>0</v>
      </c>
      <c r="J360" s="44">
        <v>8</v>
      </c>
      <c r="K360" s="123">
        <v>100000</v>
      </c>
      <c r="L360" s="124">
        <f t="shared" si="45"/>
        <v>8</v>
      </c>
      <c r="M360" s="45">
        <f t="shared" si="47"/>
        <v>800000</v>
      </c>
      <c r="N360" s="45">
        <f t="shared" si="51"/>
        <v>800000</v>
      </c>
      <c r="O360" s="45"/>
      <c r="P360" s="45" t="s">
        <v>2118</v>
      </c>
      <c r="Q360" s="45"/>
      <c r="R360" s="45"/>
      <c r="S360" s="45">
        <f t="shared" si="46"/>
        <v>0</v>
      </c>
      <c r="T360" s="44" t="s">
        <v>19</v>
      </c>
      <c r="U360" s="44" t="s">
        <v>20</v>
      </c>
      <c r="V360" s="43" t="s">
        <v>21</v>
      </c>
      <c r="W360">
        <f>VLOOKUP(C360,'Data_HS t5'!$B$2:$K$412,10,TRUE)</f>
        <v>0</v>
      </c>
      <c r="X360" t="str">
        <f>VLOOKUP(C360,'Data_HS t9'!$B$2:$K$454,10,TRUE)</f>
        <v>Phường Phúc Lợi, Quận Long Biên, Thành phố Hà Nội</v>
      </c>
    </row>
    <row r="361" spans="1:24">
      <c r="A361" s="2">
        <v>351</v>
      </c>
      <c r="B361" s="119">
        <v>202510</v>
      </c>
      <c r="C361" s="44" t="s">
        <v>710</v>
      </c>
      <c r="D361" s="44" t="s">
        <v>711</v>
      </c>
      <c r="E361" s="44" t="s">
        <v>676</v>
      </c>
      <c r="F361" s="44">
        <v>9</v>
      </c>
      <c r="G361" s="44">
        <v>0</v>
      </c>
      <c r="H361" s="44">
        <v>0</v>
      </c>
      <c r="I361" s="44">
        <v>0</v>
      </c>
      <c r="J361" s="44">
        <v>8</v>
      </c>
      <c r="K361" s="123">
        <v>100000</v>
      </c>
      <c r="L361" s="124">
        <f t="shared" si="45"/>
        <v>17</v>
      </c>
      <c r="M361" s="45">
        <f t="shared" si="47"/>
        <v>1700000</v>
      </c>
      <c r="N361" s="45">
        <f t="shared" si="51"/>
        <v>1700000</v>
      </c>
      <c r="O361" s="45"/>
      <c r="P361" s="45" t="s">
        <v>3107</v>
      </c>
      <c r="Q361" s="45"/>
      <c r="R361" s="45"/>
      <c r="S361" s="45">
        <f t="shared" si="46"/>
        <v>0</v>
      </c>
      <c r="T361" s="44" t="s">
        <v>19</v>
      </c>
      <c r="U361" s="44" t="s">
        <v>20</v>
      </c>
      <c r="V361" s="43" t="s">
        <v>21</v>
      </c>
      <c r="W361" t="str">
        <f>VLOOKUP(C361,'Data_HS t5'!$B$2:$K$412,10,TRUE)</f>
        <v>Tổ dân phố 21, Phường Phúc Xá, Quận Ba Đình, Thành phố Hà Nội</v>
      </c>
      <c r="X361" t="str">
        <f>VLOOKUP(C361,'Data_HS t9'!$B$2:$K$454,10,TRUE)</f>
        <v>Tổ dân phố số 11, Phường Sài Đồng, Quận Long Biên, Thành phố Hà Nội</v>
      </c>
    </row>
    <row r="362" spans="1:24">
      <c r="A362" s="2">
        <v>352</v>
      </c>
      <c r="B362" s="119">
        <v>202510</v>
      </c>
      <c r="C362" s="44" t="s">
        <v>441</v>
      </c>
      <c r="D362" s="44" t="s">
        <v>712</v>
      </c>
      <c r="E362" s="44" t="s">
        <v>676</v>
      </c>
      <c r="F362" s="44">
        <v>9</v>
      </c>
      <c r="G362" s="44">
        <v>0</v>
      </c>
      <c r="H362" s="44">
        <v>0</v>
      </c>
      <c r="I362" s="44">
        <v>0</v>
      </c>
      <c r="J362" s="44">
        <v>8</v>
      </c>
      <c r="K362" s="123">
        <v>100000</v>
      </c>
      <c r="L362" s="124">
        <f t="shared" si="45"/>
        <v>17</v>
      </c>
      <c r="M362" s="45">
        <f t="shared" si="47"/>
        <v>1700000</v>
      </c>
      <c r="N362" s="45">
        <f t="shared" si="51"/>
        <v>1700000</v>
      </c>
      <c r="O362" s="45"/>
      <c r="P362" s="45" t="s">
        <v>2066</v>
      </c>
      <c r="Q362" s="45"/>
      <c r="R362" s="45"/>
      <c r="S362" s="45">
        <f t="shared" si="46"/>
        <v>0</v>
      </c>
      <c r="T362" s="44" t="s">
        <v>19</v>
      </c>
      <c r="U362" s="44" t="s">
        <v>20</v>
      </c>
      <c r="V362" s="43" t="s">
        <v>21</v>
      </c>
      <c r="W362" t="str">
        <f>VLOOKUP(C362,'Data_HS t5'!$B$2:$K$412,10,TRUE)</f>
        <v>Tổ dân phố số 4, Phường Thạch Bàn, Quận Long Biên, Thành phố Hà Nội</v>
      </c>
      <c r="X362" t="e">
        <f>VLOOKUP(C362,'Data_HS t9'!$B$2:$K$454,10,TRUE)</f>
        <v>#N/A</v>
      </c>
    </row>
    <row r="363" spans="1:24">
      <c r="A363" s="2">
        <v>353</v>
      </c>
      <c r="B363" s="119">
        <v>202510</v>
      </c>
      <c r="C363" s="44" t="s">
        <v>713</v>
      </c>
      <c r="D363" s="44" t="s">
        <v>714</v>
      </c>
      <c r="E363" s="44" t="s">
        <v>676</v>
      </c>
      <c r="F363" s="44">
        <v>9</v>
      </c>
      <c r="G363" s="44">
        <v>0</v>
      </c>
      <c r="H363" s="44">
        <v>0</v>
      </c>
      <c r="I363" s="44">
        <v>0</v>
      </c>
      <c r="J363" s="44">
        <v>8</v>
      </c>
      <c r="K363" s="123">
        <v>100000</v>
      </c>
      <c r="L363" s="124">
        <f t="shared" si="45"/>
        <v>17</v>
      </c>
      <c r="M363" s="45">
        <f t="shared" si="47"/>
        <v>1700000</v>
      </c>
      <c r="N363" s="45">
        <f t="shared" si="51"/>
        <v>1700000</v>
      </c>
      <c r="O363" s="45"/>
      <c r="P363" s="45"/>
      <c r="Q363" s="45" t="s">
        <v>3150</v>
      </c>
      <c r="R363" s="45">
        <v>20000</v>
      </c>
      <c r="S363" s="45">
        <f t="shared" si="46"/>
        <v>0</v>
      </c>
      <c r="T363" s="44" t="s">
        <v>19</v>
      </c>
      <c r="U363" s="44" t="s">
        <v>20</v>
      </c>
      <c r="V363" s="43" t="s">
        <v>21</v>
      </c>
      <c r="W363" t="str">
        <f>VLOOKUP(C363,'Data_HS t5'!$B$2:$K$412,10,TRUE)</f>
        <v>Phường Long Biên, Quận Long Biên, Thành phố Hà Nội</v>
      </c>
      <c r="X363" t="str">
        <f>VLOOKUP(C363,'Data_HS t9'!$B$2:$K$454,10,TRUE)</f>
        <v>P3r4 cc Happy Star No10, Giang Biên, LB</v>
      </c>
    </row>
    <row r="364" spans="1:24">
      <c r="A364" s="2">
        <v>354</v>
      </c>
      <c r="B364" s="119">
        <v>202510</v>
      </c>
      <c r="C364" s="44" t="s">
        <v>715</v>
      </c>
      <c r="D364" s="44" t="s">
        <v>716</v>
      </c>
      <c r="E364" s="44" t="s">
        <v>676</v>
      </c>
      <c r="F364" s="44">
        <v>9</v>
      </c>
      <c r="G364" s="44">
        <v>0</v>
      </c>
      <c r="H364" s="44">
        <v>0</v>
      </c>
      <c r="I364" s="44">
        <v>0</v>
      </c>
      <c r="J364" s="44">
        <v>8</v>
      </c>
      <c r="K364" s="123">
        <v>100000</v>
      </c>
      <c r="L364" s="124">
        <f t="shared" si="45"/>
        <v>17</v>
      </c>
      <c r="M364" s="45">
        <f t="shared" si="47"/>
        <v>1700000</v>
      </c>
      <c r="N364" s="45">
        <f t="shared" si="51"/>
        <v>1700000</v>
      </c>
      <c r="O364" s="45"/>
      <c r="P364" s="45" t="s">
        <v>2810</v>
      </c>
      <c r="Q364" s="45"/>
      <c r="R364" s="45"/>
      <c r="S364" s="45">
        <f t="shared" si="46"/>
        <v>0</v>
      </c>
      <c r="T364" s="44" t="s">
        <v>19</v>
      </c>
      <c r="U364" s="44" t="s">
        <v>20</v>
      </c>
      <c r="V364" s="43" t="s">
        <v>21</v>
      </c>
      <c r="W364" t="str">
        <f>VLOOKUP(C364,'Data_HS t5'!$B$2:$K$412,10,TRUE)</f>
        <v>Tổ dân phố số 13, Phường Thạch Bàn, Quận Long Biên, Thành phố Hà Nội</v>
      </c>
      <c r="X364" t="str">
        <f>VLOOKUP(C364,'Data_HS t9'!$B$2:$K$454,10,TRUE)</f>
        <v>Tổ dân phố số 1, Phường Cự Khối, Quận Long Biên, Thành phố Hà Nội</v>
      </c>
    </row>
    <row r="365" spans="1:24">
      <c r="A365" s="2">
        <v>355</v>
      </c>
      <c r="B365" s="119">
        <v>202510</v>
      </c>
      <c r="C365" s="44" t="s">
        <v>717</v>
      </c>
      <c r="D365" s="44" t="s">
        <v>718</v>
      </c>
      <c r="E365" s="44" t="s">
        <v>719</v>
      </c>
      <c r="F365" s="44">
        <v>0</v>
      </c>
      <c r="G365" s="44">
        <v>0</v>
      </c>
      <c r="H365" s="44">
        <v>0</v>
      </c>
      <c r="I365" s="44">
        <v>0</v>
      </c>
      <c r="J365" s="44">
        <v>8</v>
      </c>
      <c r="K365" s="123">
        <v>100000</v>
      </c>
      <c r="L365" s="124">
        <f t="shared" si="45"/>
        <v>8</v>
      </c>
      <c r="M365" s="45">
        <f t="shared" si="47"/>
        <v>800000</v>
      </c>
      <c r="N365" s="45">
        <f t="shared" si="51"/>
        <v>800000</v>
      </c>
      <c r="O365" s="45"/>
      <c r="P365" s="45" t="s">
        <v>2739</v>
      </c>
      <c r="Q365" s="45"/>
      <c r="R365" s="45"/>
      <c r="S365" s="45">
        <f t="shared" si="46"/>
        <v>0</v>
      </c>
      <c r="T365" s="44" t="s">
        <v>720</v>
      </c>
      <c r="U365" s="44" t="s">
        <v>721</v>
      </c>
      <c r="V365" s="43" t="s">
        <v>21</v>
      </c>
      <c r="W365" t="e">
        <f>VLOOKUP(C365,'Data_HS t5'!$B$2:$K$412,10,FALSE)</f>
        <v>#N/A</v>
      </c>
      <c r="X365" t="str">
        <f>VLOOKUP(C365,'Data_HS t9'!$B$2:$K$454,10,FALSE)</f>
        <v>Tổ 13, Phường Thạch Bàn, Quận Long Biên, Thành phố Hà Nội</v>
      </c>
    </row>
    <row r="366" spans="1:24">
      <c r="A366" s="2">
        <v>356</v>
      </c>
      <c r="B366" s="119">
        <v>202510</v>
      </c>
      <c r="C366" s="44" t="s">
        <v>722</v>
      </c>
      <c r="D366" s="44" t="s">
        <v>723</v>
      </c>
      <c r="E366" s="44" t="s">
        <v>719</v>
      </c>
      <c r="F366" s="44">
        <v>0</v>
      </c>
      <c r="G366" s="44">
        <v>0</v>
      </c>
      <c r="H366" s="44">
        <v>0</v>
      </c>
      <c r="I366" s="44">
        <v>0</v>
      </c>
      <c r="J366" s="44">
        <v>8</v>
      </c>
      <c r="K366" s="123">
        <v>100000</v>
      </c>
      <c r="L366" s="124">
        <f t="shared" si="45"/>
        <v>8</v>
      </c>
      <c r="M366" s="45">
        <f t="shared" si="47"/>
        <v>800000</v>
      </c>
      <c r="N366" s="45">
        <f t="shared" si="51"/>
        <v>800000</v>
      </c>
      <c r="O366" s="45"/>
      <c r="P366" s="45" t="s">
        <v>3134</v>
      </c>
      <c r="Q366" s="45"/>
      <c r="R366" s="45"/>
      <c r="S366" s="45">
        <f t="shared" si="46"/>
        <v>0</v>
      </c>
      <c r="T366" s="44" t="s">
        <v>720</v>
      </c>
      <c r="U366" s="44" t="s">
        <v>721</v>
      </c>
      <c r="V366" s="43" t="s">
        <v>21</v>
      </c>
      <c r="W366" t="e">
        <f>VLOOKUP(C366,'Data_HS t5'!$B$2:$K$412,10,FALSE)</f>
        <v>#N/A</v>
      </c>
      <c r="X366" t="str">
        <f>VLOOKUP(C366,'Data_HS t9'!$B$2:$K$454,10,FALSE)</f>
        <v>Tổ 10, Phường Thạch Bàn, Quận Long Biên, Thành phố Hà Nội</v>
      </c>
    </row>
    <row r="367" spans="1:24">
      <c r="A367" s="2">
        <v>357</v>
      </c>
      <c r="B367" s="119">
        <v>202510</v>
      </c>
      <c r="C367" s="44" t="s">
        <v>724</v>
      </c>
      <c r="D367" s="44" t="s">
        <v>725</v>
      </c>
      <c r="E367" s="44" t="s">
        <v>719</v>
      </c>
      <c r="F367" s="44">
        <v>0</v>
      </c>
      <c r="G367" s="44">
        <v>0</v>
      </c>
      <c r="H367" s="44">
        <v>0</v>
      </c>
      <c r="I367" s="44">
        <v>0</v>
      </c>
      <c r="J367" s="44">
        <v>6</v>
      </c>
      <c r="K367" s="123">
        <v>100000</v>
      </c>
      <c r="L367" s="124">
        <f t="shared" si="45"/>
        <v>6</v>
      </c>
      <c r="M367" s="45">
        <f t="shared" si="47"/>
        <v>600000</v>
      </c>
      <c r="N367" s="45">
        <f t="shared" si="51"/>
        <v>600000</v>
      </c>
      <c r="O367" s="45"/>
      <c r="P367" s="45" t="s">
        <v>2762</v>
      </c>
      <c r="Q367" s="45"/>
      <c r="R367" s="45"/>
      <c r="S367" s="45">
        <f t="shared" si="46"/>
        <v>0</v>
      </c>
      <c r="T367" s="44" t="s">
        <v>720</v>
      </c>
      <c r="U367" s="44" t="s">
        <v>721</v>
      </c>
      <c r="V367" s="43" t="s">
        <v>21</v>
      </c>
      <c r="W367" t="e">
        <f>VLOOKUP(C367,'Data_HS t5'!$B$2:$K$412,10,FALSE)</f>
        <v>#N/A</v>
      </c>
      <c r="X367" t="str">
        <f>VLOOKUP(C367,'Data_HS t9'!$B$2:$K$454,10,FALSE)</f>
        <v>Tổ dân phố số 4, Phường Việt Hưng, Quận Long Biên, Thành phố Hà Nội</v>
      </c>
    </row>
    <row r="368" spans="1:24">
      <c r="A368" s="2">
        <v>358</v>
      </c>
      <c r="B368" s="119">
        <v>202510</v>
      </c>
      <c r="C368" s="44" t="s">
        <v>726</v>
      </c>
      <c r="D368" s="44" t="s">
        <v>727</v>
      </c>
      <c r="E368" s="44" t="s">
        <v>719</v>
      </c>
      <c r="F368" s="44">
        <v>9</v>
      </c>
      <c r="G368" s="44">
        <v>0</v>
      </c>
      <c r="H368" s="44">
        <v>0</v>
      </c>
      <c r="I368" s="44">
        <v>8</v>
      </c>
      <c r="J368" s="44">
        <v>8</v>
      </c>
      <c r="K368" s="123">
        <v>100000</v>
      </c>
      <c r="L368" s="124">
        <f t="shared" si="45"/>
        <v>25</v>
      </c>
      <c r="M368" s="45">
        <f t="shared" si="47"/>
        <v>2500000</v>
      </c>
      <c r="N368" s="45">
        <f t="shared" ref="N368:N375" si="52">M368</f>
        <v>2500000</v>
      </c>
      <c r="O368" s="45"/>
      <c r="P368" s="45" t="s">
        <v>6276</v>
      </c>
      <c r="Q368" s="45"/>
      <c r="R368" s="45"/>
      <c r="S368" s="45">
        <f t="shared" si="46"/>
        <v>0</v>
      </c>
      <c r="T368" s="44" t="s">
        <v>720</v>
      </c>
      <c r="U368" s="44" t="s">
        <v>721</v>
      </c>
      <c r="V368" s="43" t="s">
        <v>21</v>
      </c>
      <c r="W368" t="str">
        <f>VLOOKUP(C368,'Data_HS t5'!$B$2:$K$412,10,FALSE)</f>
        <v>Tổ dân phố số 14, Phường Thạch Bàn, Quận Long Biên, Thành phố Hà Nội</v>
      </c>
      <c r="X368" t="str">
        <f>VLOOKUP(C368,'Data_HS t9'!$B$2:$K$454,10,FALSE)</f>
        <v>Tổ dân phố số 12, Phường Long Biên, Quận Long Biên, Thành phố Hà Nội</v>
      </c>
    </row>
    <row r="369" spans="1:24">
      <c r="A369" s="2">
        <v>359</v>
      </c>
      <c r="B369" s="119">
        <v>202510</v>
      </c>
      <c r="C369" s="44" t="s">
        <v>728</v>
      </c>
      <c r="D369" s="44" t="s">
        <v>729</v>
      </c>
      <c r="E369" s="44" t="s">
        <v>719</v>
      </c>
      <c r="F369" s="44">
        <v>9</v>
      </c>
      <c r="G369" s="44">
        <v>0</v>
      </c>
      <c r="H369" s="44">
        <v>0</v>
      </c>
      <c r="I369" s="44">
        <v>8</v>
      </c>
      <c r="J369" s="44">
        <v>8</v>
      </c>
      <c r="K369" s="123">
        <v>100000</v>
      </c>
      <c r="L369" s="124">
        <f t="shared" si="45"/>
        <v>25</v>
      </c>
      <c r="M369" s="45">
        <f t="shared" si="47"/>
        <v>2500000</v>
      </c>
      <c r="N369" s="45">
        <f t="shared" si="52"/>
        <v>2500000</v>
      </c>
      <c r="O369" s="45"/>
      <c r="P369" s="45" t="s">
        <v>3056</v>
      </c>
      <c r="Q369" s="45"/>
      <c r="R369" s="45"/>
      <c r="S369" s="45">
        <f t="shared" si="46"/>
        <v>0</v>
      </c>
      <c r="T369" s="44" t="s">
        <v>720</v>
      </c>
      <c r="U369" s="44" t="s">
        <v>721</v>
      </c>
      <c r="V369" s="43" t="s">
        <v>21</v>
      </c>
      <c r="W369" t="e">
        <f>VLOOKUP(C369,'Data_HS t5'!$B$2:$K$412,10,FALSE)</f>
        <v>#N/A</v>
      </c>
      <c r="X369" t="str">
        <f>VLOOKUP(C369,'Data_HS t9'!$B$2:$K$454,10,FALSE)</f>
        <v>H4 Khu đô thị Việt Hưng, Phường Giang Biên, Quận Long Biên, Thành phố Hà Nội</v>
      </c>
    </row>
    <row r="370" spans="1:24">
      <c r="A370" s="2">
        <v>360</v>
      </c>
      <c r="B370" s="119">
        <v>202510</v>
      </c>
      <c r="C370" s="44" t="s">
        <v>730</v>
      </c>
      <c r="D370" s="44" t="s">
        <v>731</v>
      </c>
      <c r="E370" s="44" t="s">
        <v>719</v>
      </c>
      <c r="F370" s="44">
        <v>9</v>
      </c>
      <c r="G370" s="44">
        <v>0</v>
      </c>
      <c r="H370" s="44">
        <v>0</v>
      </c>
      <c r="I370" s="44">
        <v>8</v>
      </c>
      <c r="J370" s="44">
        <v>8</v>
      </c>
      <c r="K370" s="123">
        <v>100000</v>
      </c>
      <c r="L370" s="124">
        <f t="shared" si="45"/>
        <v>25</v>
      </c>
      <c r="M370" s="45">
        <f t="shared" si="47"/>
        <v>2500000</v>
      </c>
      <c r="N370" s="45">
        <f t="shared" si="52"/>
        <v>2500000</v>
      </c>
      <c r="O370" s="45"/>
      <c r="P370" s="45" t="s">
        <v>2112</v>
      </c>
      <c r="Q370" s="45"/>
      <c r="R370" s="45"/>
      <c r="S370" s="45">
        <f t="shared" si="46"/>
        <v>0</v>
      </c>
      <c r="T370" s="44" t="s">
        <v>720</v>
      </c>
      <c r="U370" s="44" t="s">
        <v>721</v>
      </c>
      <c r="V370" s="43" t="s">
        <v>21</v>
      </c>
      <c r="W370" t="e">
        <f>VLOOKUP(C370,'Data_HS t5'!$B$2:$K$412,10,FALSE)</f>
        <v>#N/A</v>
      </c>
      <c r="X370">
        <f>VLOOKUP(C370,'Data_HS t9'!$B$2:$K$454,10,FALSE)</f>
        <v>0</v>
      </c>
    </row>
    <row r="371" spans="1:24">
      <c r="A371" s="2">
        <v>361</v>
      </c>
      <c r="B371" s="119">
        <v>202510</v>
      </c>
      <c r="C371" s="44" t="s">
        <v>732</v>
      </c>
      <c r="D371" s="44" t="s">
        <v>733</v>
      </c>
      <c r="E371" s="44" t="s">
        <v>719</v>
      </c>
      <c r="F371" s="44">
        <v>9</v>
      </c>
      <c r="G371" s="44">
        <v>0</v>
      </c>
      <c r="H371" s="44">
        <v>0</v>
      </c>
      <c r="I371" s="44">
        <v>8</v>
      </c>
      <c r="J371" s="44">
        <v>8</v>
      </c>
      <c r="K371" s="123">
        <v>100000</v>
      </c>
      <c r="L371" s="124">
        <f t="shared" si="45"/>
        <v>25</v>
      </c>
      <c r="M371" s="45">
        <f t="shared" si="47"/>
        <v>2500000</v>
      </c>
      <c r="N371" s="45">
        <f t="shared" si="52"/>
        <v>2500000</v>
      </c>
      <c r="O371" s="45"/>
      <c r="P371" s="45" t="s">
        <v>6330</v>
      </c>
      <c r="Q371" s="45"/>
      <c r="R371" s="45"/>
      <c r="S371" s="45">
        <f t="shared" si="46"/>
        <v>0</v>
      </c>
      <c r="T371" s="44" t="s">
        <v>720</v>
      </c>
      <c r="U371" s="44" t="s">
        <v>721</v>
      </c>
      <c r="V371" s="43" t="s">
        <v>21</v>
      </c>
      <c r="W371" t="e">
        <f>VLOOKUP(C371,'Data_HS t5'!$B$2:$K$412,10,FALSE)</f>
        <v>#N/A</v>
      </c>
      <c r="X371" t="str">
        <f>VLOOKUP(C371,'Data_HS t9'!$B$2:$K$454,10,FALSE)</f>
        <v>Tổ dân phố số 38, Phố Bắc Cầu, Phường Ngọc Thụy, Quận Long Biên, Thành phố Hà Nội</v>
      </c>
    </row>
    <row r="372" spans="1:24">
      <c r="A372" s="2">
        <v>362</v>
      </c>
      <c r="B372" s="119">
        <v>202510</v>
      </c>
      <c r="C372" s="44" t="s">
        <v>734</v>
      </c>
      <c r="D372" s="44" t="s">
        <v>735</v>
      </c>
      <c r="E372" s="44" t="s">
        <v>719</v>
      </c>
      <c r="F372" s="44">
        <v>9</v>
      </c>
      <c r="G372" s="44">
        <v>0</v>
      </c>
      <c r="H372" s="44">
        <v>0</v>
      </c>
      <c r="I372" s="44">
        <v>8</v>
      </c>
      <c r="J372" s="44">
        <v>8</v>
      </c>
      <c r="K372" s="123">
        <v>100000</v>
      </c>
      <c r="L372" s="124">
        <f t="shared" si="45"/>
        <v>25</v>
      </c>
      <c r="M372" s="45">
        <f t="shared" si="47"/>
        <v>2500000</v>
      </c>
      <c r="N372" s="45">
        <f t="shared" si="52"/>
        <v>2500000</v>
      </c>
      <c r="O372" s="45"/>
      <c r="P372" s="45" t="s">
        <v>2059</v>
      </c>
      <c r="Q372" s="45"/>
      <c r="R372" s="45"/>
      <c r="S372" s="45">
        <f t="shared" si="46"/>
        <v>0</v>
      </c>
      <c r="T372" s="44" t="s">
        <v>720</v>
      </c>
      <c r="U372" s="44" t="s">
        <v>721</v>
      </c>
      <c r="V372" s="43" t="s">
        <v>21</v>
      </c>
      <c r="W372" t="e">
        <f>VLOOKUP(C372,'Data_HS t5'!$B$2:$K$412,10,FALSE)</f>
        <v>#N/A</v>
      </c>
      <c r="X372" t="str">
        <f>VLOOKUP(C372,'Data_HS t9'!$B$2:$K$454,10,FALSE)</f>
        <v>Tổ dân phố số 17, Phường Ngọc Thụy, Quận Long Biên, Thành phố Hà Nội</v>
      </c>
    </row>
    <row r="373" spans="1:24">
      <c r="A373" s="2">
        <v>363</v>
      </c>
      <c r="B373" s="119">
        <v>202510</v>
      </c>
      <c r="C373" s="44" t="s">
        <v>736</v>
      </c>
      <c r="D373" s="44" t="s">
        <v>737</v>
      </c>
      <c r="E373" s="44" t="s">
        <v>719</v>
      </c>
      <c r="F373" s="44">
        <v>0</v>
      </c>
      <c r="G373" s="44">
        <v>0</v>
      </c>
      <c r="H373" s="44">
        <v>0</v>
      </c>
      <c r="I373" s="44">
        <v>0</v>
      </c>
      <c r="J373" s="44">
        <v>8</v>
      </c>
      <c r="K373" s="123">
        <v>100000</v>
      </c>
      <c r="L373" s="124">
        <f t="shared" si="45"/>
        <v>8</v>
      </c>
      <c r="M373" s="45">
        <f t="shared" si="47"/>
        <v>800000</v>
      </c>
      <c r="N373" s="45">
        <f t="shared" si="52"/>
        <v>800000</v>
      </c>
      <c r="O373" s="45"/>
      <c r="P373" s="45" t="s">
        <v>2787</v>
      </c>
      <c r="Q373" s="45"/>
      <c r="R373" s="45"/>
      <c r="S373" s="45">
        <f t="shared" si="46"/>
        <v>0</v>
      </c>
      <c r="T373" s="44" t="s">
        <v>720</v>
      </c>
      <c r="U373" s="44" t="s">
        <v>721</v>
      </c>
      <c r="V373" s="43" t="s">
        <v>21</v>
      </c>
      <c r="W373" t="e">
        <f>VLOOKUP(C373,'Data_HS t5'!$B$2:$K$412,10,FALSE)</f>
        <v>#N/A</v>
      </c>
      <c r="X373">
        <f>VLOOKUP(C373,'Data_HS t9'!$B$2:$K$454,10,FALSE)</f>
        <v>0</v>
      </c>
    </row>
    <row r="374" spans="1:24">
      <c r="A374" s="2">
        <v>364</v>
      </c>
      <c r="B374" s="119">
        <v>202510</v>
      </c>
      <c r="C374" s="44" t="s">
        <v>738</v>
      </c>
      <c r="D374" s="44" t="s">
        <v>739</v>
      </c>
      <c r="E374" s="44" t="s">
        <v>719</v>
      </c>
      <c r="F374" s="44">
        <v>4.5</v>
      </c>
      <c r="G374" s="44">
        <v>0</v>
      </c>
      <c r="H374" s="44">
        <v>0</v>
      </c>
      <c r="I374" s="44">
        <v>4</v>
      </c>
      <c r="J374" s="44">
        <v>4.5</v>
      </c>
      <c r="K374" s="123">
        <v>100000</v>
      </c>
      <c r="L374" s="124">
        <f t="shared" si="45"/>
        <v>13</v>
      </c>
      <c r="M374" s="45">
        <f t="shared" si="47"/>
        <v>1300000</v>
      </c>
      <c r="N374" s="45">
        <f t="shared" si="52"/>
        <v>1300000</v>
      </c>
      <c r="O374" s="45"/>
      <c r="P374" s="45" t="s">
        <v>6309</v>
      </c>
      <c r="Q374" s="45"/>
      <c r="R374" s="45"/>
      <c r="S374" s="45">
        <f t="shared" si="46"/>
        <v>0</v>
      </c>
      <c r="T374" s="44" t="s">
        <v>720</v>
      </c>
      <c r="U374" s="44" t="s">
        <v>721</v>
      </c>
      <c r="V374" s="43" t="s">
        <v>21</v>
      </c>
      <c r="W374" t="e">
        <f>VLOOKUP(C374,'Data_HS t5'!$B$2:$K$412,10,FALSE)</f>
        <v>#N/A</v>
      </c>
      <c r="X374" t="str">
        <f>VLOOKUP(C374,'Data_HS t9'!$B$2:$K$454,10,FALSE)</f>
        <v>Tổ dân phố số 2, Phường Giang Biên, Quận Long Biên, Thành phố Hà Nội</v>
      </c>
    </row>
    <row r="375" spans="1:24">
      <c r="A375" s="2">
        <v>365</v>
      </c>
      <c r="B375" s="119">
        <v>202510</v>
      </c>
      <c r="C375" s="44" t="s">
        <v>740</v>
      </c>
      <c r="D375" s="44" t="s">
        <v>741</v>
      </c>
      <c r="E375" s="44" t="s">
        <v>719</v>
      </c>
      <c r="F375" s="44">
        <v>13</v>
      </c>
      <c r="G375" s="44">
        <v>0</v>
      </c>
      <c r="H375" s="44">
        <v>0</v>
      </c>
      <c r="I375" s="44">
        <v>0</v>
      </c>
      <c r="J375" s="44">
        <v>10</v>
      </c>
      <c r="K375" s="123">
        <v>100000</v>
      </c>
      <c r="L375" s="124">
        <f t="shared" si="45"/>
        <v>23</v>
      </c>
      <c r="M375" s="45">
        <f t="shared" si="47"/>
        <v>2300000</v>
      </c>
      <c r="N375" s="45">
        <f t="shared" si="52"/>
        <v>2300000</v>
      </c>
      <c r="O375" s="45"/>
      <c r="P375" s="45" t="s">
        <v>3049</v>
      </c>
      <c r="Q375" s="45"/>
      <c r="R375" s="45"/>
      <c r="S375" s="45">
        <f t="shared" si="46"/>
        <v>0</v>
      </c>
      <c r="T375" s="44" t="s">
        <v>720</v>
      </c>
      <c r="U375" s="44" t="s">
        <v>721</v>
      </c>
      <c r="V375" s="43" t="s">
        <v>21</v>
      </c>
      <c r="W375" t="e">
        <f>VLOOKUP(C375,'Data_HS t5'!$B$2:$K$412,10,FALSE)</f>
        <v>#N/A</v>
      </c>
      <c r="X375">
        <f>VLOOKUP(C375,'Data_HS t9'!$B$2:$K$454,10,FALSE)</f>
        <v>0</v>
      </c>
    </row>
    <row r="376" spans="1:24">
      <c r="A376" s="2">
        <v>366</v>
      </c>
      <c r="B376" s="119">
        <v>202510</v>
      </c>
      <c r="C376" s="44" t="s">
        <v>742</v>
      </c>
      <c r="D376" s="44" t="s">
        <v>743</v>
      </c>
      <c r="E376" s="44" t="s">
        <v>719</v>
      </c>
      <c r="F376" s="44">
        <v>9</v>
      </c>
      <c r="G376" s="44">
        <v>0</v>
      </c>
      <c r="H376" s="44">
        <v>0</v>
      </c>
      <c r="I376" s="44">
        <v>8</v>
      </c>
      <c r="J376" s="44">
        <v>8</v>
      </c>
      <c r="K376" s="123">
        <v>100000</v>
      </c>
      <c r="L376" s="124">
        <f t="shared" si="45"/>
        <v>25</v>
      </c>
      <c r="M376" s="45">
        <f t="shared" si="47"/>
        <v>2500000</v>
      </c>
      <c r="N376" s="45">
        <f>M376</f>
        <v>2500000</v>
      </c>
      <c r="O376" s="45"/>
      <c r="P376" s="45" t="s">
        <v>6732</v>
      </c>
      <c r="Q376" s="45"/>
      <c r="R376" s="45"/>
      <c r="S376" s="45">
        <f t="shared" si="46"/>
        <v>0</v>
      </c>
      <c r="T376" s="44" t="s">
        <v>720</v>
      </c>
      <c r="U376" s="44" t="s">
        <v>721</v>
      </c>
      <c r="V376" s="43" t="s">
        <v>21</v>
      </c>
      <c r="W376" t="e">
        <f>VLOOKUP(C376,'Data_HS t5'!$B$2:$K$412,10,FALSE)</f>
        <v>#N/A</v>
      </c>
      <c r="X376" t="str">
        <f>VLOOKUP(C376,'Data_HS t9'!$B$2:$K$454,10,FALSE)</f>
        <v>Tổ dân phố số 12, Phường Ngọc Lâm, Quận Long Biên, Thành phố Hà Nội</v>
      </c>
    </row>
    <row r="377" spans="1:24">
      <c r="A377" s="2">
        <v>367</v>
      </c>
      <c r="B377" s="119">
        <v>202510</v>
      </c>
      <c r="C377" s="44" t="s">
        <v>744</v>
      </c>
      <c r="D377" s="44" t="s">
        <v>745</v>
      </c>
      <c r="E377" s="44" t="s">
        <v>719</v>
      </c>
      <c r="F377" s="44">
        <v>0</v>
      </c>
      <c r="G377" s="44">
        <v>0</v>
      </c>
      <c r="H377" s="44">
        <v>0</v>
      </c>
      <c r="I377" s="44">
        <v>0</v>
      </c>
      <c r="J377" s="44">
        <v>10</v>
      </c>
      <c r="K377" s="123">
        <v>100000</v>
      </c>
      <c r="L377" s="124">
        <f t="shared" si="45"/>
        <v>10</v>
      </c>
      <c r="M377" s="45">
        <f t="shared" si="47"/>
        <v>1000000</v>
      </c>
      <c r="N377" s="45">
        <f>M377</f>
        <v>1000000</v>
      </c>
      <c r="O377" s="45"/>
      <c r="P377" s="45" t="s">
        <v>2759</v>
      </c>
      <c r="Q377" s="45"/>
      <c r="R377" s="45"/>
      <c r="S377" s="45">
        <f t="shared" si="46"/>
        <v>0</v>
      </c>
      <c r="T377" s="44" t="s">
        <v>720</v>
      </c>
      <c r="U377" s="44" t="s">
        <v>721</v>
      </c>
      <c r="V377" s="43" t="s">
        <v>21</v>
      </c>
      <c r="W377" t="e">
        <f>VLOOKUP(C377,'Data_HS t5'!$B$2:$K$412,10,FALSE)</f>
        <v>#N/A</v>
      </c>
      <c r="X377">
        <f>VLOOKUP(C377,'Data_HS t9'!$B$2:$K$454,10,FALSE)</f>
        <v>0</v>
      </c>
    </row>
    <row r="378" spans="1:24">
      <c r="A378" s="2">
        <v>368</v>
      </c>
      <c r="B378" s="119">
        <v>202510</v>
      </c>
      <c r="C378" s="44" t="s">
        <v>503</v>
      </c>
      <c r="D378" s="44" t="s">
        <v>746</v>
      </c>
      <c r="E378" s="44" t="s">
        <v>719</v>
      </c>
      <c r="F378" s="44">
        <v>0</v>
      </c>
      <c r="G378" s="44">
        <v>0</v>
      </c>
      <c r="H378" s="44">
        <v>0</v>
      </c>
      <c r="I378" s="44">
        <v>8</v>
      </c>
      <c r="J378" s="44">
        <v>9</v>
      </c>
      <c r="K378" s="123">
        <v>100000</v>
      </c>
      <c r="L378" s="124">
        <f t="shared" ref="L378:L441" si="53">SUM(F378:J378)</f>
        <v>17</v>
      </c>
      <c r="M378" s="45">
        <f t="shared" si="47"/>
        <v>1700000</v>
      </c>
      <c r="N378" s="45">
        <f>M378</f>
        <v>1700000</v>
      </c>
      <c r="O378" s="45"/>
      <c r="P378" s="45" t="s">
        <v>6580</v>
      </c>
      <c r="Q378" s="45"/>
      <c r="R378" s="45"/>
      <c r="S378" s="45">
        <f t="shared" si="46"/>
        <v>0</v>
      </c>
      <c r="T378" s="44" t="s">
        <v>720</v>
      </c>
      <c r="U378" s="44" t="s">
        <v>721</v>
      </c>
      <c r="V378" s="43" t="s">
        <v>21</v>
      </c>
      <c r="W378" t="e">
        <f>VLOOKUP(C378,'Data_HS t5'!$B$2:$K$412,10,FALSE)</f>
        <v>#N/A</v>
      </c>
      <c r="X378" t="str">
        <f>VLOOKUP(C378,'Data_HS t9'!$B$2:$K$454,10,FALSE)</f>
        <v>Phường Đức Giang, Quận Long Biên, Thành phố Hà Nội</v>
      </c>
    </row>
    <row r="379" spans="1:24">
      <c r="A379" s="2">
        <v>369</v>
      </c>
      <c r="B379" s="119">
        <v>202510</v>
      </c>
      <c r="C379" s="44" t="s">
        <v>747</v>
      </c>
      <c r="D379" s="44" t="s">
        <v>748</v>
      </c>
      <c r="E379" s="44" t="s">
        <v>719</v>
      </c>
      <c r="F379" s="44">
        <v>0</v>
      </c>
      <c r="G379" s="44">
        <v>0</v>
      </c>
      <c r="H379" s="44">
        <v>0</v>
      </c>
      <c r="I379" s="44">
        <v>0</v>
      </c>
      <c r="J379" s="44">
        <v>9</v>
      </c>
      <c r="K379" s="123">
        <v>100000</v>
      </c>
      <c r="L379" s="124">
        <f t="shared" si="53"/>
        <v>9</v>
      </c>
      <c r="M379" s="45">
        <f t="shared" si="47"/>
        <v>900000</v>
      </c>
      <c r="N379" s="45">
        <f>M379</f>
        <v>900000</v>
      </c>
      <c r="O379" s="45"/>
      <c r="P379" s="45"/>
      <c r="Q379" s="45" t="s">
        <v>3148</v>
      </c>
      <c r="R379" s="45"/>
      <c r="S379" s="45">
        <f t="shared" si="46"/>
        <v>0</v>
      </c>
      <c r="T379" s="44" t="s">
        <v>720</v>
      </c>
      <c r="U379" s="44" t="s">
        <v>721</v>
      </c>
      <c r="V379" s="43" t="s">
        <v>21</v>
      </c>
      <c r="W379" t="e">
        <f>VLOOKUP(C379,'Data_HS t5'!$B$2:$K$412,10,FALSE)</f>
        <v>#N/A</v>
      </c>
      <c r="X379" t="str">
        <f>VLOOKUP(C379,'Data_HS t9'!$B$2:$K$454,10,FALSE)</f>
        <v>Tổ dân phố 25, Phường Ngọc Thụy, Quận Long Biên, Thành phố Hà Nội</v>
      </c>
    </row>
    <row r="380" spans="1:24">
      <c r="A380" s="2">
        <v>370</v>
      </c>
      <c r="B380" s="119">
        <v>202510</v>
      </c>
      <c r="C380" s="44" t="s">
        <v>749</v>
      </c>
      <c r="D380" s="44" t="s">
        <v>750</v>
      </c>
      <c r="E380" s="44" t="s">
        <v>719</v>
      </c>
      <c r="F380" s="44">
        <v>0</v>
      </c>
      <c r="G380" s="44">
        <v>0</v>
      </c>
      <c r="H380" s="44">
        <v>0</v>
      </c>
      <c r="I380" s="44">
        <v>0</v>
      </c>
      <c r="J380" s="44">
        <v>0</v>
      </c>
      <c r="K380" s="123">
        <v>100000</v>
      </c>
      <c r="L380" s="124">
        <f t="shared" si="53"/>
        <v>0</v>
      </c>
      <c r="M380" s="45">
        <f t="shared" si="47"/>
        <v>0</v>
      </c>
      <c r="N380" s="45"/>
      <c r="O380" s="45"/>
      <c r="P380" s="45"/>
      <c r="Q380" s="45"/>
      <c r="R380" s="45"/>
      <c r="S380" s="45">
        <f t="shared" ref="S380:S443" si="54">M380-N380</f>
        <v>0</v>
      </c>
      <c r="T380" s="44" t="s">
        <v>720</v>
      </c>
      <c r="U380" s="44" t="s">
        <v>721</v>
      </c>
      <c r="V380" s="43" t="s">
        <v>21</v>
      </c>
      <c r="W380" t="e">
        <f>VLOOKUP(C380,'Data_HS t5'!$B$2:$K$412,10,FALSE)</f>
        <v>#N/A</v>
      </c>
      <c r="X380" t="e">
        <f>VLOOKUP(C380,'Data_HS t9'!$B$2:$K$454,10,FALSE)</f>
        <v>#N/A</v>
      </c>
    </row>
    <row r="381" spans="1:24">
      <c r="A381" s="2">
        <v>371</v>
      </c>
      <c r="B381" s="119">
        <v>202510</v>
      </c>
      <c r="C381" s="44" t="s">
        <v>751</v>
      </c>
      <c r="D381" s="44" t="s">
        <v>752</v>
      </c>
      <c r="E381" s="44" t="s">
        <v>719</v>
      </c>
      <c r="F381" s="44">
        <v>9</v>
      </c>
      <c r="G381" s="44">
        <v>0</v>
      </c>
      <c r="H381" s="44">
        <v>0</v>
      </c>
      <c r="I381" s="44">
        <v>8</v>
      </c>
      <c r="J381" s="44">
        <v>9</v>
      </c>
      <c r="K381" s="123">
        <v>100000</v>
      </c>
      <c r="L381" s="124">
        <f t="shared" si="53"/>
        <v>26</v>
      </c>
      <c r="M381" s="45">
        <f t="shared" si="47"/>
        <v>2600000</v>
      </c>
      <c r="N381" s="45">
        <f>M381</f>
        <v>2600000</v>
      </c>
      <c r="O381" s="45"/>
      <c r="P381" s="45" t="s">
        <v>6280</v>
      </c>
      <c r="Q381" s="45"/>
      <c r="R381" s="45"/>
      <c r="S381" s="45">
        <f t="shared" si="54"/>
        <v>0</v>
      </c>
      <c r="T381" s="44" t="s">
        <v>720</v>
      </c>
      <c r="U381" s="44" t="s">
        <v>721</v>
      </c>
      <c r="V381" s="43" t="s">
        <v>21</v>
      </c>
      <c r="W381" t="e">
        <f>VLOOKUP(C381,'Data_HS t5'!$B$2:$K$412,10,FALSE)</f>
        <v>#N/A</v>
      </c>
      <c r="X381">
        <f>VLOOKUP(C381,'Data_HS t9'!$B$2:$K$454,10,FALSE)</f>
        <v>0</v>
      </c>
    </row>
    <row r="382" spans="1:24">
      <c r="A382" s="2">
        <v>372</v>
      </c>
      <c r="B382" s="119">
        <v>202510</v>
      </c>
      <c r="C382" s="44" t="s">
        <v>753</v>
      </c>
      <c r="D382" s="44" t="s">
        <v>754</v>
      </c>
      <c r="E382" s="44" t="s">
        <v>719</v>
      </c>
      <c r="F382" s="44">
        <v>0</v>
      </c>
      <c r="G382" s="44">
        <v>0</v>
      </c>
      <c r="H382" s="44">
        <v>0</v>
      </c>
      <c r="I382" s="44">
        <v>0</v>
      </c>
      <c r="J382" s="44">
        <v>9</v>
      </c>
      <c r="K382" s="123">
        <v>100000</v>
      </c>
      <c r="L382" s="124">
        <f t="shared" si="53"/>
        <v>9</v>
      </c>
      <c r="M382" s="45">
        <f t="shared" si="47"/>
        <v>900000</v>
      </c>
      <c r="N382" s="45">
        <f>M382</f>
        <v>900000</v>
      </c>
      <c r="O382" s="45" t="s">
        <v>7138</v>
      </c>
      <c r="P382" s="45"/>
      <c r="Q382" s="45"/>
      <c r="R382" s="45"/>
      <c r="S382" s="45">
        <f t="shared" si="54"/>
        <v>0</v>
      </c>
      <c r="T382" s="44" t="s">
        <v>720</v>
      </c>
      <c r="U382" s="44" t="s">
        <v>721</v>
      </c>
      <c r="V382" s="43" t="s">
        <v>21</v>
      </c>
      <c r="W382" t="e">
        <f>VLOOKUP(C382,'Data_HS t5'!$B$2:$K$412,10,FALSE)</f>
        <v>#N/A</v>
      </c>
      <c r="X382" t="str">
        <f>VLOOKUP(C382,'Data_HS t9'!$B$2:$K$454,10,FALSE)</f>
        <v>Tổ dân phố số 5, Phường Gia Thụy, Quận Long Biên, Thành phố Hà Nội</v>
      </c>
    </row>
    <row r="383" spans="1:24">
      <c r="A383" s="2">
        <v>373</v>
      </c>
      <c r="B383" s="119">
        <v>202510</v>
      </c>
      <c r="C383" s="44" t="s">
        <v>755</v>
      </c>
      <c r="D383" s="44" t="s">
        <v>756</v>
      </c>
      <c r="E383" s="44" t="s">
        <v>719</v>
      </c>
      <c r="F383" s="44">
        <v>0</v>
      </c>
      <c r="G383" s="44">
        <v>0</v>
      </c>
      <c r="H383" s="44">
        <v>0</v>
      </c>
      <c r="I383" s="44">
        <v>3</v>
      </c>
      <c r="J383" s="44">
        <v>0</v>
      </c>
      <c r="K383" s="123">
        <v>100000</v>
      </c>
      <c r="L383" s="124">
        <f t="shared" si="53"/>
        <v>3</v>
      </c>
      <c r="M383" s="45">
        <f t="shared" si="47"/>
        <v>300000</v>
      </c>
      <c r="N383" s="45">
        <f>M383</f>
        <v>300000</v>
      </c>
      <c r="O383" s="45"/>
      <c r="P383" s="45" t="s">
        <v>3071</v>
      </c>
      <c r="Q383" s="45"/>
      <c r="R383" s="45"/>
      <c r="S383" s="45">
        <f t="shared" si="54"/>
        <v>0</v>
      </c>
      <c r="T383" s="44" t="s">
        <v>720</v>
      </c>
      <c r="U383" s="44" t="s">
        <v>721</v>
      </c>
      <c r="V383" s="43" t="s">
        <v>21</v>
      </c>
      <c r="W383" t="e">
        <f>VLOOKUP(C383,'Data_HS t5'!$B$2:$K$412,10,FALSE)</f>
        <v>#N/A</v>
      </c>
      <c r="X383" t="str">
        <f>VLOOKUP(C383,'Data_HS t9'!$B$2:$K$454,10,FALSE)</f>
        <v>Số 75, Tổ 12, Phường Phúc Lợi, Quận Long Biên, Thành phố Hà Nội.</v>
      </c>
    </row>
    <row r="384" spans="1:24">
      <c r="A384" s="2">
        <v>374</v>
      </c>
      <c r="B384" s="119">
        <v>202510</v>
      </c>
      <c r="C384" s="44" t="s">
        <v>757</v>
      </c>
      <c r="D384" s="44" t="s">
        <v>758</v>
      </c>
      <c r="E384" s="44" t="s">
        <v>719</v>
      </c>
      <c r="F384" s="44">
        <v>9</v>
      </c>
      <c r="G384" s="44">
        <v>0</v>
      </c>
      <c r="H384" s="44">
        <v>0</v>
      </c>
      <c r="I384" s="44">
        <v>8</v>
      </c>
      <c r="J384" s="44">
        <v>0</v>
      </c>
      <c r="K384" s="123">
        <v>100000</v>
      </c>
      <c r="L384" s="124">
        <f t="shared" si="53"/>
        <v>17</v>
      </c>
      <c r="M384" s="45">
        <f t="shared" si="47"/>
        <v>1700000</v>
      </c>
      <c r="N384" s="45">
        <f>M384</f>
        <v>1700000</v>
      </c>
      <c r="O384" s="45"/>
      <c r="P384" s="45" t="s">
        <v>3146</v>
      </c>
      <c r="Q384" s="45"/>
      <c r="R384" s="45"/>
      <c r="S384" s="45">
        <f t="shared" si="54"/>
        <v>0</v>
      </c>
      <c r="T384" s="44" t="s">
        <v>720</v>
      </c>
      <c r="U384" s="44" t="s">
        <v>721</v>
      </c>
      <c r="V384" s="43" t="s">
        <v>21</v>
      </c>
      <c r="W384" t="str">
        <f>VLOOKUP(C384,'Data_HS t5'!$B$2:$K$412,10,FALSE)</f>
        <v>Tổ dân phố số 14, Phường Bồ Đề, Quận Long Biên, Thành phố Hà Nội</v>
      </c>
      <c r="X384" t="str">
        <f>VLOOKUP(C384,'Data_HS t9'!$B$2:$K$454,10,FALSE)</f>
        <v>Số 5/23 Vũ Xuân Thiều, Phường Phúc Lợi, Quận Long Biên, Thành phố Hà Nội</v>
      </c>
    </row>
    <row r="385" spans="1:24">
      <c r="A385" s="2">
        <v>375</v>
      </c>
      <c r="B385" s="119">
        <v>202510</v>
      </c>
      <c r="C385" s="44" t="s">
        <v>759</v>
      </c>
      <c r="D385" s="44" t="s">
        <v>760</v>
      </c>
      <c r="E385" s="44" t="s">
        <v>719</v>
      </c>
      <c r="F385" s="44">
        <v>0</v>
      </c>
      <c r="G385" s="44">
        <v>0</v>
      </c>
      <c r="H385" s="44">
        <v>0</v>
      </c>
      <c r="I385" s="44">
        <v>8</v>
      </c>
      <c r="J385" s="44">
        <v>0</v>
      </c>
      <c r="K385" s="123">
        <v>100000</v>
      </c>
      <c r="L385" s="124">
        <f t="shared" si="53"/>
        <v>8</v>
      </c>
      <c r="M385" s="45">
        <f t="shared" ref="M385:M448" si="55">L385*K385</f>
        <v>800000</v>
      </c>
      <c r="N385" s="45">
        <f>M385</f>
        <v>800000</v>
      </c>
      <c r="O385" s="45"/>
      <c r="P385" s="45" t="s">
        <v>2706</v>
      </c>
      <c r="Q385" s="45"/>
      <c r="R385" s="45"/>
      <c r="S385" s="45">
        <f t="shared" si="54"/>
        <v>0</v>
      </c>
      <c r="T385" s="44" t="s">
        <v>720</v>
      </c>
      <c r="U385" s="44" t="s">
        <v>721</v>
      </c>
      <c r="V385" s="43" t="s">
        <v>21</v>
      </c>
      <c r="W385" t="e">
        <f>VLOOKUP(C385,'Data_HS t5'!$B$2:$K$412,10,FALSE)</f>
        <v>#N/A</v>
      </c>
      <c r="X385">
        <f>VLOOKUP(C385,'Data_HS t9'!$B$2:$K$454,10,FALSE)</f>
        <v>0</v>
      </c>
    </row>
    <row r="386" spans="1:24">
      <c r="A386" s="2">
        <v>376</v>
      </c>
      <c r="B386" s="119">
        <v>202510</v>
      </c>
      <c r="C386" s="44" t="s">
        <v>761</v>
      </c>
      <c r="D386" s="44" t="s">
        <v>762</v>
      </c>
      <c r="E386" s="44" t="s">
        <v>719</v>
      </c>
      <c r="F386" s="44">
        <v>0</v>
      </c>
      <c r="G386" s="44">
        <v>0</v>
      </c>
      <c r="H386" s="44">
        <v>0</v>
      </c>
      <c r="I386" s="44">
        <v>0</v>
      </c>
      <c r="J386" s="44">
        <v>0</v>
      </c>
      <c r="K386" s="123">
        <v>100000</v>
      </c>
      <c r="L386" s="124">
        <f t="shared" si="53"/>
        <v>0</v>
      </c>
      <c r="M386" s="45">
        <f t="shared" si="55"/>
        <v>0</v>
      </c>
      <c r="N386" s="45"/>
      <c r="O386" s="45"/>
      <c r="P386" s="45"/>
      <c r="Q386" s="45"/>
      <c r="R386" s="45"/>
      <c r="S386" s="45">
        <f t="shared" si="54"/>
        <v>0</v>
      </c>
      <c r="T386" s="44" t="s">
        <v>720</v>
      </c>
      <c r="U386" s="44" t="s">
        <v>721</v>
      </c>
      <c r="V386" s="43" t="s">
        <v>21</v>
      </c>
      <c r="W386" t="e">
        <f>VLOOKUP(C386,'Data_HS t5'!$B$2:$K$412,10,FALSE)</f>
        <v>#N/A</v>
      </c>
      <c r="X386" t="e">
        <f>VLOOKUP(C386,'Data_HS t9'!$B$2:$K$454,10,FALSE)</f>
        <v>#N/A</v>
      </c>
    </row>
    <row r="387" spans="1:24">
      <c r="A387" s="2">
        <v>377</v>
      </c>
      <c r="B387" s="119">
        <v>202510</v>
      </c>
      <c r="C387" s="44" t="s">
        <v>763</v>
      </c>
      <c r="D387" s="44" t="s">
        <v>764</v>
      </c>
      <c r="E387" s="44" t="s">
        <v>719</v>
      </c>
      <c r="F387" s="44">
        <v>9</v>
      </c>
      <c r="G387" s="44">
        <v>0</v>
      </c>
      <c r="H387" s="44">
        <v>0</v>
      </c>
      <c r="I387" s="44">
        <v>8</v>
      </c>
      <c r="J387" s="44">
        <v>8</v>
      </c>
      <c r="K387" s="123">
        <v>100000</v>
      </c>
      <c r="L387" s="124">
        <f t="shared" si="53"/>
        <v>25</v>
      </c>
      <c r="M387" s="45">
        <f t="shared" si="55"/>
        <v>2500000</v>
      </c>
      <c r="N387" s="45">
        <f t="shared" ref="N387:N393" si="56">M387</f>
        <v>2500000</v>
      </c>
      <c r="O387" s="45"/>
      <c r="P387" s="45"/>
      <c r="Q387" s="45"/>
      <c r="R387" s="45">
        <v>40000</v>
      </c>
      <c r="S387" s="45">
        <f t="shared" si="54"/>
        <v>0</v>
      </c>
      <c r="T387" s="44" t="s">
        <v>720</v>
      </c>
      <c r="U387" s="44" t="s">
        <v>721</v>
      </c>
      <c r="V387" s="43" t="s">
        <v>21</v>
      </c>
      <c r="W387" t="e">
        <f>VLOOKUP(C387,'Data_HS t5'!$B$2:$K$412,10,FALSE)</f>
        <v>#N/A</v>
      </c>
      <c r="X387" t="str">
        <f>VLOOKUP(C387,'Data_HS t9'!$B$2:$K$454,10,FALSE)</f>
        <v>Tổ dân phố số 9, Phường Phúc Lợi, Quận Long Biên, Thành phố Hà Nội</v>
      </c>
    </row>
    <row r="388" spans="1:24">
      <c r="A388" s="2">
        <v>378</v>
      </c>
      <c r="B388" s="119">
        <v>202510</v>
      </c>
      <c r="C388" s="44" t="s">
        <v>765</v>
      </c>
      <c r="D388" s="44" t="s">
        <v>766</v>
      </c>
      <c r="E388" s="44" t="s">
        <v>719</v>
      </c>
      <c r="F388" s="44">
        <v>9</v>
      </c>
      <c r="G388" s="44">
        <v>0</v>
      </c>
      <c r="H388" s="44">
        <v>0</v>
      </c>
      <c r="I388" s="44">
        <v>0</v>
      </c>
      <c r="J388" s="44">
        <v>0</v>
      </c>
      <c r="K388" s="123">
        <v>100000</v>
      </c>
      <c r="L388" s="124">
        <f t="shared" si="53"/>
        <v>9</v>
      </c>
      <c r="M388" s="45">
        <f t="shared" si="55"/>
        <v>900000</v>
      </c>
      <c r="N388" s="45">
        <f t="shared" si="56"/>
        <v>900000</v>
      </c>
      <c r="O388" s="45"/>
      <c r="P388" s="45" t="s">
        <v>3120</v>
      </c>
      <c r="Q388" s="45"/>
      <c r="R388" s="45"/>
      <c r="S388" s="45">
        <f t="shared" si="54"/>
        <v>0</v>
      </c>
      <c r="T388" s="44" t="s">
        <v>720</v>
      </c>
      <c r="U388" s="44" t="s">
        <v>721</v>
      </c>
      <c r="V388" s="43" t="s">
        <v>21</v>
      </c>
      <c r="W388" t="e">
        <f>VLOOKUP(C388,'Data_HS t5'!$B$2:$K$412,10,FALSE)</f>
        <v>#N/A</v>
      </c>
      <c r="X388" t="str">
        <f>VLOOKUP(C388,'Data_HS t9'!$B$2:$K$454,10,FALSE)</f>
        <v>Tổ dân phố số 4, Phường Phúc Đồng, Quận Long Biên, Thành phố Hà Nội</v>
      </c>
    </row>
    <row r="389" spans="1:24">
      <c r="A389" s="2">
        <v>379</v>
      </c>
      <c r="B389" s="119">
        <v>202510</v>
      </c>
      <c r="C389" s="44" t="s">
        <v>767</v>
      </c>
      <c r="D389" s="44" t="s">
        <v>768</v>
      </c>
      <c r="E389" s="44" t="s">
        <v>719</v>
      </c>
      <c r="F389" s="44">
        <v>9</v>
      </c>
      <c r="G389" s="44">
        <v>0</v>
      </c>
      <c r="H389" s="44">
        <v>0</v>
      </c>
      <c r="I389" s="44">
        <v>8</v>
      </c>
      <c r="J389" s="44">
        <v>8</v>
      </c>
      <c r="K389" s="123">
        <v>100000</v>
      </c>
      <c r="L389" s="124">
        <f t="shared" si="53"/>
        <v>25</v>
      </c>
      <c r="M389" s="45">
        <f t="shared" si="55"/>
        <v>2500000</v>
      </c>
      <c r="N389" s="45">
        <f t="shared" si="56"/>
        <v>2500000</v>
      </c>
      <c r="O389" s="45"/>
      <c r="P389" s="45"/>
      <c r="Q389" s="45"/>
      <c r="R389" s="45">
        <v>40000</v>
      </c>
      <c r="S389" s="45">
        <f t="shared" si="54"/>
        <v>0</v>
      </c>
      <c r="T389" s="44" t="s">
        <v>720</v>
      </c>
      <c r="U389" s="44" t="s">
        <v>721</v>
      </c>
      <c r="V389" s="43" t="s">
        <v>21</v>
      </c>
      <c r="W389" t="e">
        <f>VLOOKUP(C389,'Data_HS t5'!$B$2:$K$412,10,FALSE)</f>
        <v>#N/A</v>
      </c>
      <c r="X389" t="str">
        <f>VLOOKUP(C389,'Data_HS t9'!$B$2:$K$454,10,FALSE)</f>
        <v>Tổ dân phố số 3, Phường Cự Khối, Quận Long Biên, Thành phố Hà Nội</v>
      </c>
    </row>
    <row r="390" spans="1:24">
      <c r="A390" s="2">
        <v>380</v>
      </c>
      <c r="B390" s="119">
        <v>202510</v>
      </c>
      <c r="C390" s="44" t="s">
        <v>769</v>
      </c>
      <c r="D390" s="44" t="s">
        <v>770</v>
      </c>
      <c r="E390" s="44" t="s">
        <v>719</v>
      </c>
      <c r="F390" s="44">
        <v>9</v>
      </c>
      <c r="G390" s="44">
        <v>0</v>
      </c>
      <c r="H390" s="44">
        <v>0</v>
      </c>
      <c r="I390" s="44">
        <v>8</v>
      </c>
      <c r="J390" s="44">
        <v>8</v>
      </c>
      <c r="K390" s="123">
        <v>100000</v>
      </c>
      <c r="L390" s="124">
        <f t="shared" si="53"/>
        <v>25</v>
      </c>
      <c r="M390" s="45">
        <f t="shared" si="55"/>
        <v>2500000</v>
      </c>
      <c r="N390" s="45">
        <f t="shared" si="56"/>
        <v>2500000</v>
      </c>
      <c r="O390" s="45"/>
      <c r="P390" s="45" t="s">
        <v>2093</v>
      </c>
      <c r="Q390" s="45"/>
      <c r="R390" s="45"/>
      <c r="S390" s="45">
        <f t="shared" si="54"/>
        <v>0</v>
      </c>
      <c r="T390" s="44" t="s">
        <v>720</v>
      </c>
      <c r="U390" s="44" t="s">
        <v>721</v>
      </c>
      <c r="V390" s="43" t="s">
        <v>21</v>
      </c>
      <c r="W390" t="e">
        <f>VLOOKUP(C390,'Data_HS t5'!$B$2:$K$412,10,FALSE)</f>
        <v>#N/A</v>
      </c>
      <c r="X390">
        <f>VLOOKUP(C390,'Data_HS t9'!$B$2:$K$454,10,FALSE)</f>
        <v>0</v>
      </c>
    </row>
    <row r="391" spans="1:24">
      <c r="A391" s="2">
        <v>381</v>
      </c>
      <c r="B391" s="119">
        <v>202510</v>
      </c>
      <c r="C391" s="44" t="s">
        <v>771</v>
      </c>
      <c r="D391" s="44" t="s">
        <v>772</v>
      </c>
      <c r="E391" s="44" t="s">
        <v>719</v>
      </c>
      <c r="F391" s="44">
        <v>9</v>
      </c>
      <c r="G391" s="44">
        <v>0</v>
      </c>
      <c r="H391" s="44">
        <v>0</v>
      </c>
      <c r="I391" s="44">
        <v>8</v>
      </c>
      <c r="J391" s="44">
        <v>8</v>
      </c>
      <c r="K391" s="123">
        <v>100000</v>
      </c>
      <c r="L391" s="124">
        <f t="shared" si="53"/>
        <v>25</v>
      </c>
      <c r="M391" s="45">
        <f t="shared" si="55"/>
        <v>2500000</v>
      </c>
      <c r="N391" s="45">
        <f t="shared" si="56"/>
        <v>2500000</v>
      </c>
      <c r="O391" s="45"/>
      <c r="P391" s="45" t="s">
        <v>2712</v>
      </c>
      <c r="Q391" s="45"/>
      <c r="R391" s="45"/>
      <c r="S391" s="45">
        <f t="shared" si="54"/>
        <v>0</v>
      </c>
      <c r="T391" s="44" t="s">
        <v>720</v>
      </c>
      <c r="U391" s="44" t="s">
        <v>721</v>
      </c>
      <c r="V391" s="43" t="s">
        <v>21</v>
      </c>
      <c r="W391" t="str">
        <f>VLOOKUP(C391,'Data_HS t5'!$B$2:$K$412,10,FALSE)</f>
        <v>TT Cầu 12, Thôn Hội, Xã Cổ Bi, Huyện Gia Lâm, Thành phố Hà Nội.</v>
      </c>
      <c r="X391" t="str">
        <f>VLOOKUP(C391,'Data_HS t9'!$B$2:$K$454,10,FALSE)</f>
        <v>Tổ dân phố số 11, Phường Bồ Đề, Quận Long Biên, Thành phố Hà Nội</v>
      </c>
    </row>
    <row r="392" spans="1:24">
      <c r="A392" s="2">
        <v>382</v>
      </c>
      <c r="B392" s="119">
        <v>202510</v>
      </c>
      <c r="C392" s="44" t="s">
        <v>773</v>
      </c>
      <c r="D392" s="44" t="s">
        <v>774</v>
      </c>
      <c r="E392" s="44" t="s">
        <v>719</v>
      </c>
      <c r="F392" s="44">
        <v>9</v>
      </c>
      <c r="G392" s="44">
        <v>0</v>
      </c>
      <c r="H392" s="44">
        <v>0</v>
      </c>
      <c r="I392" s="44">
        <v>8</v>
      </c>
      <c r="J392" s="44">
        <v>8</v>
      </c>
      <c r="K392" s="123">
        <v>100000</v>
      </c>
      <c r="L392" s="124">
        <f t="shared" si="53"/>
        <v>25</v>
      </c>
      <c r="M392" s="45">
        <f t="shared" si="55"/>
        <v>2500000</v>
      </c>
      <c r="N392" s="45">
        <f t="shared" si="56"/>
        <v>2500000</v>
      </c>
      <c r="O392" s="45"/>
      <c r="P392" s="45" t="s">
        <v>2686</v>
      </c>
      <c r="Q392" s="45"/>
      <c r="R392" s="45"/>
      <c r="S392" s="45">
        <f t="shared" si="54"/>
        <v>0</v>
      </c>
      <c r="T392" s="44" t="s">
        <v>720</v>
      </c>
      <c r="U392" s="44" t="s">
        <v>721</v>
      </c>
      <c r="V392" s="43" t="s">
        <v>21</v>
      </c>
      <c r="W392" t="e">
        <f>VLOOKUP(C392,'Data_HS t5'!$B$2:$K$412,10,FALSE)</f>
        <v>#N/A</v>
      </c>
      <c r="X392" t="str">
        <f>VLOOKUP(C392,'Data_HS t9'!$B$2:$K$454,10,FALSE)</f>
        <v>Tổ dân phố An Lạc, Thị trấn Trâu Quỳ, Huyện Gia Lâm, Thành phố Hà Nội</v>
      </c>
    </row>
    <row r="393" spans="1:24">
      <c r="A393" s="2">
        <v>383</v>
      </c>
      <c r="B393" s="119">
        <v>202510</v>
      </c>
      <c r="C393" s="44" t="s">
        <v>775</v>
      </c>
      <c r="D393" s="44" t="s">
        <v>776</v>
      </c>
      <c r="E393" s="44" t="s">
        <v>719</v>
      </c>
      <c r="F393" s="44">
        <v>0</v>
      </c>
      <c r="G393" s="44">
        <v>0</v>
      </c>
      <c r="H393" s="44">
        <v>0</v>
      </c>
      <c r="I393" s="44">
        <v>0</v>
      </c>
      <c r="J393" s="44">
        <v>8</v>
      </c>
      <c r="K393" s="123">
        <v>100000</v>
      </c>
      <c r="L393" s="124">
        <f t="shared" si="53"/>
        <v>8</v>
      </c>
      <c r="M393" s="45">
        <f t="shared" si="55"/>
        <v>800000</v>
      </c>
      <c r="N393" s="45">
        <f t="shared" si="56"/>
        <v>800000</v>
      </c>
      <c r="O393" s="45"/>
      <c r="P393" s="45" t="s">
        <v>6315</v>
      </c>
      <c r="Q393" s="45"/>
      <c r="R393" s="45"/>
      <c r="S393" s="45">
        <f t="shared" si="54"/>
        <v>0</v>
      </c>
      <c r="T393" s="44" t="s">
        <v>720</v>
      </c>
      <c r="U393" s="44" t="s">
        <v>721</v>
      </c>
      <c r="V393" s="43" t="s">
        <v>21</v>
      </c>
      <c r="W393" t="e">
        <f>VLOOKUP(C393,'Data_HS t5'!$B$2:$K$412,10,FALSE)</f>
        <v>#N/A</v>
      </c>
      <c r="X393" t="str">
        <f>VLOOKUP(C393,'Data_HS t9'!$B$2:$K$454,10,FALSE)</f>
        <v>Tổ 10, Phường Thạch Bàn, Quận Long Biên, Thành phố Hà Nội</v>
      </c>
    </row>
    <row r="394" spans="1:24">
      <c r="A394" s="2">
        <v>384</v>
      </c>
      <c r="B394" s="119">
        <v>202510</v>
      </c>
      <c r="C394" s="44" t="s">
        <v>777</v>
      </c>
      <c r="D394" s="44" t="s">
        <v>778</v>
      </c>
      <c r="E394" s="44" t="s">
        <v>719</v>
      </c>
      <c r="F394" s="44">
        <v>0</v>
      </c>
      <c r="G394" s="44">
        <v>0</v>
      </c>
      <c r="H394" s="44">
        <v>0</v>
      </c>
      <c r="I394" s="44">
        <v>8</v>
      </c>
      <c r="J394" s="44">
        <v>8</v>
      </c>
      <c r="K394" s="123">
        <v>100000</v>
      </c>
      <c r="L394" s="124">
        <f t="shared" si="53"/>
        <v>16</v>
      </c>
      <c r="M394" s="45">
        <f t="shared" si="55"/>
        <v>1600000</v>
      </c>
      <c r="N394" s="45">
        <v>1800000</v>
      </c>
      <c r="O394" s="45"/>
      <c r="P394" s="45"/>
      <c r="Q394" s="45" t="s">
        <v>3151</v>
      </c>
      <c r="R394" s="45">
        <v>30000</v>
      </c>
      <c r="S394" s="62">
        <f t="shared" si="54"/>
        <v>-200000</v>
      </c>
      <c r="T394" s="44" t="s">
        <v>720</v>
      </c>
      <c r="U394" s="44" t="s">
        <v>721</v>
      </c>
      <c r="V394" s="43" t="s">
        <v>21</v>
      </c>
      <c r="W394" t="e">
        <f>VLOOKUP(C394,'Data_HS t5'!$B$2:$K$412,10,FALSE)</f>
        <v>#N/A</v>
      </c>
      <c r="X394">
        <f>VLOOKUP(C394,'Data_HS t9'!$B$2:$K$454,10,FALSE)</f>
        <v>0</v>
      </c>
    </row>
    <row r="395" spans="1:24">
      <c r="A395" s="2">
        <v>385</v>
      </c>
      <c r="B395" s="119">
        <v>202510</v>
      </c>
      <c r="C395" s="44" t="s">
        <v>779</v>
      </c>
      <c r="D395" s="44" t="s">
        <v>780</v>
      </c>
      <c r="E395" s="44" t="s">
        <v>781</v>
      </c>
      <c r="F395" s="44">
        <v>0</v>
      </c>
      <c r="G395" s="44">
        <v>0</v>
      </c>
      <c r="H395" s="44">
        <v>0</v>
      </c>
      <c r="I395" s="44">
        <v>0</v>
      </c>
      <c r="J395" s="44">
        <v>8</v>
      </c>
      <c r="K395" s="123">
        <v>100000</v>
      </c>
      <c r="L395" s="124">
        <f t="shared" si="53"/>
        <v>8</v>
      </c>
      <c r="M395" s="45">
        <f t="shared" si="55"/>
        <v>800000</v>
      </c>
      <c r="N395" s="45">
        <f>M395</f>
        <v>800000</v>
      </c>
      <c r="O395" s="45"/>
      <c r="P395" s="45" t="s">
        <v>7114</v>
      </c>
      <c r="Q395" s="45"/>
      <c r="R395" s="45"/>
      <c r="S395" s="45">
        <f t="shared" si="54"/>
        <v>0</v>
      </c>
      <c r="T395" s="44" t="s">
        <v>19</v>
      </c>
      <c r="U395" s="44" t="s">
        <v>20</v>
      </c>
      <c r="V395" s="43" t="s">
        <v>21</v>
      </c>
      <c r="W395" t="e">
        <f>VLOOKUP(C395,'Data_HS t5'!$B$2:$K$412,10,TRUE)</f>
        <v>#N/A</v>
      </c>
      <c r="X395" t="str">
        <f>VLOOKUP(C395,'Data_HS t9'!$B$2:$K$454,10,TRUE)</f>
        <v>Tổ dân phố số 36, Phường Ngọc Thụy, Quận Long Biên, Thành phố Hà Nội</v>
      </c>
    </row>
    <row r="396" spans="1:24">
      <c r="A396" s="2">
        <v>386</v>
      </c>
      <c r="B396" s="119">
        <v>202510</v>
      </c>
      <c r="C396" s="44" t="s">
        <v>782</v>
      </c>
      <c r="D396" s="44" t="s">
        <v>783</v>
      </c>
      <c r="E396" s="44" t="s">
        <v>781</v>
      </c>
      <c r="F396" s="44">
        <v>0</v>
      </c>
      <c r="G396" s="44">
        <v>0</v>
      </c>
      <c r="H396" s="44">
        <v>0</v>
      </c>
      <c r="I396" s="44">
        <v>0</v>
      </c>
      <c r="J396" s="44">
        <v>9</v>
      </c>
      <c r="K396" s="123">
        <v>100000</v>
      </c>
      <c r="L396" s="124">
        <f t="shared" si="53"/>
        <v>9</v>
      </c>
      <c r="M396" s="45">
        <f t="shared" si="55"/>
        <v>900000</v>
      </c>
      <c r="N396" s="45">
        <f>M396</f>
        <v>900000</v>
      </c>
      <c r="O396" s="45"/>
      <c r="P396" s="45" t="s">
        <v>3059</v>
      </c>
      <c r="Q396" s="45"/>
      <c r="R396" s="45"/>
      <c r="S396" s="45">
        <f t="shared" si="54"/>
        <v>0</v>
      </c>
      <c r="T396" s="44" t="s">
        <v>19</v>
      </c>
      <c r="U396" s="44" t="s">
        <v>20</v>
      </c>
      <c r="V396" s="43" t="s">
        <v>21</v>
      </c>
      <c r="W396">
        <f>VLOOKUP(C396,'Data_HS t5'!$B$2:$K$412,10,TRUE)</f>
        <v>0</v>
      </c>
      <c r="X396" t="str">
        <f>VLOOKUP(C396,'Data_HS t9'!$B$2:$K$454,10,TRUE)</f>
        <v>Phường Phúc Lợi, Quận Long Biên, Thành phố Hà Nội</v>
      </c>
    </row>
    <row r="397" spans="1:24">
      <c r="A397" s="2">
        <v>387</v>
      </c>
      <c r="B397" s="119">
        <v>202510</v>
      </c>
      <c r="C397" s="68" t="s">
        <v>784</v>
      </c>
      <c r="D397" s="68" t="s">
        <v>785</v>
      </c>
      <c r="E397" s="68" t="s">
        <v>781</v>
      </c>
      <c r="F397" s="68">
        <v>0</v>
      </c>
      <c r="G397" s="68">
        <v>0</v>
      </c>
      <c r="H397" s="68">
        <v>0</v>
      </c>
      <c r="I397" s="68">
        <v>8</v>
      </c>
      <c r="J397" s="68">
        <v>0</v>
      </c>
      <c r="K397" s="127">
        <v>100000</v>
      </c>
      <c r="L397" s="128">
        <f t="shared" si="53"/>
        <v>8</v>
      </c>
      <c r="M397" s="65">
        <f t="shared" si="55"/>
        <v>800000</v>
      </c>
      <c r="N397" s="65">
        <v>800000</v>
      </c>
      <c r="O397" s="65"/>
      <c r="P397" s="65" t="s">
        <v>3122</v>
      </c>
      <c r="Q397" s="65" t="s">
        <v>3148</v>
      </c>
      <c r="R397" s="65"/>
      <c r="S397" s="65">
        <f t="shared" si="54"/>
        <v>0</v>
      </c>
      <c r="T397" s="44" t="s">
        <v>19</v>
      </c>
      <c r="U397" s="44" t="s">
        <v>20</v>
      </c>
      <c r="V397" s="43" t="s">
        <v>21</v>
      </c>
      <c r="W397" t="str">
        <f>VLOOKUP(C397,'Data_HS t5'!$B$2:$K$412,10,TRUE)</f>
        <v>Tổ dân phố số 13, Phường Thạch Bàn, Quận Long Biên, Thành phố Hà Nội</v>
      </c>
      <c r="X397" t="str">
        <f>VLOOKUP(C397,'Data_HS t9'!$B$2:$K$454,10,TRUE)</f>
        <v>Tổ dân phố số 1, Phường Cự Khối, Quận Long Biên, Thành phố Hà Nội</v>
      </c>
    </row>
    <row r="398" spans="1:24" ht="22.8" customHeight="1">
      <c r="A398" s="2">
        <v>388</v>
      </c>
      <c r="B398" s="129">
        <v>202510</v>
      </c>
      <c r="C398" s="64" t="s">
        <v>786</v>
      </c>
      <c r="D398" s="64" t="s">
        <v>787</v>
      </c>
      <c r="E398" s="64" t="s">
        <v>781</v>
      </c>
      <c r="F398" s="64">
        <v>7</v>
      </c>
      <c r="G398" s="64">
        <v>0</v>
      </c>
      <c r="H398" s="64">
        <v>0</v>
      </c>
      <c r="I398" s="64"/>
      <c r="J398" s="64">
        <v>8</v>
      </c>
      <c r="K398" s="126">
        <v>100000</v>
      </c>
      <c r="L398" s="134">
        <f t="shared" si="53"/>
        <v>15</v>
      </c>
      <c r="M398" s="62">
        <f t="shared" si="55"/>
        <v>1500000</v>
      </c>
      <c r="N398" s="45"/>
      <c r="O398" s="45"/>
      <c r="P398" s="45"/>
      <c r="Q398" s="45"/>
      <c r="R398" s="177" t="s">
        <v>7186</v>
      </c>
      <c r="S398" s="45">
        <f t="shared" si="54"/>
        <v>1500000</v>
      </c>
      <c r="T398" s="44" t="s">
        <v>19</v>
      </c>
      <c r="U398" s="44" t="s">
        <v>20</v>
      </c>
      <c r="V398" s="43" t="s">
        <v>21</v>
      </c>
      <c r="W398" t="str">
        <f>VLOOKUP(C398,'Data_HS t5'!$B$2:$K$412,10,TRUE)</f>
        <v>Tổ dân phố số 15, Phường Phúc Lợi, Quận Long Biên, Thành phố Hà Nội</v>
      </c>
      <c r="X398" t="str">
        <f>VLOOKUP(C398,'Data_HS t9'!$B$2:$K$454,10,TRUE)</f>
        <v>Tổ 12, Long Biên, LB</v>
      </c>
    </row>
    <row r="399" spans="1:24">
      <c r="A399" s="2">
        <v>389</v>
      </c>
      <c r="B399" s="119">
        <v>202510</v>
      </c>
      <c r="C399" s="44" t="s">
        <v>788</v>
      </c>
      <c r="D399" s="44" t="s">
        <v>789</v>
      </c>
      <c r="E399" s="44" t="s">
        <v>781</v>
      </c>
      <c r="F399" s="44">
        <v>0</v>
      </c>
      <c r="G399" s="44">
        <v>0</v>
      </c>
      <c r="H399" s="44">
        <v>0</v>
      </c>
      <c r="I399" s="44">
        <v>6</v>
      </c>
      <c r="J399" s="44">
        <v>0</v>
      </c>
      <c r="K399" s="123">
        <v>100000</v>
      </c>
      <c r="L399" s="124">
        <f t="shared" si="53"/>
        <v>6</v>
      </c>
      <c r="M399" s="45">
        <f t="shared" si="55"/>
        <v>600000</v>
      </c>
      <c r="N399" s="45">
        <f t="shared" ref="N399:N404" si="57">M399</f>
        <v>600000</v>
      </c>
      <c r="O399" s="45"/>
      <c r="P399" s="45" t="s">
        <v>6573</v>
      </c>
      <c r="Q399" s="45"/>
      <c r="R399" s="45"/>
      <c r="S399" s="45">
        <f t="shared" si="54"/>
        <v>0</v>
      </c>
      <c r="T399" s="44" t="s">
        <v>19</v>
      </c>
      <c r="U399" s="44" t="s">
        <v>20</v>
      </c>
      <c r="V399" s="43" t="s">
        <v>21</v>
      </c>
      <c r="W399" t="str">
        <f>VLOOKUP(C399,'Data_HS t5'!$B$2:$K$412,10,TRUE)</f>
        <v>Phường Long Biên, Quận Long Biên, Thành phố Hà Nội</v>
      </c>
      <c r="X399" t="str">
        <f>VLOOKUP(C399,'Data_HS t9'!$B$2:$K$454,10,TRUE)</f>
        <v>P3r4 cc Happy Star No10, Giang Biên, LB</v>
      </c>
    </row>
    <row r="400" spans="1:24">
      <c r="A400" s="2">
        <v>390</v>
      </c>
      <c r="B400" s="119">
        <v>202510</v>
      </c>
      <c r="C400" s="44" t="s">
        <v>790</v>
      </c>
      <c r="D400" s="44" t="s">
        <v>791</v>
      </c>
      <c r="E400" s="44" t="s">
        <v>781</v>
      </c>
      <c r="F400" s="44">
        <v>0</v>
      </c>
      <c r="G400" s="44">
        <v>0</v>
      </c>
      <c r="H400" s="44">
        <v>0</v>
      </c>
      <c r="I400" s="44">
        <v>8</v>
      </c>
      <c r="J400" s="44">
        <v>0</v>
      </c>
      <c r="K400" s="123">
        <v>100000</v>
      </c>
      <c r="L400" s="124">
        <f t="shared" si="53"/>
        <v>8</v>
      </c>
      <c r="M400" s="45">
        <f t="shared" si="55"/>
        <v>800000</v>
      </c>
      <c r="N400" s="45">
        <f t="shared" si="57"/>
        <v>800000</v>
      </c>
      <c r="O400" s="45"/>
      <c r="P400" s="45" t="s">
        <v>2064</v>
      </c>
      <c r="Q400" s="45"/>
      <c r="R400" s="45"/>
      <c r="S400" s="45">
        <f t="shared" si="54"/>
        <v>0</v>
      </c>
      <c r="T400" s="44" t="s">
        <v>19</v>
      </c>
      <c r="U400" s="44" t="s">
        <v>20</v>
      </c>
      <c r="V400" s="43" t="s">
        <v>21</v>
      </c>
      <c r="W400" t="str">
        <f>VLOOKUP(C400,'Data_HS t5'!$B$2:$K$412,10,TRUE)</f>
        <v>Phường Thạch Bàn, Quận Long Biên, Thành phố Hà Nội</v>
      </c>
      <c r="X400" t="str">
        <f>VLOOKUP(C400,'Data_HS t9'!$B$2:$K$454,10,TRUE)</f>
        <v>5/366/36/4, Ngọc Lâm, LB</v>
      </c>
    </row>
    <row r="401" spans="1:24">
      <c r="A401" s="2">
        <v>391</v>
      </c>
      <c r="B401" s="119">
        <v>202510</v>
      </c>
      <c r="C401" s="44" t="s">
        <v>618</v>
      </c>
      <c r="D401" s="44" t="s">
        <v>792</v>
      </c>
      <c r="E401" s="44" t="s">
        <v>781</v>
      </c>
      <c r="F401" s="44">
        <v>0</v>
      </c>
      <c r="G401" s="44">
        <v>0</v>
      </c>
      <c r="H401" s="44">
        <v>0</v>
      </c>
      <c r="I401" s="44">
        <v>7</v>
      </c>
      <c r="J401" s="44">
        <v>0</v>
      </c>
      <c r="K401" s="123">
        <v>100000</v>
      </c>
      <c r="L401" s="124">
        <f t="shared" si="53"/>
        <v>7</v>
      </c>
      <c r="M401" s="45">
        <f t="shared" si="55"/>
        <v>700000</v>
      </c>
      <c r="N401" s="45">
        <f t="shared" si="57"/>
        <v>700000</v>
      </c>
      <c r="O401" s="45"/>
      <c r="P401" s="45" t="s">
        <v>6322</v>
      </c>
      <c r="Q401" s="45"/>
      <c r="R401" s="45"/>
      <c r="S401" s="45">
        <f t="shared" si="54"/>
        <v>0</v>
      </c>
      <c r="T401" s="44" t="s">
        <v>19</v>
      </c>
      <c r="U401" s="44" t="s">
        <v>20</v>
      </c>
      <c r="V401" s="43" t="s">
        <v>21</v>
      </c>
      <c r="W401" t="str">
        <f>VLOOKUP(C401,'Data_HS t5'!$B$2:$K$412,10,TRUE)</f>
        <v>Phường Thạch Bàn, Quận Long Biên, Thành phố Hà Nội</v>
      </c>
      <c r="X401" t="e">
        <f>VLOOKUP(C401,'Data_HS t9'!$B$2:$K$454,10,TRUE)</f>
        <v>#N/A</v>
      </c>
    </row>
    <row r="402" spans="1:24">
      <c r="A402" s="2">
        <v>392</v>
      </c>
      <c r="B402" s="119">
        <v>202510</v>
      </c>
      <c r="C402" s="44" t="s">
        <v>793</v>
      </c>
      <c r="D402" s="44" t="s">
        <v>794</v>
      </c>
      <c r="E402" s="44" t="s">
        <v>795</v>
      </c>
      <c r="F402" s="44">
        <v>0</v>
      </c>
      <c r="G402" s="44">
        <v>0</v>
      </c>
      <c r="H402" s="44">
        <v>0</v>
      </c>
      <c r="I402" s="44">
        <v>0</v>
      </c>
      <c r="J402" s="44">
        <v>9</v>
      </c>
      <c r="K402" s="123">
        <v>100000</v>
      </c>
      <c r="L402" s="124">
        <f t="shared" si="53"/>
        <v>9</v>
      </c>
      <c r="M402" s="45">
        <f t="shared" si="55"/>
        <v>900000</v>
      </c>
      <c r="N402" s="45">
        <f t="shared" si="57"/>
        <v>900000</v>
      </c>
      <c r="O402" s="45"/>
      <c r="P402" s="45"/>
      <c r="Q402" s="45" t="s">
        <v>3151</v>
      </c>
      <c r="R402" s="45">
        <v>15000</v>
      </c>
      <c r="S402" s="45">
        <f t="shared" si="54"/>
        <v>0</v>
      </c>
      <c r="T402" s="44" t="s">
        <v>19</v>
      </c>
      <c r="U402" s="44" t="s">
        <v>20</v>
      </c>
      <c r="V402" s="43" t="s">
        <v>21</v>
      </c>
      <c r="W402">
        <f>VLOOKUP(C402,'Data_HS t5'!$B$2:$K$412,10,TRUE)</f>
        <v>0</v>
      </c>
      <c r="X402" t="str">
        <f>VLOOKUP(C402,'Data_HS t9'!$B$2:$K$454,10,TRUE)</f>
        <v>Phường Phúc Lợi, Quận Long Biên, Thành phố Hà Nội</v>
      </c>
    </row>
    <row r="403" spans="1:24">
      <c r="A403" s="2">
        <v>393</v>
      </c>
      <c r="B403" s="119">
        <v>202510</v>
      </c>
      <c r="C403" s="44" t="s">
        <v>796</v>
      </c>
      <c r="D403" s="44" t="s">
        <v>797</v>
      </c>
      <c r="E403" s="44" t="s">
        <v>795</v>
      </c>
      <c r="F403" s="44">
        <v>0</v>
      </c>
      <c r="G403" s="44">
        <v>0</v>
      </c>
      <c r="H403" s="44">
        <v>0</v>
      </c>
      <c r="I403" s="44">
        <v>0</v>
      </c>
      <c r="J403" s="44">
        <v>9</v>
      </c>
      <c r="K403" s="123">
        <v>100000</v>
      </c>
      <c r="L403" s="124">
        <f t="shared" si="53"/>
        <v>9</v>
      </c>
      <c r="M403" s="45">
        <f t="shared" si="55"/>
        <v>900000</v>
      </c>
      <c r="N403" s="45">
        <f t="shared" si="57"/>
        <v>900000</v>
      </c>
      <c r="O403" s="45"/>
      <c r="P403" s="45"/>
      <c r="Q403" s="45" t="s">
        <v>3151</v>
      </c>
      <c r="R403" s="45">
        <v>15000</v>
      </c>
      <c r="S403" s="45">
        <f t="shared" si="54"/>
        <v>0</v>
      </c>
      <c r="T403" s="44" t="s">
        <v>19</v>
      </c>
      <c r="U403" s="44" t="s">
        <v>20</v>
      </c>
      <c r="V403" s="43" t="s">
        <v>21</v>
      </c>
      <c r="W403" t="str">
        <f>VLOOKUP(C403,'Data_HS t5'!$B$2:$K$412,10,TRUE)</f>
        <v>Tổ dân phố 21, Phường Phúc Xá, Quận Ba Đình, Thành phố Hà Nội</v>
      </c>
      <c r="X403" t="str">
        <f>VLOOKUP(C403,'Data_HS t9'!$B$2:$K$454,10,TRUE)</f>
        <v>Phường Thạch Bàn, Quận Long Biên, Thành phố Hà Nội</v>
      </c>
    </row>
    <row r="404" spans="1:24">
      <c r="A404" s="2">
        <v>394</v>
      </c>
      <c r="B404" s="119">
        <v>202510</v>
      </c>
      <c r="C404" s="44" t="s">
        <v>798</v>
      </c>
      <c r="D404" s="44" t="s">
        <v>799</v>
      </c>
      <c r="E404" s="44" t="s">
        <v>795</v>
      </c>
      <c r="F404" s="44">
        <v>0</v>
      </c>
      <c r="G404" s="44">
        <v>0</v>
      </c>
      <c r="H404" s="44">
        <v>0</v>
      </c>
      <c r="I404" s="44">
        <v>0</v>
      </c>
      <c r="J404" s="44">
        <v>9</v>
      </c>
      <c r="K404" s="123">
        <v>100000</v>
      </c>
      <c r="L404" s="124">
        <f t="shared" si="53"/>
        <v>9</v>
      </c>
      <c r="M404" s="45">
        <f t="shared" si="55"/>
        <v>900000</v>
      </c>
      <c r="N404" s="45">
        <f t="shared" si="57"/>
        <v>900000</v>
      </c>
      <c r="O404" s="45"/>
      <c r="P404" s="45" t="s">
        <v>6307</v>
      </c>
      <c r="Q404" s="45"/>
      <c r="R404" s="45"/>
      <c r="S404" s="45">
        <f t="shared" si="54"/>
        <v>0</v>
      </c>
      <c r="T404" s="44" t="s">
        <v>19</v>
      </c>
      <c r="U404" s="44" t="s">
        <v>20</v>
      </c>
      <c r="V404" s="43" t="s">
        <v>21</v>
      </c>
      <c r="W404">
        <f>VLOOKUP(C404,'Data_HS t5'!$B$2:$K$412,10,TRUE)</f>
        <v>0</v>
      </c>
      <c r="X404" t="str">
        <f>VLOOKUP(C404,'Data_HS t9'!$B$2:$K$454,10,TRUE)</f>
        <v>Phường Phúc Lợi, Quận Long Biên, Thành phố Hà Nội</v>
      </c>
    </row>
    <row r="405" spans="1:24">
      <c r="A405" s="2">
        <v>395</v>
      </c>
      <c r="B405" s="119">
        <v>202510</v>
      </c>
      <c r="C405" s="44" t="s">
        <v>800</v>
      </c>
      <c r="D405" s="44" t="s">
        <v>801</v>
      </c>
      <c r="E405" s="44" t="s">
        <v>795</v>
      </c>
      <c r="F405" s="44">
        <v>9</v>
      </c>
      <c r="G405" s="44">
        <v>0</v>
      </c>
      <c r="H405" s="44">
        <v>0</v>
      </c>
      <c r="I405" s="44">
        <v>0</v>
      </c>
      <c r="J405" s="44">
        <v>0</v>
      </c>
      <c r="K405" s="123">
        <v>100000</v>
      </c>
      <c r="L405" s="124">
        <f t="shared" si="53"/>
        <v>9</v>
      </c>
      <c r="M405" s="45">
        <f t="shared" si="55"/>
        <v>900000</v>
      </c>
      <c r="N405" s="45">
        <f t="shared" ref="N405:N410" si="58">M405</f>
        <v>900000</v>
      </c>
      <c r="O405" s="45"/>
      <c r="P405" s="45" t="s">
        <v>2733</v>
      </c>
      <c r="Q405" s="45"/>
      <c r="R405" s="45"/>
      <c r="S405" s="45">
        <f t="shared" si="54"/>
        <v>0</v>
      </c>
      <c r="T405" s="44" t="s">
        <v>19</v>
      </c>
      <c r="U405" s="44" t="s">
        <v>20</v>
      </c>
      <c r="V405" s="43" t="s">
        <v>21</v>
      </c>
      <c r="W405" t="str">
        <f>VLOOKUP(C405,'Data_HS t5'!$B$2:$K$412,10,TRUE)</f>
        <v>Tổ dân phố số 1, Phường Ngọc Lâm, Quận Long Biên, Thành phố Hà Nội</v>
      </c>
      <c r="X405" t="str">
        <f>VLOOKUP(C405,'Data_HS t9'!$B$2:$K$454,10,TRUE)</f>
        <v>Tổ 1, Phường Long Biên, Quận Long Biên, Thành phố Hà Nội</v>
      </c>
    </row>
    <row r="406" spans="1:24">
      <c r="A406" s="2">
        <v>396</v>
      </c>
      <c r="B406" s="119">
        <v>202510</v>
      </c>
      <c r="C406" s="44" t="s">
        <v>802</v>
      </c>
      <c r="D406" s="44" t="s">
        <v>803</v>
      </c>
      <c r="E406" s="44" t="s">
        <v>804</v>
      </c>
      <c r="F406" s="44">
        <v>9</v>
      </c>
      <c r="G406" s="44">
        <v>0</v>
      </c>
      <c r="H406" s="44">
        <v>0</v>
      </c>
      <c r="I406" s="44">
        <v>5</v>
      </c>
      <c r="J406" s="44">
        <v>9</v>
      </c>
      <c r="K406" s="123">
        <v>100000</v>
      </c>
      <c r="L406" s="124">
        <f t="shared" si="53"/>
        <v>23</v>
      </c>
      <c r="M406" s="45">
        <f t="shared" si="55"/>
        <v>2300000</v>
      </c>
      <c r="N406" s="45">
        <f t="shared" si="58"/>
        <v>2300000</v>
      </c>
      <c r="O406" s="45"/>
      <c r="P406" s="45" t="s">
        <v>2088</v>
      </c>
      <c r="Q406" s="45"/>
      <c r="R406" s="45"/>
      <c r="S406" s="45">
        <f t="shared" si="54"/>
        <v>0</v>
      </c>
      <c r="T406" s="44" t="s">
        <v>19</v>
      </c>
      <c r="U406" s="44" t="s">
        <v>20</v>
      </c>
      <c r="V406" s="43" t="s">
        <v>21</v>
      </c>
      <c r="W406">
        <f>VLOOKUP(C406,'Data_HS t5'!$B$2:$K$412,10,TRUE)</f>
        <v>0</v>
      </c>
      <c r="X406" t="str">
        <f>VLOOKUP(C406,'Data_HS t9'!$B$2:$K$454,10,TRUE)</f>
        <v>Tổ 13, Khu Đô thị Việt Hưng, Phường Giang Biên, Quận Long Biên.</v>
      </c>
    </row>
    <row r="407" spans="1:24">
      <c r="A407" s="2">
        <v>397</v>
      </c>
      <c r="B407" s="119">
        <v>202510</v>
      </c>
      <c r="C407" s="44" t="s">
        <v>805</v>
      </c>
      <c r="D407" s="44" t="s">
        <v>806</v>
      </c>
      <c r="E407" s="44" t="s">
        <v>804</v>
      </c>
      <c r="F407" s="44">
        <v>9</v>
      </c>
      <c r="G407" s="44">
        <v>0</v>
      </c>
      <c r="H407" s="44">
        <v>0</v>
      </c>
      <c r="I407" s="44">
        <v>5</v>
      </c>
      <c r="J407" s="44">
        <v>0</v>
      </c>
      <c r="K407" s="123">
        <v>100000</v>
      </c>
      <c r="L407" s="124">
        <f t="shared" si="53"/>
        <v>14</v>
      </c>
      <c r="M407" s="45">
        <f t="shared" si="55"/>
        <v>1400000</v>
      </c>
      <c r="N407" s="45">
        <f t="shared" si="58"/>
        <v>1400000</v>
      </c>
      <c r="O407" s="45"/>
      <c r="P407" s="45" t="s">
        <v>2815</v>
      </c>
      <c r="Q407" s="45"/>
      <c r="R407" s="45"/>
      <c r="S407" s="45">
        <f t="shared" si="54"/>
        <v>0</v>
      </c>
      <c r="T407" s="44" t="s">
        <v>19</v>
      </c>
      <c r="U407" s="44" t="s">
        <v>20</v>
      </c>
      <c r="V407" s="43" t="s">
        <v>21</v>
      </c>
      <c r="W407">
        <f>VLOOKUP(C407,'Data_HS t5'!$B$2:$K$412,10,TRUE)</f>
        <v>0</v>
      </c>
      <c r="X407">
        <f>VLOOKUP(C407,'Data_HS t9'!$B$2:$K$454,10,TRUE)</f>
        <v>0</v>
      </c>
    </row>
    <row r="408" spans="1:24">
      <c r="A408" s="2">
        <v>398</v>
      </c>
      <c r="B408" s="119">
        <v>202510</v>
      </c>
      <c r="C408" s="44" t="s">
        <v>807</v>
      </c>
      <c r="D408" s="44" t="s">
        <v>808</v>
      </c>
      <c r="E408" s="44" t="s">
        <v>804</v>
      </c>
      <c r="F408" s="44">
        <v>9</v>
      </c>
      <c r="G408" s="44">
        <v>0</v>
      </c>
      <c r="H408" s="44">
        <v>0</v>
      </c>
      <c r="I408" s="44">
        <v>5</v>
      </c>
      <c r="J408" s="44">
        <v>0</v>
      </c>
      <c r="K408" s="123">
        <v>100000</v>
      </c>
      <c r="L408" s="124">
        <f t="shared" si="53"/>
        <v>14</v>
      </c>
      <c r="M408" s="45">
        <f t="shared" si="55"/>
        <v>1400000</v>
      </c>
      <c r="N408" s="45">
        <f t="shared" si="58"/>
        <v>1400000</v>
      </c>
      <c r="O408" s="45"/>
      <c r="P408" s="45" t="s">
        <v>2107</v>
      </c>
      <c r="Q408" s="45"/>
      <c r="R408" s="45"/>
      <c r="S408" s="45">
        <f t="shared" si="54"/>
        <v>0</v>
      </c>
      <c r="T408" s="44" t="s">
        <v>19</v>
      </c>
      <c r="U408" s="44" t="s">
        <v>20</v>
      </c>
      <c r="V408" s="43" t="s">
        <v>21</v>
      </c>
      <c r="W408" t="str">
        <f>VLOOKUP(C408,'Data_HS t5'!$B$2:$K$412,10,TRUE)</f>
        <v>Phường Lê Đại Hành, Quận Hai Bà Trưng, Thành phố Hà Nội</v>
      </c>
      <c r="X408" t="str">
        <f>VLOOKUP(C408,'Data_HS t9'!$B$2:$K$454,10,TRUE)</f>
        <v>P3r4 cc Happy Star No10, Giang Biên, LB</v>
      </c>
    </row>
    <row r="409" spans="1:24">
      <c r="A409" s="2">
        <v>399</v>
      </c>
      <c r="B409" s="119">
        <v>202510</v>
      </c>
      <c r="C409" s="44" t="s">
        <v>809</v>
      </c>
      <c r="D409" s="44" t="s">
        <v>810</v>
      </c>
      <c r="E409" s="44" t="s">
        <v>804</v>
      </c>
      <c r="F409" s="44">
        <v>9</v>
      </c>
      <c r="G409" s="44">
        <v>0</v>
      </c>
      <c r="H409" s="44">
        <v>0</v>
      </c>
      <c r="I409" s="44">
        <v>5</v>
      </c>
      <c r="J409" s="44">
        <v>0</v>
      </c>
      <c r="K409" s="123">
        <v>100000</v>
      </c>
      <c r="L409" s="124">
        <f t="shared" si="53"/>
        <v>14</v>
      </c>
      <c r="M409" s="45">
        <f t="shared" si="55"/>
        <v>1400000</v>
      </c>
      <c r="N409" s="45">
        <f t="shared" si="58"/>
        <v>1400000</v>
      </c>
      <c r="O409" s="45"/>
      <c r="P409" s="45" t="s">
        <v>2104</v>
      </c>
      <c r="Q409" s="45"/>
      <c r="R409" s="45"/>
      <c r="S409" s="45">
        <f t="shared" si="54"/>
        <v>0</v>
      </c>
      <c r="T409" s="44" t="s">
        <v>19</v>
      </c>
      <c r="U409" s="44" t="s">
        <v>20</v>
      </c>
      <c r="V409" s="43" t="s">
        <v>21</v>
      </c>
      <c r="W409" t="str">
        <f>VLOOKUP(C409,'Data_HS t5'!$B$2:$K$412,10,TRUE)</f>
        <v>Phường Long Biên, Quận Long Biên, Thành phố Hà Nội</v>
      </c>
      <c r="X409" t="str">
        <f>VLOOKUP(C409,'Data_HS t9'!$B$2:$K$454,10,TRUE)</f>
        <v>P3r4 cc Happy Star No10, Giang Biên, LB</v>
      </c>
    </row>
    <row r="410" spans="1:24">
      <c r="A410" s="2">
        <v>400</v>
      </c>
      <c r="B410" s="119">
        <v>202510</v>
      </c>
      <c r="C410" s="44" t="s">
        <v>811</v>
      </c>
      <c r="D410" s="44" t="s">
        <v>812</v>
      </c>
      <c r="E410" s="44" t="s">
        <v>804</v>
      </c>
      <c r="F410" s="44">
        <v>9</v>
      </c>
      <c r="G410" s="44">
        <v>0</v>
      </c>
      <c r="H410" s="44">
        <v>0</v>
      </c>
      <c r="I410" s="44">
        <v>5</v>
      </c>
      <c r="J410" s="44">
        <v>0</v>
      </c>
      <c r="K410" s="123">
        <v>100000</v>
      </c>
      <c r="L410" s="124">
        <f t="shared" si="53"/>
        <v>14</v>
      </c>
      <c r="M410" s="45">
        <f t="shared" si="55"/>
        <v>1400000</v>
      </c>
      <c r="N410" s="45">
        <f t="shared" si="58"/>
        <v>1400000</v>
      </c>
      <c r="O410" s="45"/>
      <c r="P410" s="45" t="s">
        <v>2719</v>
      </c>
      <c r="Q410" s="45"/>
      <c r="R410" s="45"/>
      <c r="S410" s="45">
        <f t="shared" si="54"/>
        <v>0</v>
      </c>
      <c r="T410" s="44" t="s">
        <v>19</v>
      </c>
      <c r="U410" s="44" t="s">
        <v>20</v>
      </c>
      <c r="V410" s="43" t="s">
        <v>21</v>
      </c>
      <c r="W410" t="str">
        <f>VLOOKUP(C410,'Data_HS t5'!$B$2:$K$412,10,TRUE)</f>
        <v>Phường Thạch Bàn, Quận Long Biên, Thành phố Hà Nội</v>
      </c>
      <c r="X410" t="e">
        <f>VLOOKUP(C410,'Data_HS t9'!$B$2:$K$454,10,TRUE)</f>
        <v>#N/A</v>
      </c>
    </row>
    <row r="411" spans="1:24">
      <c r="A411" s="2">
        <v>401</v>
      </c>
      <c r="B411" s="119">
        <v>202510</v>
      </c>
      <c r="C411" s="44" t="s">
        <v>813</v>
      </c>
      <c r="D411" s="44" t="s">
        <v>814</v>
      </c>
      <c r="E411" s="44" t="s">
        <v>804</v>
      </c>
      <c r="F411" s="44">
        <v>0</v>
      </c>
      <c r="G411" s="44">
        <v>0</v>
      </c>
      <c r="H411" s="44">
        <v>0</v>
      </c>
      <c r="I411" s="44">
        <v>5</v>
      </c>
      <c r="J411" s="44">
        <v>0</v>
      </c>
      <c r="K411" s="123">
        <v>100000</v>
      </c>
      <c r="L411" s="124">
        <f t="shared" si="53"/>
        <v>5</v>
      </c>
      <c r="M411" s="45">
        <f t="shared" si="55"/>
        <v>500000</v>
      </c>
      <c r="N411" s="45">
        <f>M411</f>
        <v>500000</v>
      </c>
      <c r="O411" s="45"/>
      <c r="P411" s="45"/>
      <c r="Q411" s="45" t="s">
        <v>3150</v>
      </c>
      <c r="R411" s="45">
        <v>10000</v>
      </c>
      <c r="S411" s="45">
        <f t="shared" si="54"/>
        <v>0</v>
      </c>
      <c r="T411" s="44" t="s">
        <v>19</v>
      </c>
      <c r="U411" s="44" t="s">
        <v>20</v>
      </c>
      <c r="V411" s="43" t="s">
        <v>21</v>
      </c>
      <c r="W411">
        <f>VLOOKUP(C411,'Data_HS t5'!$B$2:$K$412,10,TRUE)</f>
        <v>0</v>
      </c>
      <c r="X411" t="str">
        <f>VLOOKUP(C411,'Data_HS t9'!$B$2:$K$454,10,TRUE)</f>
        <v>Tổ dân phố số 27, Phường Ngọc Lâm, Quận Long Biên, Thành phố Hà Nội</v>
      </c>
    </row>
    <row r="412" spans="1:24">
      <c r="A412" s="2">
        <v>402</v>
      </c>
      <c r="B412" s="119">
        <v>202510</v>
      </c>
      <c r="C412" s="44" t="s">
        <v>815</v>
      </c>
      <c r="D412" s="44" t="s">
        <v>816</v>
      </c>
      <c r="E412" s="44" t="s">
        <v>804</v>
      </c>
      <c r="F412" s="44">
        <v>0</v>
      </c>
      <c r="G412" s="44">
        <v>0</v>
      </c>
      <c r="H412" s="44">
        <v>0</v>
      </c>
      <c r="I412" s="44">
        <v>5</v>
      </c>
      <c r="J412" s="44">
        <v>0</v>
      </c>
      <c r="K412" s="123">
        <v>100000</v>
      </c>
      <c r="L412" s="124">
        <f t="shared" si="53"/>
        <v>5</v>
      </c>
      <c r="M412" s="45">
        <f t="shared" si="55"/>
        <v>500000</v>
      </c>
      <c r="N412" s="45">
        <f>M412</f>
        <v>500000</v>
      </c>
      <c r="O412" s="45"/>
      <c r="P412" s="45" t="s">
        <v>6364</v>
      </c>
      <c r="Q412" s="45"/>
      <c r="R412" s="45"/>
      <c r="S412" s="45">
        <f t="shared" si="54"/>
        <v>0</v>
      </c>
      <c r="T412" s="44" t="s">
        <v>19</v>
      </c>
      <c r="U412" s="44" t="s">
        <v>20</v>
      </c>
      <c r="V412" s="43" t="s">
        <v>21</v>
      </c>
      <c r="W412" t="str">
        <f>VLOOKUP(C412,'Data_HS t5'!$B$2:$K$412,10,TRUE)</f>
        <v>Phường Thạch Bàn, Quận Long Biên, Thành phố Hà Nội</v>
      </c>
      <c r="X412" t="str">
        <f>VLOOKUP(C412,'Data_HS t9'!$B$2:$K$454,10,TRUE)</f>
        <v>Tổ dân phố số 36, Phường Ngọc Thụy, Quận Long Biên, Thành phố Hà Nội</v>
      </c>
    </row>
    <row r="413" spans="1:24">
      <c r="A413" s="2">
        <v>403</v>
      </c>
      <c r="B413" s="119">
        <v>202510</v>
      </c>
      <c r="C413" s="44" t="s">
        <v>817</v>
      </c>
      <c r="D413" s="44" t="s">
        <v>818</v>
      </c>
      <c r="E413" s="44" t="s">
        <v>804</v>
      </c>
      <c r="F413" s="44">
        <v>8</v>
      </c>
      <c r="G413" s="44">
        <v>0</v>
      </c>
      <c r="H413" s="44">
        <v>0</v>
      </c>
      <c r="I413" s="44">
        <v>0</v>
      </c>
      <c r="J413" s="44">
        <v>0</v>
      </c>
      <c r="K413" s="123">
        <v>100000</v>
      </c>
      <c r="L413" s="124">
        <f t="shared" si="53"/>
        <v>8</v>
      </c>
      <c r="M413" s="45">
        <f t="shared" si="55"/>
        <v>800000</v>
      </c>
      <c r="N413" s="45">
        <f>M413</f>
        <v>800000</v>
      </c>
      <c r="O413" s="45"/>
      <c r="P413" s="45" t="s">
        <v>2800</v>
      </c>
      <c r="Q413" s="45"/>
      <c r="R413" s="45"/>
      <c r="S413" s="45">
        <f t="shared" si="54"/>
        <v>0</v>
      </c>
      <c r="T413" s="44" t="s">
        <v>19</v>
      </c>
      <c r="U413" s="44" t="s">
        <v>20</v>
      </c>
      <c r="V413" s="43" t="s">
        <v>21</v>
      </c>
      <c r="W413" t="e">
        <f>VLOOKUP(C413,'Data_HS t5'!$B$2:$K$412,10,TRUE)</f>
        <v>#N/A</v>
      </c>
      <c r="X413" t="e">
        <f>VLOOKUP(C413,'Data_HS t9'!$B$2:$K$454,10,TRUE)</f>
        <v>#N/A</v>
      </c>
    </row>
    <row r="414" spans="1:24">
      <c r="A414" s="2">
        <v>404</v>
      </c>
      <c r="B414" s="119">
        <v>202510</v>
      </c>
      <c r="C414" s="44" t="s">
        <v>819</v>
      </c>
      <c r="D414" s="44" t="s">
        <v>820</v>
      </c>
      <c r="E414" s="44" t="s">
        <v>804</v>
      </c>
      <c r="F414" s="44">
        <v>9</v>
      </c>
      <c r="G414" s="44">
        <v>0</v>
      </c>
      <c r="H414" s="44">
        <v>0</v>
      </c>
      <c r="I414" s="44">
        <v>0</v>
      </c>
      <c r="J414" s="44">
        <v>0</v>
      </c>
      <c r="K414" s="123">
        <v>100000</v>
      </c>
      <c r="L414" s="124">
        <f t="shared" si="53"/>
        <v>9</v>
      </c>
      <c r="M414" s="45">
        <f t="shared" si="55"/>
        <v>900000</v>
      </c>
      <c r="N414" s="45">
        <f>M414</f>
        <v>900000</v>
      </c>
      <c r="O414" s="45"/>
      <c r="P414" s="45" t="s">
        <v>3137</v>
      </c>
      <c r="Q414" s="45"/>
      <c r="R414" s="45"/>
      <c r="S414" s="45">
        <f t="shared" si="54"/>
        <v>0</v>
      </c>
      <c r="T414" s="44" t="s">
        <v>19</v>
      </c>
      <c r="U414" s="44" t="s">
        <v>20</v>
      </c>
      <c r="V414" s="43" t="s">
        <v>21</v>
      </c>
      <c r="W414" t="str">
        <f>VLOOKUP(C414,'Data_HS t5'!$B$2:$K$412,10,TRUE)</f>
        <v>Tổ dân phố 21, Phường Phúc Xá, Quận Ba Đình, Thành phố Hà Nội</v>
      </c>
      <c r="X414" t="str">
        <f>VLOOKUP(C414,'Data_HS t9'!$B$2:$K$454,10,TRUE)</f>
        <v>Tổ dân phố số 4, Phường Phúc Đồng, Quận Long Biên, Thành phố Hà Nội</v>
      </c>
    </row>
    <row r="415" spans="1:24" ht="12.6" customHeight="1">
      <c r="A415" s="2">
        <v>405</v>
      </c>
      <c r="B415" s="129">
        <v>202510</v>
      </c>
      <c r="C415" s="64" t="s">
        <v>821</v>
      </c>
      <c r="D415" s="64" t="s">
        <v>822</v>
      </c>
      <c r="E415" s="64" t="s">
        <v>804</v>
      </c>
      <c r="F415" s="64">
        <v>8</v>
      </c>
      <c r="G415" s="64">
        <v>0</v>
      </c>
      <c r="H415" s="64">
        <v>0</v>
      </c>
      <c r="I415" s="64">
        <v>0</v>
      </c>
      <c r="J415" s="64">
        <v>0</v>
      </c>
      <c r="K415" s="126">
        <v>100000</v>
      </c>
      <c r="L415" s="134">
        <f t="shared" si="53"/>
        <v>8</v>
      </c>
      <c r="M415" s="62">
        <f t="shared" si="55"/>
        <v>800000</v>
      </c>
      <c r="N415" s="62">
        <f>500000</f>
        <v>500000</v>
      </c>
      <c r="O415" s="62" t="s">
        <v>6593</v>
      </c>
      <c r="P415" s="45"/>
      <c r="Q415" s="45"/>
      <c r="R415" s="45"/>
      <c r="S415" s="170" t="s">
        <v>7121</v>
      </c>
      <c r="T415" s="44" t="s">
        <v>19</v>
      </c>
      <c r="U415" s="44" t="s">
        <v>20</v>
      </c>
      <c r="V415" s="43" t="s">
        <v>21</v>
      </c>
      <c r="W415">
        <f>VLOOKUP(C415,'Data_HS t5'!$B$2:$K$412,10,TRUE)</f>
        <v>0</v>
      </c>
      <c r="X415" t="str">
        <f>VLOOKUP(C415,'Data_HS t9'!$B$2:$K$454,10,TRUE)</f>
        <v>Tổ 13, Khu Đô thị Việt Hưng, Phường Giang Biên, Quận Long Biên.</v>
      </c>
    </row>
    <row r="416" spans="1:24">
      <c r="A416" s="2">
        <v>406</v>
      </c>
      <c r="B416" s="119">
        <v>202510</v>
      </c>
      <c r="C416" s="44" t="s">
        <v>823</v>
      </c>
      <c r="D416" s="44" t="s">
        <v>824</v>
      </c>
      <c r="E416" s="44" t="s">
        <v>804</v>
      </c>
      <c r="F416" s="44">
        <v>7</v>
      </c>
      <c r="G416" s="44">
        <v>0</v>
      </c>
      <c r="H416" s="44">
        <v>0</v>
      </c>
      <c r="I416" s="44">
        <v>0</v>
      </c>
      <c r="J416" s="44">
        <v>0</v>
      </c>
      <c r="K416" s="123">
        <v>100000</v>
      </c>
      <c r="L416" s="124">
        <f t="shared" si="53"/>
        <v>7</v>
      </c>
      <c r="M416" s="45">
        <f t="shared" si="55"/>
        <v>700000</v>
      </c>
      <c r="N416" s="45">
        <f t="shared" ref="N416:N421" si="59">M416</f>
        <v>700000</v>
      </c>
      <c r="O416" s="45"/>
      <c r="P416" s="45" t="s">
        <v>3058</v>
      </c>
      <c r="Q416" s="45"/>
      <c r="R416" s="45"/>
      <c r="S416" s="45">
        <f t="shared" si="54"/>
        <v>0</v>
      </c>
      <c r="T416" s="44" t="s">
        <v>19</v>
      </c>
      <c r="U416" s="44" t="s">
        <v>20</v>
      </c>
      <c r="V416" s="43" t="s">
        <v>21</v>
      </c>
      <c r="W416">
        <f>VLOOKUP(C416,'Data_HS t5'!$B$2:$K$412,10,TRUE)</f>
        <v>0</v>
      </c>
      <c r="X416" t="str">
        <f>VLOOKUP(C416,'Data_HS t9'!$B$2:$K$454,10,TRUE)</f>
        <v>Tổ dân phố số 12, Phường Thạch Bàn, Quận Long Biên, Thành phố Hà Nội</v>
      </c>
    </row>
    <row r="417" spans="1:25">
      <c r="A417" s="2">
        <v>407</v>
      </c>
      <c r="B417" s="119">
        <v>202510</v>
      </c>
      <c r="C417" s="44" t="s">
        <v>825</v>
      </c>
      <c r="D417" s="44" t="s">
        <v>826</v>
      </c>
      <c r="E417" s="44" t="s">
        <v>804</v>
      </c>
      <c r="F417" s="44">
        <v>9</v>
      </c>
      <c r="G417" s="44">
        <v>0</v>
      </c>
      <c r="H417" s="44">
        <v>0</v>
      </c>
      <c r="I417" s="44">
        <v>5</v>
      </c>
      <c r="J417" s="44">
        <v>0</v>
      </c>
      <c r="K417" s="123">
        <v>100000</v>
      </c>
      <c r="L417" s="124">
        <f t="shared" si="53"/>
        <v>14</v>
      </c>
      <c r="M417" s="45">
        <f t="shared" si="55"/>
        <v>1400000</v>
      </c>
      <c r="N417" s="45">
        <f t="shared" si="59"/>
        <v>1400000</v>
      </c>
      <c r="O417" s="45"/>
      <c r="P417" s="45" t="s">
        <v>6751</v>
      </c>
      <c r="Q417" s="45"/>
      <c r="R417" s="45"/>
      <c r="S417" s="45">
        <f t="shared" si="54"/>
        <v>0</v>
      </c>
      <c r="T417" s="44" t="s">
        <v>19</v>
      </c>
      <c r="U417" s="44" t="s">
        <v>20</v>
      </c>
      <c r="V417" s="43" t="s">
        <v>21</v>
      </c>
      <c r="W417" t="e">
        <f>VLOOKUP(C417,'Data_HS t5'!$B$2:$K$412,10,TRUE)</f>
        <v>#N/A</v>
      </c>
      <c r="X417" t="e">
        <f>VLOOKUP(C417,'Data_HS t9'!$B$2:$K$454,10,TRUE)</f>
        <v>#N/A</v>
      </c>
    </row>
    <row r="418" spans="1:25">
      <c r="A418" s="2">
        <v>408</v>
      </c>
      <c r="B418" s="119">
        <v>202510</v>
      </c>
      <c r="C418" s="44" t="s">
        <v>827</v>
      </c>
      <c r="D418" s="44" t="s">
        <v>828</v>
      </c>
      <c r="E418" s="44" t="s">
        <v>804</v>
      </c>
      <c r="F418" s="44">
        <v>9</v>
      </c>
      <c r="G418" s="44">
        <v>0</v>
      </c>
      <c r="H418" s="44">
        <v>0</v>
      </c>
      <c r="I418" s="44">
        <v>0</v>
      </c>
      <c r="J418" s="44">
        <v>0</v>
      </c>
      <c r="K418" s="123">
        <v>100000</v>
      </c>
      <c r="L418" s="124">
        <f t="shared" si="53"/>
        <v>9</v>
      </c>
      <c r="M418" s="45">
        <f t="shared" si="55"/>
        <v>900000</v>
      </c>
      <c r="N418" s="45">
        <f t="shared" si="59"/>
        <v>900000</v>
      </c>
      <c r="O418" s="45" t="s">
        <v>1725</v>
      </c>
      <c r="P418" s="45"/>
      <c r="Q418" s="45"/>
      <c r="R418" s="45"/>
      <c r="S418" s="45">
        <f t="shared" si="54"/>
        <v>0</v>
      </c>
      <c r="T418" s="44" t="s">
        <v>19</v>
      </c>
      <c r="U418" s="44" t="s">
        <v>20</v>
      </c>
      <c r="V418" s="43" t="s">
        <v>21</v>
      </c>
      <c r="W418">
        <f>VLOOKUP(C418,'Data_HS t5'!$B$2:$K$412,10,TRUE)</f>
        <v>0</v>
      </c>
      <c r="X418" t="str">
        <f>VLOOKUP(C418,'Data_HS t9'!$B$2:$K$454,10,TRUE)</f>
        <v>Phường Phúc Lợi, Quận Long Biên, Thành phố Hà Nội</v>
      </c>
      <c r="Y418" t="s">
        <v>3151</v>
      </c>
    </row>
    <row r="419" spans="1:25">
      <c r="A419" s="2">
        <v>409</v>
      </c>
      <c r="B419" s="119">
        <v>202510</v>
      </c>
      <c r="C419" s="44" t="s">
        <v>829</v>
      </c>
      <c r="D419" s="44" t="s">
        <v>830</v>
      </c>
      <c r="E419" s="44" t="s">
        <v>804</v>
      </c>
      <c r="F419" s="44">
        <v>9</v>
      </c>
      <c r="G419" s="44">
        <v>0</v>
      </c>
      <c r="H419" s="44">
        <v>0</v>
      </c>
      <c r="I419" s="44">
        <v>0</v>
      </c>
      <c r="J419" s="44">
        <v>0</v>
      </c>
      <c r="K419" s="123">
        <v>100000</v>
      </c>
      <c r="L419" s="124">
        <f t="shared" si="53"/>
        <v>9</v>
      </c>
      <c r="M419" s="45">
        <f t="shared" si="55"/>
        <v>900000</v>
      </c>
      <c r="N419" s="45">
        <f t="shared" si="59"/>
        <v>900000</v>
      </c>
      <c r="O419" s="45"/>
      <c r="P419" s="45" t="s">
        <v>2103</v>
      </c>
      <c r="Q419" s="45"/>
      <c r="R419" s="45"/>
      <c r="S419" s="45">
        <f t="shared" si="54"/>
        <v>0</v>
      </c>
      <c r="T419" s="44" t="s">
        <v>19</v>
      </c>
      <c r="U419" s="44" t="s">
        <v>20</v>
      </c>
      <c r="V419" s="43" t="s">
        <v>21</v>
      </c>
      <c r="W419">
        <f>VLOOKUP(C419,'Data_HS t5'!$B$2:$K$412,10,TRUE)</f>
        <v>0</v>
      </c>
      <c r="X419" t="str">
        <f>VLOOKUP(C419,'Data_HS t9'!$B$2:$K$454,10,TRUE)</f>
        <v>Phường Phúc Lợi, Quận Long Biên, Thành phố Hà Nội</v>
      </c>
    </row>
    <row r="420" spans="1:25">
      <c r="A420" s="2">
        <v>410</v>
      </c>
      <c r="B420" s="119">
        <v>202510</v>
      </c>
      <c r="C420" s="44" t="s">
        <v>693</v>
      </c>
      <c r="D420" s="44" t="s">
        <v>831</v>
      </c>
      <c r="E420" s="44" t="s">
        <v>804</v>
      </c>
      <c r="F420" s="44">
        <v>9</v>
      </c>
      <c r="G420" s="44">
        <v>0</v>
      </c>
      <c r="H420" s="44">
        <v>0</v>
      </c>
      <c r="I420" s="44">
        <v>0</v>
      </c>
      <c r="J420" s="44">
        <v>0</v>
      </c>
      <c r="K420" s="123">
        <v>100000</v>
      </c>
      <c r="L420" s="124">
        <f t="shared" si="53"/>
        <v>9</v>
      </c>
      <c r="M420" s="45">
        <f t="shared" si="55"/>
        <v>900000</v>
      </c>
      <c r="N420" s="45">
        <f t="shared" si="59"/>
        <v>900000</v>
      </c>
      <c r="O420" s="45"/>
      <c r="P420" s="45" t="s">
        <v>2767</v>
      </c>
      <c r="Q420" s="45"/>
      <c r="R420" s="45"/>
      <c r="S420" s="45">
        <f t="shared" si="54"/>
        <v>0</v>
      </c>
      <c r="T420" s="44" t="s">
        <v>19</v>
      </c>
      <c r="U420" s="44" t="s">
        <v>20</v>
      </c>
      <c r="V420" s="43" t="s">
        <v>21</v>
      </c>
      <c r="W420" t="str">
        <f>VLOOKUP(C420,'Data_HS t5'!$B$2:$K$412,10,TRUE)</f>
        <v>Tổ dân phố 21, Phường Phúc Xá, Quận Ba Đình, Thành phố Hà Nội</v>
      </c>
      <c r="X420" t="str">
        <f>VLOOKUP(C420,'Data_HS t9'!$B$2:$K$454,10,TRUE)</f>
        <v>Tổ dân phố số 4, Phường Phúc Đồng, Quận Long Biên, Thành phố Hà Nội</v>
      </c>
    </row>
    <row r="421" spans="1:25">
      <c r="A421" s="2">
        <v>411</v>
      </c>
      <c r="B421" s="119">
        <v>202510</v>
      </c>
      <c r="C421" s="44" t="s">
        <v>832</v>
      </c>
      <c r="D421" s="44" t="s">
        <v>833</v>
      </c>
      <c r="E421" s="44" t="s">
        <v>804</v>
      </c>
      <c r="F421" s="44">
        <v>9</v>
      </c>
      <c r="G421" s="44">
        <v>0</v>
      </c>
      <c r="H421" s="44">
        <v>0</v>
      </c>
      <c r="I421" s="44">
        <v>0</v>
      </c>
      <c r="J421" s="44">
        <v>0</v>
      </c>
      <c r="K421" s="123">
        <v>100000</v>
      </c>
      <c r="L421" s="124">
        <f t="shared" si="53"/>
        <v>9</v>
      </c>
      <c r="M421" s="45">
        <f t="shared" si="55"/>
        <v>900000</v>
      </c>
      <c r="N421" s="45">
        <f t="shared" si="59"/>
        <v>900000</v>
      </c>
      <c r="O421" s="45"/>
      <c r="P421" s="45" t="s">
        <v>2690</v>
      </c>
      <c r="Q421" s="45"/>
      <c r="R421" s="45"/>
      <c r="S421" s="45">
        <f t="shared" si="54"/>
        <v>0</v>
      </c>
      <c r="T421" s="44" t="s">
        <v>19</v>
      </c>
      <c r="U421" s="44" t="s">
        <v>20</v>
      </c>
      <c r="V421" s="43" t="s">
        <v>21</v>
      </c>
      <c r="W421">
        <f>VLOOKUP(C421,'Data_HS t5'!$B$2:$K$412,10,TRUE)</f>
        <v>0</v>
      </c>
      <c r="X421" t="str">
        <f>VLOOKUP(C421,'Data_HS t9'!$B$2:$K$454,10,TRUE)</f>
        <v>Phường Phúc Lợi, Quận Long Biên, Thành phố Hà Nội</v>
      </c>
    </row>
    <row r="422" spans="1:25">
      <c r="A422" s="2">
        <v>412</v>
      </c>
      <c r="B422" s="119">
        <v>202510</v>
      </c>
      <c r="C422" s="44" t="s">
        <v>834</v>
      </c>
      <c r="D422" s="44" t="s">
        <v>835</v>
      </c>
      <c r="E422" s="44" t="s">
        <v>804</v>
      </c>
      <c r="F422" s="44">
        <v>9</v>
      </c>
      <c r="G422" s="44">
        <v>0</v>
      </c>
      <c r="H422" s="44">
        <v>0</v>
      </c>
      <c r="I422" s="44">
        <v>0</v>
      </c>
      <c r="J422" s="44">
        <v>0</v>
      </c>
      <c r="K422" s="123">
        <v>100000</v>
      </c>
      <c r="L422" s="124">
        <f t="shared" si="53"/>
        <v>9</v>
      </c>
      <c r="M422" s="45">
        <f t="shared" si="55"/>
        <v>900000</v>
      </c>
      <c r="N422" s="45">
        <f>M422</f>
        <v>900000</v>
      </c>
      <c r="O422" s="45"/>
      <c r="P422" s="45" t="s">
        <v>7074</v>
      </c>
      <c r="Q422" s="45"/>
      <c r="R422" s="45"/>
      <c r="S422" s="45">
        <f t="shared" si="54"/>
        <v>0</v>
      </c>
      <c r="T422" s="44" t="s">
        <v>19</v>
      </c>
      <c r="U422" s="44" t="s">
        <v>20</v>
      </c>
      <c r="V422" s="43" t="s">
        <v>21</v>
      </c>
      <c r="W422" t="str">
        <f>VLOOKUP(C422,'Data_HS t5'!$B$2:$K$412,10,TRUE)</f>
        <v>Tổ dân phố số 1, Phường Ngọc Lâm, Quận Long Biên, Thành phố Hà Nội</v>
      </c>
      <c r="X422" t="str">
        <f>VLOOKUP(C422,'Data_HS t9'!$B$2:$K$454,10,TRUE)</f>
        <v>Tổ 1, Phường Long Biên, Quận Long Biên, Thành phố Hà Nội</v>
      </c>
    </row>
    <row r="423" spans="1:25">
      <c r="A423" s="2">
        <v>413</v>
      </c>
      <c r="B423" s="119">
        <v>202510</v>
      </c>
      <c r="C423" s="44" t="s">
        <v>836</v>
      </c>
      <c r="D423" s="44" t="s">
        <v>837</v>
      </c>
      <c r="E423" s="44" t="s">
        <v>804</v>
      </c>
      <c r="F423" s="44">
        <v>13</v>
      </c>
      <c r="G423" s="44">
        <v>0</v>
      </c>
      <c r="H423" s="44">
        <v>0</v>
      </c>
      <c r="I423" s="44">
        <v>0</v>
      </c>
      <c r="J423" s="44">
        <v>0</v>
      </c>
      <c r="K423" s="123">
        <v>100000</v>
      </c>
      <c r="L423" s="124">
        <f t="shared" si="53"/>
        <v>13</v>
      </c>
      <c r="M423" s="45">
        <f t="shared" si="55"/>
        <v>1300000</v>
      </c>
      <c r="N423" s="45">
        <f>M423</f>
        <v>1300000</v>
      </c>
      <c r="O423" s="45"/>
      <c r="P423" s="45" t="s">
        <v>2094</v>
      </c>
      <c r="Q423" s="45"/>
      <c r="R423" s="45"/>
      <c r="S423" s="45">
        <f t="shared" si="54"/>
        <v>0</v>
      </c>
      <c r="T423" s="44" t="s">
        <v>19</v>
      </c>
      <c r="U423" s="44" t="s">
        <v>20</v>
      </c>
      <c r="V423" s="43" t="s">
        <v>21</v>
      </c>
      <c r="W423" t="str">
        <f>VLOOKUP(C423,'Data_HS t5'!$B$2:$K$412,10,TRUE)</f>
        <v>Tổ dân phố số 23, Phường Bồ Đề, Quận Long Biên, Thành phố Hà Nội</v>
      </c>
      <c r="X423" t="str">
        <f>VLOOKUP(C423,'Data_HS t9'!$B$2:$K$454,10,TRUE)</f>
        <v>5/366/36/4, Ngọc Lâm, LB</v>
      </c>
    </row>
    <row r="424" spans="1:25">
      <c r="A424" s="2">
        <v>414</v>
      </c>
      <c r="B424" s="119">
        <v>202510</v>
      </c>
      <c r="C424" s="44" t="s">
        <v>838</v>
      </c>
      <c r="D424" s="44" t="s">
        <v>839</v>
      </c>
      <c r="E424" s="44" t="s">
        <v>804</v>
      </c>
      <c r="F424" s="44">
        <v>9</v>
      </c>
      <c r="G424" s="44">
        <v>0</v>
      </c>
      <c r="H424" s="44">
        <v>0</v>
      </c>
      <c r="I424" s="44">
        <v>0</v>
      </c>
      <c r="J424" s="44">
        <v>0</v>
      </c>
      <c r="K424" s="123">
        <v>100000</v>
      </c>
      <c r="L424" s="124">
        <f t="shared" si="53"/>
        <v>9</v>
      </c>
      <c r="M424" s="45">
        <f t="shared" si="55"/>
        <v>900000</v>
      </c>
      <c r="N424" s="45">
        <f>M424</f>
        <v>900000</v>
      </c>
      <c r="O424" s="45"/>
      <c r="P424" s="45" t="s">
        <v>6077</v>
      </c>
      <c r="Q424" s="45"/>
      <c r="R424" s="45"/>
      <c r="S424" s="45">
        <f t="shared" si="54"/>
        <v>0</v>
      </c>
      <c r="T424" s="44" t="s">
        <v>19</v>
      </c>
      <c r="U424" s="44" t="s">
        <v>20</v>
      </c>
      <c r="V424" s="43" t="s">
        <v>21</v>
      </c>
      <c r="W424" t="e">
        <f>VLOOKUP(C424,'Data_HS t5'!$B$2:$K$412,10,TRUE)</f>
        <v>#N/A</v>
      </c>
      <c r="X424" t="str">
        <f>VLOOKUP(C424,'Data_HS t9'!$B$2:$K$454,10,TRUE)</f>
        <v>Tổ dân phố số 36, Phường Ngọc Thụy, Quận Long Biên, Thành phố Hà Nội</v>
      </c>
    </row>
    <row r="425" spans="1:25">
      <c r="A425" s="2">
        <v>415</v>
      </c>
      <c r="B425" s="119">
        <v>202510</v>
      </c>
      <c r="C425" s="44" t="s">
        <v>840</v>
      </c>
      <c r="D425" s="44" t="s">
        <v>841</v>
      </c>
      <c r="E425" s="44" t="s">
        <v>804</v>
      </c>
      <c r="F425" s="44">
        <v>9</v>
      </c>
      <c r="G425" s="44">
        <v>0</v>
      </c>
      <c r="H425" s="44">
        <v>0</v>
      </c>
      <c r="I425" s="44">
        <v>0</v>
      </c>
      <c r="J425" s="44">
        <v>0</v>
      </c>
      <c r="K425" s="123">
        <v>100000</v>
      </c>
      <c r="L425" s="124">
        <f t="shared" si="53"/>
        <v>9</v>
      </c>
      <c r="M425" s="45">
        <f t="shared" si="55"/>
        <v>900000</v>
      </c>
      <c r="N425" s="45">
        <f>M425</f>
        <v>900000</v>
      </c>
      <c r="O425" s="45"/>
      <c r="P425" s="45" t="s">
        <v>2801</v>
      </c>
      <c r="Q425" s="45"/>
      <c r="R425" s="45"/>
      <c r="S425" s="45">
        <f t="shared" si="54"/>
        <v>0</v>
      </c>
      <c r="T425" s="44" t="s">
        <v>19</v>
      </c>
      <c r="U425" s="44" t="s">
        <v>20</v>
      </c>
      <c r="V425" s="43" t="s">
        <v>21</v>
      </c>
      <c r="W425" t="str">
        <f>VLOOKUP(C425,'Data_HS t5'!$B$2:$K$412,10,TRUE)</f>
        <v>Xã Đa Tốn, Huyện Gia Lâm, Thành phố Hà Nội</v>
      </c>
      <c r="X425" t="str">
        <f>VLOOKUP(C425,'Data_HS t9'!$B$2:$K$454,10,TRUE)</f>
        <v>5/366/36/4, Ngọc Lâm, LB</v>
      </c>
    </row>
    <row r="426" spans="1:25">
      <c r="A426" s="2">
        <v>416</v>
      </c>
      <c r="B426" s="119">
        <v>202510</v>
      </c>
      <c r="C426" s="44" t="s">
        <v>842</v>
      </c>
      <c r="D426" s="44" t="s">
        <v>843</v>
      </c>
      <c r="E426" s="44" t="s">
        <v>804</v>
      </c>
      <c r="F426" s="44">
        <v>9</v>
      </c>
      <c r="G426" s="44">
        <v>0</v>
      </c>
      <c r="H426" s="44">
        <v>0</v>
      </c>
      <c r="I426" s="44">
        <v>0</v>
      </c>
      <c r="J426" s="44">
        <v>0</v>
      </c>
      <c r="K426" s="123">
        <v>100000</v>
      </c>
      <c r="L426" s="124">
        <f t="shared" si="53"/>
        <v>9</v>
      </c>
      <c r="M426" s="45">
        <f t="shared" si="55"/>
        <v>900000</v>
      </c>
      <c r="N426" s="45">
        <f>M426</f>
        <v>900000</v>
      </c>
      <c r="O426" s="45"/>
      <c r="P426" s="45" t="s">
        <v>7095</v>
      </c>
      <c r="Q426" s="45"/>
      <c r="R426" s="45"/>
      <c r="S426" s="45">
        <f t="shared" si="54"/>
        <v>0</v>
      </c>
      <c r="T426" s="44" t="s">
        <v>19</v>
      </c>
      <c r="U426" s="44" t="s">
        <v>20</v>
      </c>
      <c r="V426" s="43" t="s">
        <v>21</v>
      </c>
      <c r="W426" t="str">
        <f>VLOOKUP(C426,'Data_HS t5'!$B$2:$K$412,10,TRUE)</f>
        <v>Tổ dân phố số 1, Phường Ngọc Lâm, Quận Long Biên, Thành phố Hà Nội</v>
      </c>
      <c r="X426" t="str">
        <f>VLOOKUP(C426,'Data_HS t9'!$B$2:$K$454,10,TRUE)</f>
        <v>Tổ 1, Phường Long Biên, Quận Long Biên, Thành phố Hà Nội</v>
      </c>
    </row>
    <row r="427" spans="1:25">
      <c r="A427" s="2">
        <v>417</v>
      </c>
      <c r="B427" s="119">
        <v>202510</v>
      </c>
      <c r="C427" s="44" t="s">
        <v>844</v>
      </c>
      <c r="D427" s="44" t="s">
        <v>845</v>
      </c>
      <c r="E427" s="44" t="s">
        <v>804</v>
      </c>
      <c r="F427" s="44">
        <v>9</v>
      </c>
      <c r="G427" s="44">
        <v>0</v>
      </c>
      <c r="H427" s="44">
        <v>0</v>
      </c>
      <c r="I427" s="44">
        <v>0</v>
      </c>
      <c r="J427" s="44">
        <v>0</v>
      </c>
      <c r="K427" s="123">
        <v>100000</v>
      </c>
      <c r="L427" s="124">
        <f t="shared" si="53"/>
        <v>9</v>
      </c>
      <c r="M427" s="45">
        <f t="shared" si="55"/>
        <v>900000</v>
      </c>
      <c r="N427" s="45">
        <f t="shared" ref="N427:N432" si="60">M427</f>
        <v>900000</v>
      </c>
      <c r="O427" s="45"/>
      <c r="P427" s="45" t="s">
        <v>2822</v>
      </c>
      <c r="Q427" s="45"/>
      <c r="R427" s="45"/>
      <c r="S427" s="45">
        <f t="shared" si="54"/>
        <v>0</v>
      </c>
      <c r="T427" s="44" t="s">
        <v>19</v>
      </c>
      <c r="U427" s="44" t="s">
        <v>20</v>
      </c>
      <c r="V427" s="43" t="s">
        <v>21</v>
      </c>
      <c r="W427" t="str">
        <f>VLOOKUP(C427,'Data_HS t5'!$B$2:$K$412,10,TRUE)</f>
        <v>Phường Thạch Bàn, Quận Long Biên, Thành phố Hà Nội</v>
      </c>
      <c r="X427" t="str">
        <f>VLOOKUP(C427,'Data_HS t9'!$B$2:$K$454,10,TRUE)</f>
        <v>Phường Sài Đồng, Quận Long Biên, Thành phố Hà Nội</v>
      </c>
    </row>
    <row r="428" spans="1:25">
      <c r="A428" s="2">
        <v>418</v>
      </c>
      <c r="B428" s="119">
        <v>202510</v>
      </c>
      <c r="C428" s="44" t="s">
        <v>846</v>
      </c>
      <c r="D428" s="44" t="s">
        <v>847</v>
      </c>
      <c r="E428" s="44" t="s">
        <v>804</v>
      </c>
      <c r="F428" s="44">
        <v>9</v>
      </c>
      <c r="G428" s="44">
        <v>0</v>
      </c>
      <c r="H428" s="44">
        <v>0</v>
      </c>
      <c r="I428" s="44">
        <v>5</v>
      </c>
      <c r="J428" s="44">
        <v>0</v>
      </c>
      <c r="K428" s="123">
        <v>100000</v>
      </c>
      <c r="L428" s="124">
        <f t="shared" si="53"/>
        <v>14</v>
      </c>
      <c r="M428" s="45">
        <f t="shared" si="55"/>
        <v>1400000</v>
      </c>
      <c r="N428" s="45">
        <f t="shared" si="60"/>
        <v>1400000</v>
      </c>
      <c r="O428" s="45"/>
      <c r="P428" s="45" t="s">
        <v>2797</v>
      </c>
      <c r="Q428" s="45"/>
      <c r="R428" s="45"/>
      <c r="S428" s="45">
        <f t="shared" si="54"/>
        <v>0</v>
      </c>
      <c r="T428" s="44" t="s">
        <v>19</v>
      </c>
      <c r="U428" s="44" t="s">
        <v>20</v>
      </c>
      <c r="V428" s="43" t="s">
        <v>21</v>
      </c>
      <c r="W428">
        <f>VLOOKUP(C428,'Data_HS t5'!$B$2:$K$412,10,TRUE)</f>
        <v>0</v>
      </c>
      <c r="X428" t="str">
        <f>VLOOKUP(C428,'Data_HS t9'!$B$2:$K$454,10,TRUE)</f>
        <v>Tổ 13, Khu Đô thị Việt Hưng, Phường Giang Biên, Quận Long Biên.</v>
      </c>
    </row>
    <row r="429" spans="1:25">
      <c r="A429" s="2">
        <v>419</v>
      </c>
      <c r="B429" s="119">
        <v>202510</v>
      </c>
      <c r="C429" s="44" t="s">
        <v>848</v>
      </c>
      <c r="D429" s="44" t="s">
        <v>849</v>
      </c>
      <c r="E429" s="44" t="s">
        <v>804</v>
      </c>
      <c r="F429" s="44">
        <v>9</v>
      </c>
      <c r="G429" s="44">
        <v>0</v>
      </c>
      <c r="H429" s="44">
        <v>0</v>
      </c>
      <c r="I429" s="44">
        <v>0</v>
      </c>
      <c r="J429" s="44">
        <v>0</v>
      </c>
      <c r="K429" s="123">
        <v>100000</v>
      </c>
      <c r="L429" s="124">
        <f t="shared" si="53"/>
        <v>9</v>
      </c>
      <c r="M429" s="45">
        <f t="shared" si="55"/>
        <v>900000</v>
      </c>
      <c r="N429" s="45">
        <f t="shared" si="60"/>
        <v>900000</v>
      </c>
      <c r="O429" s="45"/>
      <c r="P429" s="45" t="s">
        <v>6736</v>
      </c>
      <c r="Q429" s="45"/>
      <c r="R429" s="45"/>
      <c r="S429" s="45">
        <f t="shared" si="54"/>
        <v>0</v>
      </c>
      <c r="T429" s="44" t="s">
        <v>19</v>
      </c>
      <c r="U429" s="44" t="s">
        <v>20</v>
      </c>
      <c r="V429" s="43" t="s">
        <v>21</v>
      </c>
      <c r="W429" t="str">
        <f>VLOOKUP(C429,'Data_HS t5'!$B$2:$K$412,10,TRUE)</f>
        <v>Tổ dân phố số 4, Phường Thạch Bàn, Quận Long Biên, Thành phố Hà Nội</v>
      </c>
      <c r="X429" t="e">
        <f>VLOOKUP(C429,'Data_HS t9'!$B$2:$K$454,10,TRUE)</f>
        <v>#N/A</v>
      </c>
    </row>
    <row r="430" spans="1:25">
      <c r="A430" s="2">
        <v>420</v>
      </c>
      <c r="B430" s="119">
        <v>202510</v>
      </c>
      <c r="C430" s="44" t="s">
        <v>850</v>
      </c>
      <c r="D430" s="44" t="s">
        <v>851</v>
      </c>
      <c r="E430" s="44" t="s">
        <v>804</v>
      </c>
      <c r="F430" s="44">
        <v>9</v>
      </c>
      <c r="G430" s="44">
        <v>0</v>
      </c>
      <c r="H430" s="44">
        <v>0</v>
      </c>
      <c r="I430" s="44">
        <v>0</v>
      </c>
      <c r="J430" s="44">
        <v>0</v>
      </c>
      <c r="K430" s="123">
        <v>100000</v>
      </c>
      <c r="L430" s="124">
        <f t="shared" si="53"/>
        <v>9</v>
      </c>
      <c r="M430" s="45">
        <f t="shared" si="55"/>
        <v>900000</v>
      </c>
      <c r="N430" s="45">
        <f t="shared" si="60"/>
        <v>900000</v>
      </c>
      <c r="O430" s="45"/>
      <c r="P430" s="45" t="s">
        <v>2708</v>
      </c>
      <c r="Q430" s="45"/>
      <c r="R430" s="45"/>
      <c r="S430" s="45">
        <f t="shared" si="54"/>
        <v>0</v>
      </c>
      <c r="T430" s="44" t="s">
        <v>19</v>
      </c>
      <c r="U430" s="44" t="s">
        <v>20</v>
      </c>
      <c r="V430" s="43" t="s">
        <v>21</v>
      </c>
      <c r="W430" t="e">
        <f>VLOOKUP(C430,'Data_HS t5'!$B$2:$K$412,10,TRUE)</f>
        <v>#N/A</v>
      </c>
      <c r="X430" t="e">
        <f>VLOOKUP(C430,'Data_HS t9'!$B$2:$K$454,10,TRUE)</f>
        <v>#N/A</v>
      </c>
    </row>
    <row r="431" spans="1:25">
      <c r="A431" s="2">
        <v>421</v>
      </c>
      <c r="B431" s="119">
        <v>202510</v>
      </c>
      <c r="C431" s="44" t="s">
        <v>852</v>
      </c>
      <c r="D431" s="44" t="s">
        <v>853</v>
      </c>
      <c r="E431" s="44" t="s">
        <v>804</v>
      </c>
      <c r="F431" s="44">
        <v>9</v>
      </c>
      <c r="G431" s="44">
        <v>0</v>
      </c>
      <c r="H431" s="44">
        <v>0</v>
      </c>
      <c r="I431" s="44">
        <v>0</v>
      </c>
      <c r="J431" s="44">
        <v>0</v>
      </c>
      <c r="K431" s="123">
        <v>100000</v>
      </c>
      <c r="L431" s="124">
        <f t="shared" si="53"/>
        <v>9</v>
      </c>
      <c r="M431" s="45">
        <f t="shared" si="55"/>
        <v>900000</v>
      </c>
      <c r="N431" s="45">
        <f t="shared" si="60"/>
        <v>900000</v>
      </c>
      <c r="O431" s="45"/>
      <c r="P431" s="45" t="s">
        <v>2109</v>
      </c>
      <c r="Q431" s="45"/>
      <c r="R431" s="45"/>
      <c r="S431" s="45">
        <f t="shared" si="54"/>
        <v>0</v>
      </c>
      <c r="T431" s="44" t="s">
        <v>19</v>
      </c>
      <c r="U431" s="44" t="s">
        <v>20</v>
      </c>
      <c r="V431" s="43" t="s">
        <v>21</v>
      </c>
      <c r="W431" t="e">
        <f>VLOOKUP(C431,'Data_HS t5'!$B$2:$K$412,10,TRUE)</f>
        <v>#N/A</v>
      </c>
      <c r="X431" t="e">
        <f>VLOOKUP(C431,'Data_HS t9'!$B$2:$K$454,10,TRUE)</f>
        <v>#N/A</v>
      </c>
    </row>
    <row r="432" spans="1:25">
      <c r="A432" s="2">
        <v>422</v>
      </c>
      <c r="B432" s="119">
        <v>202510</v>
      </c>
      <c r="C432" s="44" t="s">
        <v>854</v>
      </c>
      <c r="D432" s="44" t="s">
        <v>855</v>
      </c>
      <c r="E432" s="44" t="s">
        <v>804</v>
      </c>
      <c r="F432" s="44">
        <v>9</v>
      </c>
      <c r="G432" s="44">
        <v>0</v>
      </c>
      <c r="H432" s="44">
        <v>0</v>
      </c>
      <c r="I432" s="44">
        <v>0</v>
      </c>
      <c r="J432" s="44">
        <v>0</v>
      </c>
      <c r="K432" s="123">
        <v>100000</v>
      </c>
      <c r="L432" s="124">
        <f t="shared" si="53"/>
        <v>9</v>
      </c>
      <c r="M432" s="45">
        <f t="shared" si="55"/>
        <v>900000</v>
      </c>
      <c r="N432" s="45">
        <f t="shared" si="60"/>
        <v>900000</v>
      </c>
      <c r="O432" s="45"/>
      <c r="P432" s="45" t="s">
        <v>6575</v>
      </c>
      <c r="Q432" s="45"/>
      <c r="R432" s="45"/>
      <c r="S432" s="45">
        <f t="shared" si="54"/>
        <v>0</v>
      </c>
      <c r="T432" s="44" t="s">
        <v>19</v>
      </c>
      <c r="U432" s="44" t="s">
        <v>20</v>
      </c>
      <c r="V432" s="43" t="s">
        <v>21</v>
      </c>
      <c r="W432" t="str">
        <f>VLOOKUP(C432,'Data_HS t5'!$B$2:$K$412,10,TRUE)</f>
        <v>Phường Thạch Bàn, Quận Long Biên, Thành phố Hà Nội</v>
      </c>
      <c r="X432" t="e">
        <f>VLOOKUP(C432,'Data_HS t9'!$B$2:$K$454,10,TRUE)</f>
        <v>#N/A</v>
      </c>
    </row>
    <row r="433" spans="1:24" ht="27.6" customHeight="1">
      <c r="A433" s="2">
        <v>423</v>
      </c>
      <c r="B433" s="119">
        <v>202510</v>
      </c>
      <c r="C433" s="44" t="s">
        <v>856</v>
      </c>
      <c r="D433" s="44" t="s">
        <v>857</v>
      </c>
      <c r="E433" s="44" t="s">
        <v>804</v>
      </c>
      <c r="F433" s="44">
        <v>9</v>
      </c>
      <c r="G433" s="44">
        <v>0</v>
      </c>
      <c r="H433" s="44">
        <v>0</v>
      </c>
      <c r="I433" s="44">
        <v>3</v>
      </c>
      <c r="J433" s="44">
        <v>0</v>
      </c>
      <c r="K433" s="123">
        <v>100000</v>
      </c>
      <c r="L433" s="124">
        <f t="shared" si="53"/>
        <v>12</v>
      </c>
      <c r="M433" s="45">
        <f t="shared" si="55"/>
        <v>1200000</v>
      </c>
      <c r="N433" s="45">
        <f>400000+900000</f>
        <v>1300000</v>
      </c>
      <c r="O433" s="45"/>
      <c r="P433" s="61" t="s">
        <v>6590</v>
      </c>
      <c r="Q433" s="45"/>
      <c r="R433" s="45"/>
      <c r="S433" s="62">
        <f t="shared" si="54"/>
        <v>-100000</v>
      </c>
      <c r="T433" s="44" t="s">
        <v>19</v>
      </c>
      <c r="U433" s="44" t="s">
        <v>20</v>
      </c>
      <c r="V433" s="43" t="s">
        <v>21</v>
      </c>
      <c r="W433" t="str">
        <f>VLOOKUP(C433,'Data_HS t5'!$B$2:$K$412,10,TRUE)</f>
        <v>Tổ dân phố 21, Phường Phúc Xá, Quận Ba Đình, Thành phố Hà Nội</v>
      </c>
      <c r="X433" t="str">
        <f>VLOOKUP(C433,'Data_HS t9'!$B$2:$K$454,10,TRUE)</f>
        <v>Tổ dân phố số 11, Phường Sài Đồng, Quận Long Biên, Thành phố Hà Nội</v>
      </c>
    </row>
    <row r="434" spans="1:24">
      <c r="A434" s="2">
        <v>424</v>
      </c>
      <c r="B434" s="119">
        <v>202510</v>
      </c>
      <c r="C434" s="44" t="s">
        <v>858</v>
      </c>
      <c r="D434" s="44" t="s">
        <v>859</v>
      </c>
      <c r="E434" s="44" t="s">
        <v>804</v>
      </c>
      <c r="F434" s="44">
        <v>9</v>
      </c>
      <c r="G434" s="44">
        <v>0</v>
      </c>
      <c r="H434" s="44">
        <v>0</v>
      </c>
      <c r="I434" s="44">
        <v>5</v>
      </c>
      <c r="J434" s="44">
        <v>0</v>
      </c>
      <c r="K434" s="123">
        <v>100000</v>
      </c>
      <c r="L434" s="124">
        <f t="shared" si="53"/>
        <v>14</v>
      </c>
      <c r="M434" s="45">
        <f t="shared" si="55"/>
        <v>1400000</v>
      </c>
      <c r="N434" s="45">
        <f t="shared" ref="N434:N444" si="61">M434</f>
        <v>1400000</v>
      </c>
      <c r="O434" s="45"/>
      <c r="P434" s="45" t="s">
        <v>2824</v>
      </c>
      <c r="Q434" s="45"/>
      <c r="R434" s="45"/>
      <c r="S434" s="45">
        <f t="shared" si="54"/>
        <v>0</v>
      </c>
      <c r="T434" s="44" t="s">
        <v>19</v>
      </c>
      <c r="U434" s="44" t="s">
        <v>20</v>
      </c>
      <c r="V434" s="43" t="s">
        <v>21</v>
      </c>
      <c r="W434">
        <f>VLOOKUP(C434,'Data_HS t5'!$B$2:$K$412,10,TRUE)</f>
        <v>0</v>
      </c>
      <c r="X434" t="str">
        <f>VLOOKUP(C434,'Data_HS t9'!$B$2:$K$454,10,TRUE)</f>
        <v>Tổ dân phố số 11, Phường Sài Đồng, Quận Long Biên, Thành phố Hà Nội</v>
      </c>
    </row>
    <row r="435" spans="1:24">
      <c r="A435" s="2">
        <v>425</v>
      </c>
      <c r="B435" s="119">
        <v>202510</v>
      </c>
      <c r="C435" s="44" t="s">
        <v>860</v>
      </c>
      <c r="D435" s="44" t="s">
        <v>861</v>
      </c>
      <c r="E435" s="44" t="s">
        <v>804</v>
      </c>
      <c r="F435" s="44">
        <v>9</v>
      </c>
      <c r="G435" s="44">
        <v>0</v>
      </c>
      <c r="H435" s="44">
        <v>0</v>
      </c>
      <c r="I435" s="44">
        <v>5</v>
      </c>
      <c r="J435" s="44">
        <v>0</v>
      </c>
      <c r="K435" s="123">
        <v>100000</v>
      </c>
      <c r="L435" s="124">
        <f t="shared" si="53"/>
        <v>14</v>
      </c>
      <c r="M435" s="45">
        <f t="shared" si="55"/>
        <v>1400000</v>
      </c>
      <c r="N435" s="45">
        <f t="shared" si="61"/>
        <v>1400000</v>
      </c>
      <c r="O435" s="45"/>
      <c r="P435" s="45" t="s">
        <v>2753</v>
      </c>
      <c r="Q435" s="45"/>
      <c r="R435" s="45"/>
      <c r="S435" s="45">
        <f t="shared" si="54"/>
        <v>0</v>
      </c>
      <c r="T435" s="44" t="s">
        <v>19</v>
      </c>
      <c r="U435" s="44" t="s">
        <v>20</v>
      </c>
      <c r="V435" s="43" t="s">
        <v>21</v>
      </c>
      <c r="W435" t="e">
        <f>VLOOKUP(C435,'Data_HS t5'!$B$2:$K$412,10,TRUE)</f>
        <v>#N/A</v>
      </c>
      <c r="X435" t="e">
        <f>VLOOKUP(C435,'Data_HS t9'!$B$2:$K$454,10,TRUE)</f>
        <v>#N/A</v>
      </c>
    </row>
    <row r="436" spans="1:24">
      <c r="A436" s="2">
        <v>426</v>
      </c>
      <c r="B436" s="119">
        <v>202510</v>
      </c>
      <c r="C436" s="44" t="s">
        <v>862</v>
      </c>
      <c r="D436" s="44" t="s">
        <v>863</v>
      </c>
      <c r="E436" s="44" t="s">
        <v>804</v>
      </c>
      <c r="F436" s="44">
        <v>9</v>
      </c>
      <c r="G436" s="44">
        <v>0</v>
      </c>
      <c r="H436" s="44">
        <v>0</v>
      </c>
      <c r="I436" s="44">
        <v>5</v>
      </c>
      <c r="J436" s="44">
        <v>0</v>
      </c>
      <c r="K436" s="123">
        <v>100000</v>
      </c>
      <c r="L436" s="124">
        <f t="shared" si="53"/>
        <v>14</v>
      </c>
      <c r="M436" s="45">
        <f t="shared" si="55"/>
        <v>1400000</v>
      </c>
      <c r="N436" s="45">
        <f t="shared" si="61"/>
        <v>1400000</v>
      </c>
      <c r="O436" s="45"/>
      <c r="P436" s="45" t="s">
        <v>2769</v>
      </c>
      <c r="Q436" s="45"/>
      <c r="R436" s="45"/>
      <c r="S436" s="45">
        <f t="shared" si="54"/>
        <v>0</v>
      </c>
      <c r="T436" s="44" t="s">
        <v>19</v>
      </c>
      <c r="U436" s="44" t="s">
        <v>20</v>
      </c>
      <c r="V436" s="43" t="s">
        <v>21</v>
      </c>
      <c r="W436" t="str">
        <f>VLOOKUP(C436,'Data_HS t5'!$B$2:$K$412,10,TRUE)</f>
        <v>Phường Thạch Bàn, Quận Long Biên, Thành phố Hà Nội</v>
      </c>
      <c r="X436" t="e">
        <f>VLOOKUP(C436,'Data_HS t9'!$B$2:$K$454,10,TRUE)</f>
        <v>#N/A</v>
      </c>
    </row>
    <row r="437" spans="1:24">
      <c r="A437" s="2">
        <v>427</v>
      </c>
      <c r="B437" s="119">
        <v>202510</v>
      </c>
      <c r="C437" s="44" t="s">
        <v>864</v>
      </c>
      <c r="D437" s="44" t="s">
        <v>865</v>
      </c>
      <c r="E437" s="44" t="s">
        <v>804</v>
      </c>
      <c r="F437" s="44">
        <v>9</v>
      </c>
      <c r="G437" s="44">
        <v>0</v>
      </c>
      <c r="H437" s="44">
        <v>0</v>
      </c>
      <c r="I437" s="44">
        <v>5</v>
      </c>
      <c r="J437" s="44">
        <v>0</v>
      </c>
      <c r="K437" s="123">
        <v>100000</v>
      </c>
      <c r="L437" s="124">
        <f t="shared" si="53"/>
        <v>14</v>
      </c>
      <c r="M437" s="45">
        <f t="shared" si="55"/>
        <v>1400000</v>
      </c>
      <c r="N437" s="45">
        <f t="shared" si="61"/>
        <v>1400000</v>
      </c>
      <c r="O437" s="45"/>
      <c r="P437" s="45"/>
      <c r="Q437" s="45" t="s">
        <v>3150</v>
      </c>
      <c r="R437" s="45">
        <v>20000</v>
      </c>
      <c r="S437" s="45">
        <f t="shared" si="54"/>
        <v>0</v>
      </c>
      <c r="T437" s="44" t="s">
        <v>19</v>
      </c>
      <c r="U437" s="44" t="s">
        <v>20</v>
      </c>
      <c r="V437" s="43" t="s">
        <v>21</v>
      </c>
      <c r="W437" t="str">
        <f>VLOOKUP(C437,'Data_HS t5'!$B$2:$K$412,10,TRUE)</f>
        <v>Tổ dân phố 21, Phường Phúc Xá, Quận Ba Đình, Thành phố Hà Nội</v>
      </c>
      <c r="X437" t="str">
        <f>VLOOKUP(C437,'Data_HS t9'!$B$2:$K$454,10,TRUE)</f>
        <v>Tổ dân phố số 11, Phường Sài Đồng, Quận Long Biên, Thành phố Hà Nội</v>
      </c>
    </row>
    <row r="438" spans="1:24">
      <c r="A438" s="2">
        <v>428</v>
      </c>
      <c r="B438" s="119">
        <v>202510</v>
      </c>
      <c r="C438" s="44" t="s">
        <v>866</v>
      </c>
      <c r="D438" s="44" t="s">
        <v>867</v>
      </c>
      <c r="E438" s="44" t="s">
        <v>804</v>
      </c>
      <c r="F438" s="44">
        <v>8</v>
      </c>
      <c r="G438" s="44">
        <v>0</v>
      </c>
      <c r="H438" s="44">
        <v>0</v>
      </c>
      <c r="I438" s="44">
        <v>5</v>
      </c>
      <c r="J438" s="44">
        <v>0</v>
      </c>
      <c r="K438" s="123">
        <v>100000</v>
      </c>
      <c r="L438" s="124">
        <f t="shared" si="53"/>
        <v>13</v>
      </c>
      <c r="M438" s="45">
        <f t="shared" si="55"/>
        <v>1300000</v>
      </c>
      <c r="N438" s="45">
        <f t="shared" si="61"/>
        <v>1300000</v>
      </c>
      <c r="O438" s="45"/>
      <c r="P438" s="45"/>
      <c r="Q438" s="45" t="s">
        <v>3151</v>
      </c>
      <c r="R438" s="45">
        <v>20000</v>
      </c>
      <c r="S438" s="45">
        <f t="shared" si="54"/>
        <v>0</v>
      </c>
      <c r="T438" s="44" t="s">
        <v>19</v>
      </c>
      <c r="U438" s="44" t="s">
        <v>20</v>
      </c>
      <c r="V438" s="43" t="s">
        <v>21</v>
      </c>
      <c r="W438" t="str">
        <f>VLOOKUP(C438,'Data_HS t5'!$B$2:$K$412,10,TRUE)</f>
        <v>Tổ dân phố 21, Phường Phúc Xá, Quận Ba Đình, Thành phố Hà Nội</v>
      </c>
      <c r="X438" t="str">
        <f>VLOOKUP(C438,'Data_HS t9'!$B$2:$K$454,10,TRUE)</f>
        <v>Tổ dân phố số 4, Phường Phúc Đồng, Quận Long Biên, Thành phố Hà Nội</v>
      </c>
    </row>
    <row r="439" spans="1:24">
      <c r="A439" s="2">
        <v>429</v>
      </c>
      <c r="B439" s="119">
        <v>202510</v>
      </c>
      <c r="C439" s="44" t="s">
        <v>868</v>
      </c>
      <c r="D439" s="44" t="s">
        <v>869</v>
      </c>
      <c r="E439" s="44" t="s">
        <v>870</v>
      </c>
      <c r="F439" s="44">
        <v>0</v>
      </c>
      <c r="G439" s="44">
        <v>2.5</v>
      </c>
      <c r="H439" s="44">
        <v>0</v>
      </c>
      <c r="I439" s="44">
        <v>4</v>
      </c>
      <c r="J439" s="44">
        <v>0</v>
      </c>
      <c r="K439" s="123">
        <v>100000</v>
      </c>
      <c r="L439" s="124">
        <f t="shared" si="53"/>
        <v>6.5</v>
      </c>
      <c r="M439" s="45">
        <f t="shared" si="55"/>
        <v>650000</v>
      </c>
      <c r="N439" s="45">
        <f t="shared" si="61"/>
        <v>650000</v>
      </c>
      <c r="O439" s="45"/>
      <c r="P439" s="45"/>
      <c r="Q439" s="45" t="s">
        <v>3151</v>
      </c>
      <c r="R439" s="45">
        <v>10000</v>
      </c>
      <c r="S439" s="45">
        <f t="shared" si="54"/>
        <v>0</v>
      </c>
      <c r="T439" s="44" t="s">
        <v>19</v>
      </c>
      <c r="U439" s="44" t="s">
        <v>20</v>
      </c>
      <c r="V439" s="43" t="s">
        <v>21</v>
      </c>
      <c r="W439" t="e">
        <f>VLOOKUP(C439,'Data_HS t5'!$B$2:$K$412,10,TRUE)</f>
        <v>#N/A</v>
      </c>
      <c r="X439" t="str">
        <f>VLOOKUP(C439,'Data_HS t9'!$B$2:$K$454,10,TRUE)</f>
        <v>Tổ dân phố số 36, Phường Ngọc Thụy, Quận Long Biên, Thành phố Hà Nội</v>
      </c>
    </row>
    <row r="440" spans="1:24">
      <c r="A440" s="2">
        <v>430</v>
      </c>
      <c r="B440" s="119">
        <v>202510</v>
      </c>
      <c r="C440" s="44" t="s">
        <v>871</v>
      </c>
      <c r="D440" s="44" t="s">
        <v>872</v>
      </c>
      <c r="E440" s="44" t="s">
        <v>870</v>
      </c>
      <c r="F440" s="44">
        <v>0</v>
      </c>
      <c r="G440" s="44">
        <v>5</v>
      </c>
      <c r="H440" s="44">
        <v>0</v>
      </c>
      <c r="I440" s="44">
        <v>0</v>
      </c>
      <c r="J440" s="44">
        <v>0</v>
      </c>
      <c r="K440" s="123">
        <v>100000</v>
      </c>
      <c r="L440" s="124">
        <f t="shared" si="53"/>
        <v>5</v>
      </c>
      <c r="M440" s="45">
        <f t="shared" si="55"/>
        <v>500000</v>
      </c>
      <c r="N440" s="45">
        <f t="shared" si="61"/>
        <v>500000</v>
      </c>
      <c r="O440" s="45"/>
      <c r="P440" s="45" t="s">
        <v>3126</v>
      </c>
      <c r="Q440" s="45"/>
      <c r="R440" s="45"/>
      <c r="S440" s="45">
        <f t="shared" si="54"/>
        <v>0</v>
      </c>
      <c r="T440" s="44" t="s">
        <v>19</v>
      </c>
      <c r="U440" s="44" t="s">
        <v>20</v>
      </c>
      <c r="V440" s="43" t="s">
        <v>21</v>
      </c>
      <c r="W440" t="str">
        <f>VLOOKUP(C440,'Data_HS t5'!$B$2:$K$412,10,TRUE)</f>
        <v>Tổ dân phố số 23, Phường Bồ Đề, Quận Long Biên, Thành phố Hà Nội</v>
      </c>
      <c r="X440" t="str">
        <f>VLOOKUP(C440,'Data_HS t9'!$B$2:$K$454,10,TRUE)</f>
        <v>Tổ 3, Thạch Bàn, LB</v>
      </c>
    </row>
    <row r="441" spans="1:24">
      <c r="A441" s="2">
        <v>431</v>
      </c>
      <c r="B441" s="119">
        <v>202510</v>
      </c>
      <c r="C441" s="44" t="s">
        <v>873</v>
      </c>
      <c r="D441" s="44" t="s">
        <v>874</v>
      </c>
      <c r="E441" s="44" t="s">
        <v>870</v>
      </c>
      <c r="F441" s="44">
        <v>0</v>
      </c>
      <c r="G441" s="44">
        <v>5</v>
      </c>
      <c r="H441" s="44">
        <v>0</v>
      </c>
      <c r="I441" s="44">
        <v>0</v>
      </c>
      <c r="J441" s="44">
        <v>0</v>
      </c>
      <c r="K441" s="123">
        <v>100000</v>
      </c>
      <c r="L441" s="124">
        <f t="shared" si="53"/>
        <v>5</v>
      </c>
      <c r="M441" s="45">
        <f t="shared" si="55"/>
        <v>500000</v>
      </c>
      <c r="N441" s="45">
        <f t="shared" si="61"/>
        <v>500000</v>
      </c>
      <c r="O441" s="45"/>
      <c r="P441" s="45" t="s">
        <v>6297</v>
      </c>
      <c r="Q441" s="45"/>
      <c r="R441" s="45"/>
      <c r="S441" s="45">
        <f t="shared" si="54"/>
        <v>0</v>
      </c>
      <c r="T441" s="44" t="s">
        <v>19</v>
      </c>
      <c r="U441" s="44" t="s">
        <v>20</v>
      </c>
      <c r="V441" s="43" t="s">
        <v>21</v>
      </c>
      <c r="W441" t="e">
        <f>VLOOKUP(C441,'Data_HS t5'!$B$2:$K$412,10,TRUE)</f>
        <v>#N/A</v>
      </c>
      <c r="X441" t="e">
        <f>VLOOKUP(C441,'Data_HS t9'!$B$2:$K$454,10,TRUE)</f>
        <v>#N/A</v>
      </c>
    </row>
    <row r="442" spans="1:24">
      <c r="A442" s="2">
        <v>432</v>
      </c>
      <c r="B442" s="119">
        <v>202510</v>
      </c>
      <c r="C442" s="44" t="s">
        <v>875</v>
      </c>
      <c r="D442" s="44" t="s">
        <v>876</v>
      </c>
      <c r="E442" s="44" t="s">
        <v>870</v>
      </c>
      <c r="F442" s="44">
        <v>0</v>
      </c>
      <c r="G442" s="44">
        <v>5</v>
      </c>
      <c r="H442" s="44">
        <v>0</v>
      </c>
      <c r="I442" s="44">
        <v>0</v>
      </c>
      <c r="J442" s="44">
        <v>0</v>
      </c>
      <c r="K442" s="123">
        <v>100000</v>
      </c>
      <c r="L442" s="124">
        <f t="shared" ref="L442:L505" si="62">SUM(F442:J442)</f>
        <v>5</v>
      </c>
      <c r="M442" s="45">
        <f t="shared" si="55"/>
        <v>500000</v>
      </c>
      <c r="N442" s="45">
        <f t="shared" si="61"/>
        <v>500000</v>
      </c>
      <c r="O442" s="45"/>
      <c r="P442" s="45" t="s">
        <v>6329</v>
      </c>
      <c r="Q442" s="45"/>
      <c r="R442" s="45"/>
      <c r="S442" s="45">
        <f t="shared" si="54"/>
        <v>0</v>
      </c>
      <c r="T442" s="44" t="s">
        <v>19</v>
      </c>
      <c r="U442" s="44" t="s">
        <v>20</v>
      </c>
      <c r="V442" s="43" t="s">
        <v>21</v>
      </c>
      <c r="W442">
        <f>VLOOKUP(C442,'Data_HS t5'!$B$2:$K$412,10,TRUE)</f>
        <v>0</v>
      </c>
      <c r="X442" t="str">
        <f>VLOOKUP(C442,'Data_HS t9'!$B$2:$K$454,10,TRUE)</f>
        <v>Tổ dân phố số 11, Phường Sài Đồng, Quận Long Biên, Thành phố Hà Nội</v>
      </c>
    </row>
    <row r="443" spans="1:24">
      <c r="A443" s="2">
        <v>433</v>
      </c>
      <c r="B443" s="119">
        <v>202510</v>
      </c>
      <c r="C443" s="44" t="s">
        <v>877</v>
      </c>
      <c r="D443" s="44" t="s">
        <v>878</v>
      </c>
      <c r="E443" s="44" t="s">
        <v>870</v>
      </c>
      <c r="F443" s="44">
        <v>0</v>
      </c>
      <c r="G443" s="44">
        <v>5</v>
      </c>
      <c r="H443" s="44">
        <v>0</v>
      </c>
      <c r="I443" s="44">
        <v>0</v>
      </c>
      <c r="J443" s="44">
        <v>0</v>
      </c>
      <c r="K443" s="123">
        <v>100000</v>
      </c>
      <c r="L443" s="124">
        <f t="shared" si="62"/>
        <v>5</v>
      </c>
      <c r="M443" s="45">
        <f t="shared" si="55"/>
        <v>500000</v>
      </c>
      <c r="N443" s="45">
        <f t="shared" si="61"/>
        <v>500000</v>
      </c>
      <c r="O443" s="45"/>
      <c r="P443" s="45" t="s">
        <v>6318</v>
      </c>
      <c r="Q443" s="45"/>
      <c r="R443" s="45"/>
      <c r="S443" s="45">
        <f t="shared" si="54"/>
        <v>0</v>
      </c>
      <c r="T443" s="44" t="s">
        <v>19</v>
      </c>
      <c r="U443" s="44" t="s">
        <v>20</v>
      </c>
      <c r="V443" s="43" t="s">
        <v>21</v>
      </c>
      <c r="W443" t="e">
        <f>VLOOKUP(C443,'Data_HS t5'!$B$2:$K$412,10,TRUE)</f>
        <v>#N/A</v>
      </c>
      <c r="X443" t="e">
        <f>VLOOKUP(C443,'Data_HS t9'!$B$2:$K$454,10,TRUE)</f>
        <v>#N/A</v>
      </c>
    </row>
    <row r="444" spans="1:24">
      <c r="A444" s="2">
        <v>434</v>
      </c>
      <c r="B444" s="119">
        <v>202510</v>
      </c>
      <c r="C444" s="44" t="s">
        <v>879</v>
      </c>
      <c r="D444" s="44" t="s">
        <v>880</v>
      </c>
      <c r="E444" s="44" t="s">
        <v>870</v>
      </c>
      <c r="F444" s="44">
        <v>0</v>
      </c>
      <c r="G444" s="44">
        <v>5</v>
      </c>
      <c r="H444" s="44">
        <v>0</v>
      </c>
      <c r="I444" s="44">
        <v>0</v>
      </c>
      <c r="J444" s="44">
        <v>0</v>
      </c>
      <c r="K444" s="123">
        <v>100000</v>
      </c>
      <c r="L444" s="124">
        <f t="shared" si="62"/>
        <v>5</v>
      </c>
      <c r="M444" s="45">
        <f t="shared" si="55"/>
        <v>500000</v>
      </c>
      <c r="N444" s="45">
        <f t="shared" si="61"/>
        <v>500000</v>
      </c>
      <c r="O444" s="45" t="s">
        <v>6408</v>
      </c>
      <c r="P444" s="45"/>
      <c r="Q444" s="45"/>
      <c r="R444" s="45"/>
      <c r="S444" s="45">
        <f t="shared" ref="S444:S507" si="63">M444-N444</f>
        <v>0</v>
      </c>
      <c r="T444" s="44" t="s">
        <v>19</v>
      </c>
      <c r="U444" s="44" t="s">
        <v>20</v>
      </c>
      <c r="V444" s="43" t="s">
        <v>21</v>
      </c>
      <c r="W444" t="str">
        <f>VLOOKUP(C444,'Data_HS t5'!$B$2:$K$412,10,TRUE)</f>
        <v>Xã Đa Tốn, Huyện Gia Lâm, Thành phố Hà Nội</v>
      </c>
      <c r="X444" t="str">
        <f>VLOOKUP(C444,'Data_HS t9'!$B$2:$K$454,10,TRUE)</f>
        <v>5/366/36/4, Ngọc Lâm, LB</v>
      </c>
    </row>
    <row r="445" spans="1:24">
      <c r="A445" s="2">
        <v>435</v>
      </c>
      <c r="B445" s="119">
        <v>202510</v>
      </c>
      <c r="C445" s="44" t="s">
        <v>881</v>
      </c>
      <c r="D445" s="44" t="s">
        <v>882</v>
      </c>
      <c r="E445" s="44" t="s">
        <v>870</v>
      </c>
      <c r="F445" s="44">
        <v>0</v>
      </c>
      <c r="G445" s="44">
        <v>5</v>
      </c>
      <c r="H445" s="44">
        <v>0</v>
      </c>
      <c r="I445" s="44">
        <v>0</v>
      </c>
      <c r="J445" s="44">
        <v>0</v>
      </c>
      <c r="K445" s="123">
        <v>100000</v>
      </c>
      <c r="L445" s="124">
        <f t="shared" si="62"/>
        <v>5</v>
      </c>
      <c r="M445" s="45">
        <f t="shared" si="55"/>
        <v>500000</v>
      </c>
      <c r="N445" s="45">
        <f>M445</f>
        <v>500000</v>
      </c>
      <c r="O445" s="45"/>
      <c r="P445" s="45" t="s">
        <v>7087</v>
      </c>
      <c r="Q445" s="45"/>
      <c r="R445" s="45"/>
      <c r="S445" s="45">
        <f t="shared" si="63"/>
        <v>0</v>
      </c>
      <c r="T445" s="44" t="s">
        <v>19</v>
      </c>
      <c r="U445" s="44" t="s">
        <v>20</v>
      </c>
      <c r="V445" s="43" t="s">
        <v>21</v>
      </c>
      <c r="W445" t="str">
        <f>VLOOKUP(C445,'Data_HS t5'!$B$2:$K$412,10,TRUE)</f>
        <v>Tổ 7, Giang Biên, LB</v>
      </c>
      <c r="X445" t="e">
        <f>VLOOKUP(C445,'Data_HS t9'!$B$2:$K$454,10,TRUE)</f>
        <v>#N/A</v>
      </c>
    </row>
    <row r="446" spans="1:24">
      <c r="A446" s="2">
        <v>436</v>
      </c>
      <c r="B446" s="119">
        <v>202510</v>
      </c>
      <c r="C446" s="44" t="s">
        <v>883</v>
      </c>
      <c r="D446" s="44" t="s">
        <v>884</v>
      </c>
      <c r="E446" s="44" t="s">
        <v>870</v>
      </c>
      <c r="F446" s="44">
        <v>0</v>
      </c>
      <c r="G446" s="44">
        <v>5</v>
      </c>
      <c r="H446" s="44">
        <v>0</v>
      </c>
      <c r="I446" s="44">
        <v>0</v>
      </c>
      <c r="J446" s="44">
        <v>0</v>
      </c>
      <c r="K446" s="123">
        <v>100000</v>
      </c>
      <c r="L446" s="124">
        <f t="shared" si="62"/>
        <v>5</v>
      </c>
      <c r="M446" s="45">
        <f t="shared" si="55"/>
        <v>500000</v>
      </c>
      <c r="N446" s="45">
        <f>M446</f>
        <v>500000</v>
      </c>
      <c r="O446" s="45"/>
      <c r="P446" s="45" t="s">
        <v>3141</v>
      </c>
      <c r="Q446" s="45"/>
      <c r="R446" s="45"/>
      <c r="S446" s="45">
        <f t="shared" si="63"/>
        <v>0</v>
      </c>
      <c r="T446" s="44" t="s">
        <v>19</v>
      </c>
      <c r="U446" s="44" t="s">
        <v>20</v>
      </c>
      <c r="V446" s="43" t="s">
        <v>21</v>
      </c>
      <c r="W446">
        <f>VLOOKUP(C446,'Data_HS t5'!$B$2:$K$412,10,TRUE)</f>
        <v>0</v>
      </c>
      <c r="X446" t="str">
        <f>VLOOKUP(C446,'Data_HS t9'!$B$2:$K$454,10,TRUE)</f>
        <v>Tổ dân phố số 11, Phường Sài Đồng, Quận Long Biên, Thành phố Hà Nội</v>
      </c>
    </row>
    <row r="447" spans="1:24">
      <c r="A447" s="2">
        <v>437</v>
      </c>
      <c r="B447" s="119">
        <v>202510</v>
      </c>
      <c r="C447" s="44" t="s">
        <v>885</v>
      </c>
      <c r="D447" s="44" t="s">
        <v>886</v>
      </c>
      <c r="E447" s="44" t="s">
        <v>870</v>
      </c>
      <c r="F447" s="44">
        <v>0</v>
      </c>
      <c r="G447" s="44">
        <v>5</v>
      </c>
      <c r="H447" s="44">
        <v>0</v>
      </c>
      <c r="I447" s="44">
        <v>0</v>
      </c>
      <c r="J447" s="44">
        <v>0</v>
      </c>
      <c r="K447" s="123">
        <v>100000</v>
      </c>
      <c r="L447" s="124">
        <f t="shared" si="62"/>
        <v>5</v>
      </c>
      <c r="M447" s="45">
        <f t="shared" si="55"/>
        <v>500000</v>
      </c>
      <c r="N447" s="45">
        <f>M441</f>
        <v>500000</v>
      </c>
      <c r="O447" s="45"/>
      <c r="P447" s="45" t="s">
        <v>2689</v>
      </c>
      <c r="Q447" s="45"/>
      <c r="R447" s="45"/>
      <c r="S447" s="45">
        <f t="shared" si="63"/>
        <v>0</v>
      </c>
      <c r="T447" s="44" t="s">
        <v>19</v>
      </c>
      <c r="U447" s="44" t="s">
        <v>20</v>
      </c>
      <c r="V447" s="43" t="s">
        <v>21</v>
      </c>
      <c r="W447" t="str">
        <f>VLOOKUP(C447,'Data_HS t5'!$B$2:$K$412,10,TRUE)</f>
        <v>Tổ dân phố số 1, Phường Ngọc Lâm, Quận Long Biên, Thành phố Hà Nội</v>
      </c>
      <c r="X447" t="str">
        <f>VLOOKUP(C447,'Data_HS t9'!$B$2:$K$454,10,TRUE)</f>
        <v>Tổ 1, Phường Long Biên, Quận Long Biên, Thành phố Hà Nội</v>
      </c>
    </row>
    <row r="448" spans="1:24">
      <c r="A448" s="2">
        <v>438</v>
      </c>
      <c r="B448" s="119">
        <v>202510</v>
      </c>
      <c r="C448" s="44" t="s">
        <v>454</v>
      </c>
      <c r="D448" s="44" t="s">
        <v>887</v>
      </c>
      <c r="E448" s="44" t="s">
        <v>870</v>
      </c>
      <c r="F448" s="44">
        <v>0</v>
      </c>
      <c r="G448" s="44">
        <v>0</v>
      </c>
      <c r="H448" s="44">
        <v>0</v>
      </c>
      <c r="I448" s="44">
        <v>8</v>
      </c>
      <c r="J448" s="44">
        <v>0</v>
      </c>
      <c r="K448" s="123">
        <v>100000</v>
      </c>
      <c r="L448" s="124">
        <f t="shared" si="62"/>
        <v>8</v>
      </c>
      <c r="M448" s="45">
        <f t="shared" si="55"/>
        <v>800000</v>
      </c>
      <c r="N448" s="45">
        <f>M448</f>
        <v>800000</v>
      </c>
      <c r="O448" s="45"/>
      <c r="P448" s="45" t="s">
        <v>3086</v>
      </c>
      <c r="Q448" s="45"/>
      <c r="R448" s="45"/>
      <c r="S448" s="45">
        <f t="shared" si="63"/>
        <v>0</v>
      </c>
      <c r="T448" s="44" t="s">
        <v>19</v>
      </c>
      <c r="U448" s="44" t="s">
        <v>20</v>
      </c>
      <c r="V448" s="43" t="s">
        <v>21</v>
      </c>
      <c r="W448">
        <f>VLOOKUP(C448,'Data_HS t5'!$B$2:$K$412,10,TRUE)</f>
        <v>0</v>
      </c>
      <c r="X448">
        <f>VLOOKUP(C448,'Data_HS t9'!$B$2:$K$454,10,TRUE)</f>
        <v>0</v>
      </c>
    </row>
    <row r="449" spans="1:24">
      <c r="A449" s="2">
        <v>439</v>
      </c>
      <c r="B449" s="119">
        <v>202510</v>
      </c>
      <c r="C449" s="44" t="s">
        <v>888</v>
      </c>
      <c r="D449" s="44" t="s">
        <v>889</v>
      </c>
      <c r="E449" s="44" t="s">
        <v>870</v>
      </c>
      <c r="F449" s="44">
        <v>0</v>
      </c>
      <c r="G449" s="44">
        <v>0</v>
      </c>
      <c r="H449" s="44">
        <v>0</v>
      </c>
      <c r="I449" s="44">
        <v>8</v>
      </c>
      <c r="J449" s="44">
        <v>0</v>
      </c>
      <c r="K449" s="123">
        <v>100000</v>
      </c>
      <c r="L449" s="124">
        <f t="shared" si="62"/>
        <v>8</v>
      </c>
      <c r="M449" s="45">
        <f t="shared" ref="M449:M512" si="64">L449*K449</f>
        <v>800000</v>
      </c>
      <c r="N449" s="45">
        <f>M449</f>
        <v>800000</v>
      </c>
      <c r="O449" s="45"/>
      <c r="P449" s="45" t="s">
        <v>7113</v>
      </c>
      <c r="Q449" s="45"/>
      <c r="R449" s="45"/>
      <c r="S449" s="45">
        <f t="shared" si="63"/>
        <v>0</v>
      </c>
      <c r="T449" s="44" t="s">
        <v>19</v>
      </c>
      <c r="U449" s="44" t="s">
        <v>20</v>
      </c>
      <c r="V449" s="43" t="s">
        <v>21</v>
      </c>
      <c r="W449">
        <f>VLOOKUP(C449,'Data_HS t5'!$B$2:$K$412,10,TRUE)</f>
        <v>0</v>
      </c>
      <c r="X449" t="str">
        <f>VLOOKUP(C449,'Data_HS t9'!$B$2:$K$454,10,TRUE)</f>
        <v>Tổ dân phố số 11, Phường Sài Đồng, Quận Long Biên, Thành phố Hà Nội</v>
      </c>
    </row>
    <row r="450" spans="1:24">
      <c r="A450" s="2">
        <v>440</v>
      </c>
      <c r="B450" s="119">
        <v>202510</v>
      </c>
      <c r="C450" s="44" t="s">
        <v>890</v>
      </c>
      <c r="D450" s="44" t="s">
        <v>891</v>
      </c>
      <c r="E450" s="44" t="s">
        <v>719</v>
      </c>
      <c r="F450" s="44">
        <v>0</v>
      </c>
      <c r="G450" s="44">
        <v>0</v>
      </c>
      <c r="H450" s="44">
        <v>0</v>
      </c>
      <c r="I450" s="44">
        <v>8</v>
      </c>
      <c r="J450" s="44">
        <v>0</v>
      </c>
      <c r="K450" s="123">
        <v>100000</v>
      </c>
      <c r="L450" s="124">
        <f t="shared" si="62"/>
        <v>8</v>
      </c>
      <c r="M450" s="45">
        <f t="shared" si="64"/>
        <v>800000</v>
      </c>
      <c r="N450" s="45">
        <f>M450</f>
        <v>800000</v>
      </c>
      <c r="O450" s="45"/>
      <c r="P450" s="45"/>
      <c r="Q450" s="45" t="s">
        <v>7133</v>
      </c>
      <c r="R450" s="45"/>
      <c r="S450" s="45">
        <f t="shared" si="63"/>
        <v>0</v>
      </c>
      <c r="T450" s="44" t="s">
        <v>19</v>
      </c>
      <c r="U450" s="44" t="s">
        <v>20</v>
      </c>
      <c r="V450" s="43" t="s">
        <v>21</v>
      </c>
      <c r="W450" t="str">
        <f>VLOOKUP(C450,'Data_HS t5'!$B$2:$K$412,10,TRUE)</f>
        <v>Tổ dân phố 21, Phường Phúc Xá, Quận Ba Đình, Thành phố Hà Nội</v>
      </c>
      <c r="X450" t="str">
        <f>VLOOKUP(C450,'Data_HS t9'!$B$2:$K$454,10,TRUE)</f>
        <v>Tổ dân phố số 11, Phường Sài Đồng, Quận Long Biên, Thành phố Hà Nội</v>
      </c>
    </row>
    <row r="451" spans="1:24">
      <c r="A451" s="2">
        <v>441</v>
      </c>
      <c r="B451" s="119">
        <v>202510</v>
      </c>
      <c r="C451" s="44" t="s">
        <v>892</v>
      </c>
      <c r="D451" s="44" t="s">
        <v>893</v>
      </c>
      <c r="E451" s="44" t="s">
        <v>870</v>
      </c>
      <c r="F451" s="44">
        <v>0</v>
      </c>
      <c r="G451" s="44">
        <v>0</v>
      </c>
      <c r="H451" s="44">
        <v>0</v>
      </c>
      <c r="I451" s="44">
        <v>8</v>
      </c>
      <c r="J451" s="44">
        <v>0</v>
      </c>
      <c r="K451" s="123">
        <v>100000</v>
      </c>
      <c r="L451" s="124">
        <f t="shared" si="62"/>
        <v>8</v>
      </c>
      <c r="M451" s="45">
        <f t="shared" si="64"/>
        <v>800000</v>
      </c>
      <c r="N451" s="45">
        <f t="shared" ref="N451:N457" si="65">M451</f>
        <v>800000</v>
      </c>
      <c r="O451" s="45"/>
      <c r="P451" s="45"/>
      <c r="Q451" s="45" t="s">
        <v>3151</v>
      </c>
      <c r="R451" s="45"/>
      <c r="S451" s="45">
        <f t="shared" si="63"/>
        <v>0</v>
      </c>
      <c r="T451" s="44" t="s">
        <v>19</v>
      </c>
      <c r="U451" s="44" t="s">
        <v>20</v>
      </c>
      <c r="V451" s="43" t="s">
        <v>21</v>
      </c>
      <c r="W451" t="str">
        <f>VLOOKUP(C451,'Data_HS t5'!$B$2:$K$412,10,TRUE)</f>
        <v>Tổ dân phố 21, Phường Phúc Xá, Quận Ba Đình, Thành phố Hà Nội</v>
      </c>
      <c r="X451" t="str">
        <f>VLOOKUP(C451,'Data_HS t9'!$B$2:$K$454,10,TRUE)</f>
        <v>Tổ dân phố số 4, Phường Phúc Đồng, Quận Long Biên, Thành phố Hà Nội</v>
      </c>
    </row>
    <row r="452" spans="1:24">
      <c r="A452" s="2">
        <v>442</v>
      </c>
      <c r="B452" s="119">
        <v>202510</v>
      </c>
      <c r="C452" s="44" t="s">
        <v>894</v>
      </c>
      <c r="D452" s="44" t="s">
        <v>895</v>
      </c>
      <c r="E452" s="44" t="s">
        <v>870</v>
      </c>
      <c r="F452" s="44">
        <v>9</v>
      </c>
      <c r="G452" s="44">
        <v>5</v>
      </c>
      <c r="H452" s="44">
        <v>0</v>
      </c>
      <c r="I452" s="44">
        <v>0</v>
      </c>
      <c r="J452" s="44">
        <v>0</v>
      </c>
      <c r="K452" s="123">
        <v>100000</v>
      </c>
      <c r="L452" s="124">
        <f t="shared" si="62"/>
        <v>14</v>
      </c>
      <c r="M452" s="45">
        <f t="shared" si="64"/>
        <v>1400000</v>
      </c>
      <c r="N452" s="45">
        <f t="shared" si="65"/>
        <v>1400000</v>
      </c>
      <c r="O452" s="45"/>
      <c r="P452" s="45" t="s">
        <v>3132</v>
      </c>
      <c r="Q452" s="45"/>
      <c r="R452" s="45"/>
      <c r="S452" s="45">
        <f t="shared" si="63"/>
        <v>0</v>
      </c>
      <c r="T452" s="44" t="s">
        <v>19</v>
      </c>
      <c r="U452" s="44" t="s">
        <v>20</v>
      </c>
      <c r="V452" s="43" t="s">
        <v>21</v>
      </c>
      <c r="W452">
        <f>VLOOKUP(C452,'Data_HS t5'!$B$2:$K$412,10,TRUE)</f>
        <v>0</v>
      </c>
      <c r="X452">
        <f>VLOOKUP(C452,'Data_HS t9'!$B$2:$K$454,10,TRUE)</f>
        <v>0</v>
      </c>
    </row>
    <row r="453" spans="1:24">
      <c r="A453" s="2">
        <v>443</v>
      </c>
      <c r="B453" s="119">
        <v>202510</v>
      </c>
      <c r="C453" s="44" t="s">
        <v>896</v>
      </c>
      <c r="D453" s="44" t="s">
        <v>897</v>
      </c>
      <c r="E453" s="44" t="s">
        <v>870</v>
      </c>
      <c r="F453" s="44">
        <v>0</v>
      </c>
      <c r="G453" s="44">
        <v>5</v>
      </c>
      <c r="H453" s="44">
        <v>0</v>
      </c>
      <c r="I453" s="44">
        <v>0</v>
      </c>
      <c r="J453" s="44">
        <v>0</v>
      </c>
      <c r="K453" s="123">
        <v>100000</v>
      </c>
      <c r="L453" s="124">
        <f t="shared" si="62"/>
        <v>5</v>
      </c>
      <c r="M453" s="45">
        <f t="shared" si="64"/>
        <v>500000</v>
      </c>
      <c r="N453" s="45">
        <f t="shared" si="65"/>
        <v>500000</v>
      </c>
      <c r="O453" s="45"/>
      <c r="P453" s="45" t="s">
        <v>6305</v>
      </c>
      <c r="Q453" s="45"/>
      <c r="R453" s="45"/>
      <c r="S453" s="45">
        <f t="shared" si="63"/>
        <v>0</v>
      </c>
      <c r="T453" s="44" t="s">
        <v>19</v>
      </c>
      <c r="U453" s="44" t="s">
        <v>20</v>
      </c>
      <c r="V453" s="43" t="s">
        <v>21</v>
      </c>
      <c r="W453">
        <f>VLOOKUP(C453,'Data_HS t5'!$B$2:$K$412,10,TRUE)</f>
        <v>0</v>
      </c>
      <c r="X453" t="str">
        <f>VLOOKUP(C453,'Data_HS t9'!$B$2:$K$454,10,TRUE)</f>
        <v>Tổ dân phố số 11, Phường Sài Đồng, Quận Long Biên, Thành phố Hà Nội</v>
      </c>
    </row>
    <row r="454" spans="1:24">
      <c r="A454" s="2">
        <v>444</v>
      </c>
      <c r="B454" s="119">
        <v>202510</v>
      </c>
      <c r="C454" s="44" t="s">
        <v>898</v>
      </c>
      <c r="D454" s="44" t="s">
        <v>899</v>
      </c>
      <c r="E454" s="44" t="s">
        <v>870</v>
      </c>
      <c r="F454" s="44">
        <v>0</v>
      </c>
      <c r="G454" s="44">
        <v>5</v>
      </c>
      <c r="H454" s="44">
        <v>0</v>
      </c>
      <c r="I454" s="44">
        <v>0</v>
      </c>
      <c r="J454" s="44">
        <v>0</v>
      </c>
      <c r="K454" s="123">
        <v>100000</v>
      </c>
      <c r="L454" s="124">
        <f t="shared" si="62"/>
        <v>5</v>
      </c>
      <c r="M454" s="45">
        <f t="shared" si="64"/>
        <v>500000</v>
      </c>
      <c r="N454" s="45">
        <f t="shared" si="65"/>
        <v>500000</v>
      </c>
      <c r="O454" s="45"/>
      <c r="P454" s="45" t="s">
        <v>6365</v>
      </c>
      <c r="Q454" s="45"/>
      <c r="R454" s="45"/>
      <c r="S454" s="45">
        <f t="shared" si="63"/>
        <v>0</v>
      </c>
      <c r="T454" s="44" t="s">
        <v>19</v>
      </c>
      <c r="U454" s="44" t="s">
        <v>20</v>
      </c>
      <c r="V454" s="43" t="s">
        <v>21</v>
      </c>
      <c r="W454" t="str">
        <f>VLOOKUP(C454,'Data_HS t5'!$B$2:$K$412,10,TRUE)</f>
        <v>Số 77 Gia Quất, Thượng Thanh, LB</v>
      </c>
      <c r="X454" t="str">
        <f>VLOOKUP(C454,'Data_HS t9'!$B$2:$K$454,10,TRUE)</f>
        <v>Hiện nay: Tổ 12, Thạch Bàn, LB</v>
      </c>
    </row>
    <row r="455" spans="1:24">
      <c r="A455" s="2">
        <v>445</v>
      </c>
      <c r="B455" s="119">
        <v>202510</v>
      </c>
      <c r="C455" s="44" t="s">
        <v>900</v>
      </c>
      <c r="D455" s="44" t="s">
        <v>901</v>
      </c>
      <c r="E455" s="44" t="s">
        <v>870</v>
      </c>
      <c r="F455" s="44">
        <v>0</v>
      </c>
      <c r="G455" s="44">
        <v>5</v>
      </c>
      <c r="H455" s="44">
        <v>0</v>
      </c>
      <c r="I455" s="44">
        <v>0</v>
      </c>
      <c r="J455" s="44">
        <v>0</v>
      </c>
      <c r="K455" s="123">
        <v>100000</v>
      </c>
      <c r="L455" s="124">
        <f t="shared" si="62"/>
        <v>5</v>
      </c>
      <c r="M455" s="45">
        <f t="shared" si="64"/>
        <v>500000</v>
      </c>
      <c r="N455" s="45">
        <f t="shared" si="65"/>
        <v>500000</v>
      </c>
      <c r="O455" s="45"/>
      <c r="P455" s="45" t="s">
        <v>6429</v>
      </c>
      <c r="Q455" s="45"/>
      <c r="R455" s="45"/>
      <c r="S455" s="45">
        <f t="shared" si="63"/>
        <v>0</v>
      </c>
      <c r="T455" s="44" t="s">
        <v>19</v>
      </c>
      <c r="U455" s="44" t="s">
        <v>20</v>
      </c>
      <c r="V455" s="43" t="s">
        <v>21</v>
      </c>
      <c r="W455" t="e">
        <f>VLOOKUP(C455,'Data_HS t5'!$B$2:$K$412,10,TRUE)</f>
        <v>#N/A</v>
      </c>
      <c r="X455" t="e">
        <f>VLOOKUP(C455,'Data_HS t9'!$B$2:$K$454,10,TRUE)</f>
        <v>#N/A</v>
      </c>
    </row>
    <row r="456" spans="1:24">
      <c r="A456" s="2">
        <v>446</v>
      </c>
      <c r="B456" s="119">
        <v>202510</v>
      </c>
      <c r="C456" s="44" t="s">
        <v>902</v>
      </c>
      <c r="D456" s="44" t="s">
        <v>903</v>
      </c>
      <c r="E456" s="44" t="s">
        <v>904</v>
      </c>
      <c r="F456" s="44">
        <v>7</v>
      </c>
      <c r="G456" s="44">
        <v>0</v>
      </c>
      <c r="H456" s="44">
        <v>0</v>
      </c>
      <c r="I456" s="44">
        <v>7</v>
      </c>
      <c r="J456" s="44">
        <v>0</v>
      </c>
      <c r="K456" s="123">
        <v>100000</v>
      </c>
      <c r="L456" s="124">
        <f t="shared" si="62"/>
        <v>14</v>
      </c>
      <c r="M456" s="45">
        <f t="shared" si="64"/>
        <v>1400000</v>
      </c>
      <c r="N456" s="45">
        <f t="shared" si="65"/>
        <v>1400000</v>
      </c>
      <c r="O456" s="45"/>
      <c r="P456" s="45" t="s">
        <v>3070</v>
      </c>
      <c r="Q456" s="45"/>
      <c r="R456" s="45"/>
      <c r="S456" s="45">
        <f t="shared" si="63"/>
        <v>0</v>
      </c>
      <c r="T456" s="44" t="s">
        <v>19</v>
      </c>
      <c r="U456" s="44" t="s">
        <v>20</v>
      </c>
      <c r="V456" s="43" t="s">
        <v>21</v>
      </c>
      <c r="W456">
        <f>VLOOKUP(C456,'Data_HS t5'!$B$2:$K$412,10,TRUE)</f>
        <v>0</v>
      </c>
      <c r="X456" t="str">
        <f>VLOOKUP(C456,'Data_HS t9'!$B$2:$K$454,10,TRUE)</f>
        <v>Tổ dân phố số 12, Phường Thạch Bàn, Quận Long Biên, Thành phố Hà Nội</v>
      </c>
    </row>
    <row r="457" spans="1:24">
      <c r="A457" s="2">
        <v>447</v>
      </c>
      <c r="B457" s="119">
        <v>202510</v>
      </c>
      <c r="C457" s="44" t="s">
        <v>905</v>
      </c>
      <c r="D457" s="44" t="s">
        <v>906</v>
      </c>
      <c r="E457" s="44" t="s">
        <v>904</v>
      </c>
      <c r="F457" s="44">
        <v>6</v>
      </c>
      <c r="G457" s="44">
        <v>0</v>
      </c>
      <c r="H457" s="44">
        <v>0</v>
      </c>
      <c r="I457" s="44">
        <v>0</v>
      </c>
      <c r="J457" s="44">
        <v>0</v>
      </c>
      <c r="K457" s="123">
        <v>100000</v>
      </c>
      <c r="L457" s="124">
        <f t="shared" si="62"/>
        <v>6</v>
      </c>
      <c r="M457" s="45">
        <f t="shared" si="64"/>
        <v>600000</v>
      </c>
      <c r="N457" s="45">
        <f t="shared" si="65"/>
        <v>600000</v>
      </c>
      <c r="O457" s="45"/>
      <c r="P457" s="45" t="s">
        <v>2827</v>
      </c>
      <c r="Q457" s="45"/>
      <c r="R457" s="45"/>
      <c r="S457" s="45">
        <f t="shared" si="63"/>
        <v>0</v>
      </c>
      <c r="T457" s="44" t="s">
        <v>19</v>
      </c>
      <c r="U457" s="44" t="s">
        <v>20</v>
      </c>
      <c r="V457" s="43" t="s">
        <v>21</v>
      </c>
      <c r="W457">
        <f>VLOOKUP(C457,'Data_HS t5'!$B$2:$K$412,10,TRUE)</f>
        <v>0</v>
      </c>
      <c r="X457" t="str">
        <f>VLOOKUP(C457,'Data_HS t9'!$B$2:$K$454,10,TRUE)</f>
        <v>Tổ dân phố số 11, Phường Sài Đồng, Quận Long Biên, Thành phố Hà Nội</v>
      </c>
    </row>
    <row r="458" spans="1:24">
      <c r="A458" s="2">
        <v>448</v>
      </c>
      <c r="B458" s="119">
        <v>202510</v>
      </c>
      <c r="C458" s="44" t="s">
        <v>907</v>
      </c>
      <c r="D458" s="44" t="s">
        <v>908</v>
      </c>
      <c r="E458" s="44" t="s">
        <v>904</v>
      </c>
      <c r="F458" s="44">
        <v>8</v>
      </c>
      <c r="G458" s="44">
        <v>0</v>
      </c>
      <c r="H458" s="44">
        <v>0</v>
      </c>
      <c r="I458" s="44">
        <v>0</v>
      </c>
      <c r="J458" s="44">
        <v>0</v>
      </c>
      <c r="K458" s="123">
        <v>100000</v>
      </c>
      <c r="L458" s="124">
        <f t="shared" si="62"/>
        <v>8</v>
      </c>
      <c r="M458" s="45">
        <f t="shared" si="64"/>
        <v>800000</v>
      </c>
      <c r="N458" s="45">
        <f>M458</f>
        <v>800000</v>
      </c>
      <c r="O458" s="45"/>
      <c r="P458" s="45" t="s">
        <v>6657</v>
      </c>
      <c r="Q458" s="45"/>
      <c r="R458" s="45"/>
      <c r="S458" s="45">
        <f t="shared" si="63"/>
        <v>0</v>
      </c>
      <c r="T458" s="44" t="s">
        <v>19</v>
      </c>
      <c r="U458" s="44" t="s">
        <v>20</v>
      </c>
      <c r="V458" s="43" t="s">
        <v>21</v>
      </c>
      <c r="W458">
        <f>VLOOKUP(C458,'Data_HS t5'!$B$2:$K$412,10,TRUE)</f>
        <v>0</v>
      </c>
      <c r="X458">
        <f>VLOOKUP(C458,'Data_HS t9'!$B$2:$K$454,10,TRUE)</f>
        <v>0</v>
      </c>
    </row>
    <row r="459" spans="1:24">
      <c r="A459" s="2">
        <v>449</v>
      </c>
      <c r="B459" s="119">
        <v>202510</v>
      </c>
      <c r="C459" s="44" t="s">
        <v>909</v>
      </c>
      <c r="D459" s="44" t="s">
        <v>910</v>
      </c>
      <c r="E459" s="44" t="s">
        <v>904</v>
      </c>
      <c r="F459" s="44">
        <v>6</v>
      </c>
      <c r="G459" s="44">
        <v>0</v>
      </c>
      <c r="H459" s="44">
        <v>0</v>
      </c>
      <c r="I459" s="44">
        <v>0</v>
      </c>
      <c r="J459" s="44">
        <v>0</v>
      </c>
      <c r="K459" s="123">
        <v>100000</v>
      </c>
      <c r="L459" s="124">
        <f t="shared" si="62"/>
        <v>6</v>
      </c>
      <c r="M459" s="45">
        <f t="shared" si="64"/>
        <v>600000</v>
      </c>
      <c r="N459" s="45">
        <f>M459</f>
        <v>600000</v>
      </c>
      <c r="O459" s="45"/>
      <c r="P459" s="45" t="s">
        <v>7094</v>
      </c>
      <c r="Q459" s="45"/>
      <c r="R459" s="45"/>
      <c r="S459" s="45">
        <f t="shared" si="63"/>
        <v>0</v>
      </c>
      <c r="T459" s="44" t="s">
        <v>19</v>
      </c>
      <c r="U459" s="44" t="s">
        <v>20</v>
      </c>
      <c r="V459" s="43" t="s">
        <v>21</v>
      </c>
      <c r="W459" t="str">
        <f>VLOOKUP(C459,'Data_HS t5'!$B$2:$K$412,10,TRUE)</f>
        <v>Tổ dân phố 21, Phường Phúc Xá, Quận Ba Đình, Thành phố Hà Nội</v>
      </c>
      <c r="X459" t="str">
        <f>VLOOKUP(C459,'Data_HS t9'!$B$2:$K$454,10,TRUE)</f>
        <v>Tổ dân phố số 5, Phường Ngọc Lâm, Quận Long Biên, Thành phố Hà Nội</v>
      </c>
    </row>
    <row r="460" spans="1:24">
      <c r="A460" s="2">
        <v>450</v>
      </c>
      <c r="B460" s="119">
        <v>202510</v>
      </c>
      <c r="C460" s="44" t="s">
        <v>911</v>
      </c>
      <c r="D460" s="44" t="s">
        <v>912</v>
      </c>
      <c r="E460" s="44" t="s">
        <v>904</v>
      </c>
      <c r="F460" s="44">
        <v>7</v>
      </c>
      <c r="G460" s="44">
        <v>3</v>
      </c>
      <c r="H460" s="44">
        <v>0</v>
      </c>
      <c r="I460" s="44">
        <v>0</v>
      </c>
      <c r="J460" s="44">
        <v>0</v>
      </c>
      <c r="K460" s="123">
        <v>100000</v>
      </c>
      <c r="L460" s="124">
        <f t="shared" si="62"/>
        <v>10</v>
      </c>
      <c r="M460" s="45">
        <f t="shared" si="64"/>
        <v>1000000</v>
      </c>
      <c r="N460" s="45">
        <f>M460</f>
        <v>1000000</v>
      </c>
      <c r="O460" s="45"/>
      <c r="P460" s="45" t="s">
        <v>2776</v>
      </c>
      <c r="Q460" s="45"/>
      <c r="R460" s="45"/>
      <c r="S460" s="45">
        <f t="shared" si="63"/>
        <v>0</v>
      </c>
      <c r="T460" s="44" t="s">
        <v>19</v>
      </c>
      <c r="U460" s="44" t="s">
        <v>20</v>
      </c>
      <c r="V460" s="43" t="s">
        <v>21</v>
      </c>
      <c r="W460" t="str">
        <f>VLOOKUP(C460,'Data_HS t5'!$B$2:$K$412,10,TRUE)</f>
        <v>Hiện nay: Tổ 12, Thạch Bàn, LB</v>
      </c>
      <c r="X460" t="str">
        <f>VLOOKUP(C460,'Data_HS t9'!$B$2:$K$454,10,TRUE)</f>
        <v>Hiện nay: Tổ 12, Thạch Bàn, LB</v>
      </c>
    </row>
    <row r="461" spans="1:24">
      <c r="A461" s="2">
        <v>451</v>
      </c>
      <c r="B461" s="119">
        <v>202510</v>
      </c>
      <c r="C461" s="44" t="s">
        <v>913</v>
      </c>
      <c r="D461" s="44" t="s">
        <v>914</v>
      </c>
      <c r="E461" s="44" t="s">
        <v>904</v>
      </c>
      <c r="F461" s="44">
        <v>0</v>
      </c>
      <c r="G461" s="44">
        <v>3</v>
      </c>
      <c r="H461" s="44">
        <v>0</v>
      </c>
      <c r="I461" s="44">
        <v>0</v>
      </c>
      <c r="J461" s="44">
        <v>0</v>
      </c>
      <c r="K461" s="123">
        <v>100000</v>
      </c>
      <c r="L461" s="124">
        <f t="shared" si="62"/>
        <v>3</v>
      </c>
      <c r="M461" s="45">
        <f t="shared" si="64"/>
        <v>300000</v>
      </c>
      <c r="N461" s="45">
        <f>M461</f>
        <v>300000</v>
      </c>
      <c r="O461" s="45"/>
      <c r="P461" s="45" t="s">
        <v>2798</v>
      </c>
      <c r="Q461" s="45"/>
      <c r="R461" s="45"/>
      <c r="S461" s="45">
        <f t="shared" si="63"/>
        <v>0</v>
      </c>
      <c r="T461" s="44" t="s">
        <v>19</v>
      </c>
      <c r="U461" s="44" t="s">
        <v>20</v>
      </c>
      <c r="V461" s="43" t="s">
        <v>21</v>
      </c>
      <c r="W461">
        <f>VLOOKUP(C461,'Data_HS t5'!$B$2:$K$412,10,TRUE)</f>
        <v>0</v>
      </c>
      <c r="X461" t="str">
        <f>VLOOKUP(C461,'Data_HS t9'!$B$2:$K$454,10,TRUE)</f>
        <v>Tổ 13, Khu Đô thị Việt Hưng, Phường Giang Biên, Quận Long Biên.</v>
      </c>
    </row>
    <row r="462" spans="1:24">
      <c r="A462" s="2">
        <v>452</v>
      </c>
      <c r="B462" s="119">
        <v>202510</v>
      </c>
      <c r="C462" s="44" t="s">
        <v>7120</v>
      </c>
      <c r="D462" s="44" t="s">
        <v>916</v>
      </c>
      <c r="E462" s="44" t="s">
        <v>904</v>
      </c>
      <c r="F462" s="44">
        <v>0</v>
      </c>
      <c r="G462" s="44">
        <v>3</v>
      </c>
      <c r="H462" s="44">
        <v>0</v>
      </c>
      <c r="I462" s="44">
        <v>0</v>
      </c>
      <c r="J462" s="44">
        <v>0</v>
      </c>
      <c r="K462" s="123">
        <v>100000</v>
      </c>
      <c r="L462" s="124">
        <f t="shared" si="62"/>
        <v>3</v>
      </c>
      <c r="M462" s="45">
        <f t="shared" si="64"/>
        <v>300000</v>
      </c>
      <c r="N462" s="45">
        <f>M462</f>
        <v>300000</v>
      </c>
      <c r="O462" s="45"/>
      <c r="P462" s="45" t="s">
        <v>7096</v>
      </c>
      <c r="Q462" s="45"/>
      <c r="R462" s="45"/>
      <c r="S462" s="45">
        <f t="shared" si="63"/>
        <v>0</v>
      </c>
      <c r="T462" s="44" t="s">
        <v>19</v>
      </c>
      <c r="U462" s="44" t="s">
        <v>20</v>
      </c>
      <c r="V462" s="43" t="s">
        <v>21</v>
      </c>
      <c r="W462" t="e">
        <f>VLOOKUP(C462,'Data_HS t5'!$B$2:$K$412,10,TRUE)</f>
        <v>#N/A</v>
      </c>
      <c r="X462" t="str">
        <f>VLOOKUP(C462,'Data_HS t9'!$B$2:$K$454,10,TRUE)</f>
        <v>Tổ dân phố số 36, Phường Ngọc Thụy, Quận Long Biên, Thành phố Hà Nội</v>
      </c>
    </row>
    <row r="463" spans="1:24">
      <c r="A463" s="2">
        <v>453</v>
      </c>
      <c r="B463" s="119">
        <v>202510</v>
      </c>
      <c r="C463" s="44" t="s">
        <v>917</v>
      </c>
      <c r="D463" s="44" t="s">
        <v>918</v>
      </c>
      <c r="E463" s="44" t="s">
        <v>904</v>
      </c>
      <c r="F463" s="44">
        <v>6</v>
      </c>
      <c r="G463" s="44">
        <v>0</v>
      </c>
      <c r="H463" s="44">
        <v>0</v>
      </c>
      <c r="I463" s="44">
        <v>0</v>
      </c>
      <c r="J463" s="44">
        <v>0</v>
      </c>
      <c r="K463" s="123">
        <v>100000</v>
      </c>
      <c r="L463" s="124">
        <f t="shared" si="62"/>
        <v>6</v>
      </c>
      <c r="M463" s="45">
        <f t="shared" si="64"/>
        <v>600000</v>
      </c>
      <c r="N463" s="45">
        <f t="shared" ref="N463:N469" si="66">M463</f>
        <v>600000</v>
      </c>
      <c r="O463" s="45"/>
      <c r="P463" s="45" t="s">
        <v>2770</v>
      </c>
      <c r="Q463" s="45"/>
      <c r="R463" s="45"/>
      <c r="S463" s="45">
        <f t="shared" si="63"/>
        <v>0</v>
      </c>
      <c r="T463" s="44" t="s">
        <v>19</v>
      </c>
      <c r="U463" s="44" t="s">
        <v>20</v>
      </c>
      <c r="V463" s="43" t="s">
        <v>21</v>
      </c>
      <c r="W463">
        <f>VLOOKUP(C463,'Data_HS t5'!$B$2:$K$412,10,TRUE)</f>
        <v>0</v>
      </c>
      <c r="X463" t="str">
        <f>VLOOKUP(C463,'Data_HS t9'!$B$2:$K$454,10,TRUE)</f>
        <v>Phường Phúc Lợi, Quận Long Biên, Thành phố Hà Nội</v>
      </c>
    </row>
    <row r="464" spans="1:24">
      <c r="A464" s="2">
        <v>454</v>
      </c>
      <c r="B464" s="119">
        <v>202510</v>
      </c>
      <c r="C464" s="44" t="s">
        <v>919</v>
      </c>
      <c r="D464" s="44" t="s">
        <v>920</v>
      </c>
      <c r="E464" s="44" t="s">
        <v>904</v>
      </c>
      <c r="F464" s="44">
        <v>6</v>
      </c>
      <c r="G464" s="44">
        <v>0</v>
      </c>
      <c r="H464" s="44">
        <v>0</v>
      </c>
      <c r="I464" s="44">
        <v>0</v>
      </c>
      <c r="J464" s="44">
        <v>0</v>
      </c>
      <c r="K464" s="123">
        <v>100000</v>
      </c>
      <c r="L464" s="124">
        <f t="shared" si="62"/>
        <v>6</v>
      </c>
      <c r="M464" s="45">
        <f t="shared" si="64"/>
        <v>600000</v>
      </c>
      <c r="N464" s="45">
        <f t="shared" si="66"/>
        <v>600000</v>
      </c>
      <c r="O464" s="45"/>
      <c r="P464" s="45" t="s">
        <v>6433</v>
      </c>
      <c r="Q464" s="45"/>
      <c r="R464" s="45"/>
      <c r="S464" s="45">
        <f t="shared" si="63"/>
        <v>0</v>
      </c>
      <c r="T464" s="44" t="s">
        <v>19</v>
      </c>
      <c r="U464" s="44" t="s">
        <v>20</v>
      </c>
      <c r="V464" s="43" t="s">
        <v>21</v>
      </c>
      <c r="W464">
        <f>VLOOKUP(C464,'Data_HS t5'!$B$2:$K$412,10,TRUE)</f>
        <v>0</v>
      </c>
      <c r="X464" t="str">
        <f>VLOOKUP(C464,'Data_HS t9'!$B$2:$K$454,10,TRUE)</f>
        <v>Tổ 13, Khu Đô thị Việt Hưng, Phường Giang Biên, Quận Long Biên.</v>
      </c>
    </row>
    <row r="465" spans="1:24">
      <c r="A465" s="2">
        <v>455</v>
      </c>
      <c r="B465" s="119">
        <v>202510</v>
      </c>
      <c r="C465" s="44" t="s">
        <v>921</v>
      </c>
      <c r="D465" s="44" t="s">
        <v>922</v>
      </c>
      <c r="E465" s="44" t="s">
        <v>904</v>
      </c>
      <c r="F465" s="44">
        <v>6</v>
      </c>
      <c r="G465" s="44">
        <v>0</v>
      </c>
      <c r="H465" s="44">
        <v>0</v>
      </c>
      <c r="I465" s="44">
        <v>0</v>
      </c>
      <c r="J465" s="44">
        <v>0</v>
      </c>
      <c r="K465" s="123">
        <v>100000</v>
      </c>
      <c r="L465" s="124">
        <f t="shared" si="62"/>
        <v>6</v>
      </c>
      <c r="M465" s="45">
        <f t="shared" si="64"/>
        <v>600000</v>
      </c>
      <c r="N465" s="45">
        <f t="shared" si="66"/>
        <v>600000</v>
      </c>
      <c r="O465" s="45"/>
      <c r="P465" s="45" t="s">
        <v>3096</v>
      </c>
      <c r="Q465" s="45"/>
      <c r="R465" s="45"/>
      <c r="S465" s="45">
        <f t="shared" si="63"/>
        <v>0</v>
      </c>
      <c r="T465" s="44" t="s">
        <v>19</v>
      </c>
      <c r="U465" s="44" t="s">
        <v>20</v>
      </c>
      <c r="V465" s="43" t="s">
        <v>21</v>
      </c>
      <c r="W465" t="e">
        <f>VLOOKUP(C465,'Data_HS t5'!$B$2:$K$412,10,TRUE)</f>
        <v>#N/A</v>
      </c>
      <c r="X465" t="e">
        <f>VLOOKUP(C465,'Data_HS t9'!$B$2:$K$454,10,TRUE)</f>
        <v>#N/A</v>
      </c>
    </row>
    <row r="466" spans="1:24">
      <c r="A466" s="2">
        <v>456</v>
      </c>
      <c r="B466" s="119">
        <v>202510</v>
      </c>
      <c r="C466" s="44" t="s">
        <v>525</v>
      </c>
      <c r="D466" s="44" t="s">
        <v>923</v>
      </c>
      <c r="E466" s="44" t="s">
        <v>904</v>
      </c>
      <c r="F466" s="44">
        <v>6</v>
      </c>
      <c r="G466" s="44">
        <v>0</v>
      </c>
      <c r="H466" s="44">
        <v>0</v>
      </c>
      <c r="I466" s="44">
        <v>0</v>
      </c>
      <c r="J466" s="44">
        <v>0</v>
      </c>
      <c r="K466" s="123">
        <v>100000</v>
      </c>
      <c r="L466" s="124">
        <f t="shared" si="62"/>
        <v>6</v>
      </c>
      <c r="M466" s="45">
        <f t="shared" si="64"/>
        <v>600000</v>
      </c>
      <c r="N466" s="45">
        <f t="shared" si="66"/>
        <v>600000</v>
      </c>
      <c r="O466" s="45"/>
      <c r="P466" s="45" t="s">
        <v>2829</v>
      </c>
      <c r="Q466" s="45"/>
      <c r="R466" s="45"/>
      <c r="S466" s="45">
        <f t="shared" si="63"/>
        <v>0</v>
      </c>
      <c r="T466" s="44" t="s">
        <v>19</v>
      </c>
      <c r="U466" s="44" t="s">
        <v>20</v>
      </c>
      <c r="V466" s="43" t="s">
        <v>21</v>
      </c>
      <c r="W466">
        <f>VLOOKUP(C466,'Data_HS t5'!$B$2:$K$412,10,TRUE)</f>
        <v>0</v>
      </c>
      <c r="X466" t="str">
        <f>VLOOKUP(C466,'Data_HS t9'!$B$2:$K$454,10,TRUE)</f>
        <v>Tổ dân phố số 27, Phường Ngọc Lâm, Quận Long Biên, Thành phố Hà Nội</v>
      </c>
    </row>
    <row r="467" spans="1:24">
      <c r="A467" s="2">
        <v>457</v>
      </c>
      <c r="B467" s="119">
        <v>202510</v>
      </c>
      <c r="C467" s="44" t="s">
        <v>924</v>
      </c>
      <c r="D467" s="44" t="s">
        <v>925</v>
      </c>
      <c r="E467" s="44" t="s">
        <v>904</v>
      </c>
      <c r="F467" s="44">
        <v>6</v>
      </c>
      <c r="G467" s="44">
        <v>3</v>
      </c>
      <c r="H467" s="44">
        <v>0</v>
      </c>
      <c r="I467" s="44">
        <v>0</v>
      </c>
      <c r="J467" s="44">
        <v>0</v>
      </c>
      <c r="K467" s="123">
        <v>100000</v>
      </c>
      <c r="L467" s="124">
        <f t="shared" si="62"/>
        <v>9</v>
      </c>
      <c r="M467" s="45">
        <f t="shared" si="64"/>
        <v>900000</v>
      </c>
      <c r="N467" s="45">
        <f t="shared" si="66"/>
        <v>900000</v>
      </c>
      <c r="O467" s="45"/>
      <c r="P467" s="45" t="s">
        <v>3100</v>
      </c>
      <c r="Q467" s="45"/>
      <c r="R467" s="45"/>
      <c r="S467" s="45">
        <f t="shared" si="63"/>
        <v>0</v>
      </c>
      <c r="T467" s="44" t="s">
        <v>19</v>
      </c>
      <c r="U467" s="44" t="s">
        <v>20</v>
      </c>
      <c r="V467" s="43" t="s">
        <v>21</v>
      </c>
      <c r="W467" t="e">
        <f>VLOOKUP(C467,'Data_HS t5'!$B$2:$K$412,10,TRUE)</f>
        <v>#N/A</v>
      </c>
      <c r="X467" t="e">
        <f>VLOOKUP(C467,'Data_HS t9'!$B$2:$K$454,10,TRUE)</f>
        <v>#N/A</v>
      </c>
    </row>
    <row r="468" spans="1:24">
      <c r="A468" s="2">
        <v>458</v>
      </c>
      <c r="B468" s="119">
        <v>202510</v>
      </c>
      <c r="C468" s="44" t="s">
        <v>926</v>
      </c>
      <c r="D468" s="44" t="s">
        <v>927</v>
      </c>
      <c r="E468" s="44" t="s">
        <v>904</v>
      </c>
      <c r="F468" s="44">
        <v>6</v>
      </c>
      <c r="G468" s="44">
        <v>0</v>
      </c>
      <c r="H468" s="44">
        <v>0</v>
      </c>
      <c r="I468" s="44">
        <v>0</v>
      </c>
      <c r="J468" s="44">
        <v>0</v>
      </c>
      <c r="K468" s="123">
        <v>100000</v>
      </c>
      <c r="L468" s="124">
        <f t="shared" si="62"/>
        <v>6</v>
      </c>
      <c r="M468" s="45">
        <f t="shared" si="64"/>
        <v>600000</v>
      </c>
      <c r="N468" s="45">
        <f t="shared" si="66"/>
        <v>600000</v>
      </c>
      <c r="O468" s="45"/>
      <c r="P468" s="45" t="s">
        <v>3065</v>
      </c>
      <c r="Q468" s="45"/>
      <c r="R468" s="45"/>
      <c r="S468" s="45">
        <f t="shared" si="63"/>
        <v>0</v>
      </c>
      <c r="T468" s="44" t="s">
        <v>19</v>
      </c>
      <c r="U468" s="44" t="s">
        <v>20</v>
      </c>
      <c r="V468" s="43" t="s">
        <v>21</v>
      </c>
      <c r="W468" t="str">
        <f>VLOOKUP(C468,'Data_HS t5'!$B$2:$K$412,10,TRUE)</f>
        <v>Phường Long Biên, Quận Long Biên, Thành phố Hà Nội</v>
      </c>
      <c r="X468" t="str">
        <f>VLOOKUP(C468,'Data_HS t9'!$B$2:$K$454,10,TRUE)</f>
        <v>P3r4 cc Happy Star No10, Giang Biên, LB</v>
      </c>
    </row>
    <row r="469" spans="1:24">
      <c r="A469" s="2">
        <v>459</v>
      </c>
      <c r="B469" s="119">
        <v>202510</v>
      </c>
      <c r="C469" s="44" t="s">
        <v>928</v>
      </c>
      <c r="D469" s="44" t="s">
        <v>929</v>
      </c>
      <c r="E469" s="44" t="s">
        <v>904</v>
      </c>
      <c r="F469" s="44">
        <v>6</v>
      </c>
      <c r="G469" s="44">
        <v>0</v>
      </c>
      <c r="H469" s="44">
        <v>0</v>
      </c>
      <c r="I469" s="44">
        <v>0</v>
      </c>
      <c r="J469" s="44">
        <v>0</v>
      </c>
      <c r="K469" s="123">
        <v>100000</v>
      </c>
      <c r="L469" s="124">
        <f t="shared" si="62"/>
        <v>6</v>
      </c>
      <c r="M469" s="45">
        <f t="shared" si="64"/>
        <v>600000</v>
      </c>
      <c r="N469" s="45">
        <f t="shared" si="66"/>
        <v>600000</v>
      </c>
      <c r="P469" s="45" t="s">
        <v>6916</v>
      </c>
      <c r="Q469" s="45"/>
      <c r="R469" s="45"/>
      <c r="S469" s="45">
        <f t="shared" si="63"/>
        <v>0</v>
      </c>
      <c r="T469" s="44" t="s">
        <v>19</v>
      </c>
      <c r="U469" s="44" t="s">
        <v>20</v>
      </c>
      <c r="V469" s="43" t="s">
        <v>21</v>
      </c>
      <c r="W469" t="str">
        <f>VLOOKUP(C469,'Data_HS t5'!$B$2:$K$412,10,TRUE)</f>
        <v>Tổ dân phố 21, Phường Phúc Xá, Quận Ba Đình, Thành phố Hà Nội</v>
      </c>
      <c r="X469" t="str">
        <f>VLOOKUP(C469,'Data_HS t9'!$B$2:$K$454,10,TRUE)</f>
        <v>Tổ dân phố số 4, Phường Phúc Đồng, Quận Long Biên, Thành phố Hà Nội</v>
      </c>
    </row>
    <row r="470" spans="1:24">
      <c r="A470" s="2">
        <v>460</v>
      </c>
      <c r="B470" s="119">
        <v>202510</v>
      </c>
      <c r="C470" s="44" t="s">
        <v>930</v>
      </c>
      <c r="D470" s="44" t="s">
        <v>931</v>
      </c>
      <c r="E470" s="44" t="s">
        <v>904</v>
      </c>
      <c r="F470" s="44">
        <v>6</v>
      </c>
      <c r="G470" s="44">
        <v>0</v>
      </c>
      <c r="H470" s="44">
        <v>0</v>
      </c>
      <c r="I470" s="44">
        <v>0</v>
      </c>
      <c r="J470" s="44">
        <v>0</v>
      </c>
      <c r="K470" s="123">
        <v>100000</v>
      </c>
      <c r="L470" s="124">
        <f t="shared" si="62"/>
        <v>6</v>
      </c>
      <c r="M470" s="45">
        <f t="shared" si="64"/>
        <v>600000</v>
      </c>
      <c r="N470" s="45">
        <f>M470</f>
        <v>600000</v>
      </c>
      <c r="O470" s="45"/>
      <c r="P470" s="45" t="s">
        <v>6737</v>
      </c>
      <c r="Q470" s="45"/>
      <c r="R470" s="45"/>
      <c r="S470" s="45">
        <f t="shared" si="63"/>
        <v>0</v>
      </c>
      <c r="T470" s="44" t="s">
        <v>19</v>
      </c>
      <c r="U470" s="44" t="s">
        <v>20</v>
      </c>
      <c r="V470" s="43" t="s">
        <v>21</v>
      </c>
      <c r="W470" t="str">
        <f>VLOOKUP(C470,'Data_HS t5'!$B$2:$K$412,10,TRUE)</f>
        <v>Tổ dân phố 21, Phường Phúc Xá, Quận Ba Đình, Thành phố Hà Nội</v>
      </c>
      <c r="X470" t="str">
        <f>VLOOKUP(C470,'Data_HS t9'!$B$2:$K$454,10,TRUE)</f>
        <v>Tổ dân phố số 11, Phường Sài Đồng, Quận Long Biên, Thành phố Hà Nội</v>
      </c>
    </row>
    <row r="471" spans="1:24">
      <c r="A471" s="2">
        <v>461</v>
      </c>
      <c r="B471" s="119">
        <v>202510</v>
      </c>
      <c r="C471" s="44" t="s">
        <v>932</v>
      </c>
      <c r="D471" s="44" t="s">
        <v>933</v>
      </c>
      <c r="E471" s="44" t="s">
        <v>934</v>
      </c>
      <c r="F471" s="44">
        <v>0</v>
      </c>
      <c r="G471" s="44">
        <v>0</v>
      </c>
      <c r="H471" s="44">
        <v>0</v>
      </c>
      <c r="I471" s="44">
        <v>8</v>
      </c>
      <c r="J471" s="44">
        <v>0</v>
      </c>
      <c r="K471" s="123">
        <v>100000</v>
      </c>
      <c r="L471" s="124">
        <f t="shared" si="62"/>
        <v>8</v>
      </c>
      <c r="M471" s="45">
        <f t="shared" si="64"/>
        <v>800000</v>
      </c>
      <c r="N471" s="45">
        <f>M471</f>
        <v>800000</v>
      </c>
      <c r="O471" s="45"/>
      <c r="P471" s="45" t="s">
        <v>6281</v>
      </c>
      <c r="Q471" s="45"/>
      <c r="R471" s="45"/>
      <c r="S471" s="45">
        <f t="shared" si="63"/>
        <v>0</v>
      </c>
      <c r="T471" s="44" t="s">
        <v>19</v>
      </c>
      <c r="U471" s="44" t="s">
        <v>20</v>
      </c>
      <c r="V471" s="43" t="s">
        <v>21</v>
      </c>
      <c r="W471">
        <f>VLOOKUP(C471,'Data_HS t5'!$B$2:$K$412,10,TRUE)</f>
        <v>0</v>
      </c>
      <c r="X471">
        <f>VLOOKUP(C471,'Data_HS t9'!$B$2:$K$454,10,TRUE)</f>
        <v>0</v>
      </c>
    </row>
    <row r="472" spans="1:24">
      <c r="A472" s="2">
        <v>462</v>
      </c>
      <c r="B472" s="119">
        <v>202510</v>
      </c>
      <c r="C472" s="44" t="s">
        <v>935</v>
      </c>
      <c r="D472" s="44" t="s">
        <v>936</v>
      </c>
      <c r="E472" s="44" t="s">
        <v>934</v>
      </c>
      <c r="F472" s="44">
        <v>0</v>
      </c>
      <c r="G472" s="44">
        <v>0</v>
      </c>
      <c r="H472" s="44">
        <v>0</v>
      </c>
      <c r="I472" s="44">
        <v>8</v>
      </c>
      <c r="J472" s="44">
        <v>0</v>
      </c>
      <c r="K472" s="123">
        <v>100000</v>
      </c>
      <c r="L472" s="124">
        <f t="shared" si="62"/>
        <v>8</v>
      </c>
      <c r="M472" s="45">
        <f t="shared" si="64"/>
        <v>800000</v>
      </c>
      <c r="N472" s="45">
        <f>M472</f>
        <v>800000</v>
      </c>
      <c r="O472" s="45"/>
      <c r="P472" s="45" t="s">
        <v>6282</v>
      </c>
      <c r="Q472" s="45"/>
      <c r="R472" s="45"/>
      <c r="S472" s="45">
        <f t="shared" si="63"/>
        <v>0</v>
      </c>
      <c r="T472" s="44" t="s">
        <v>19</v>
      </c>
      <c r="U472" s="44" t="s">
        <v>20</v>
      </c>
      <c r="V472" s="43" t="s">
        <v>21</v>
      </c>
      <c r="W472">
        <f>VLOOKUP(C472,'Data_HS t5'!$B$2:$K$412,10,TRUE)</f>
        <v>0</v>
      </c>
      <c r="X472">
        <f>VLOOKUP(C472,'Data_HS t9'!$B$2:$K$454,10,TRUE)</f>
        <v>0</v>
      </c>
    </row>
    <row r="473" spans="1:24">
      <c r="A473" s="2">
        <v>463</v>
      </c>
      <c r="B473" s="119">
        <v>202510</v>
      </c>
      <c r="C473" s="44" t="s">
        <v>937</v>
      </c>
      <c r="D473" s="44" t="s">
        <v>938</v>
      </c>
      <c r="E473" s="44" t="s">
        <v>939</v>
      </c>
      <c r="F473" s="44">
        <v>0</v>
      </c>
      <c r="G473" s="44">
        <v>0</v>
      </c>
      <c r="H473" s="44">
        <v>0</v>
      </c>
      <c r="I473" s="44">
        <v>0</v>
      </c>
      <c r="J473" s="44">
        <v>0</v>
      </c>
      <c r="K473" s="123">
        <v>100000</v>
      </c>
      <c r="L473" s="124">
        <f t="shared" si="62"/>
        <v>0</v>
      </c>
      <c r="M473" s="45">
        <f t="shared" si="64"/>
        <v>0</v>
      </c>
      <c r="N473" s="45"/>
      <c r="O473" s="45"/>
      <c r="P473" s="45"/>
      <c r="Q473" s="45"/>
      <c r="R473" s="45"/>
      <c r="S473" s="45">
        <f t="shared" si="63"/>
        <v>0</v>
      </c>
      <c r="T473" s="44" t="s">
        <v>19</v>
      </c>
      <c r="U473" s="44" t="s">
        <v>20</v>
      </c>
      <c r="V473" s="43" t="s">
        <v>21</v>
      </c>
      <c r="W473" t="str">
        <f>VLOOKUP(C473,'Data_HS t5'!$B$2:$K$412,10,TRUE)</f>
        <v>Tổ dân phố 21, Phường Phúc Xá, Quận Ba Đình, Thành phố Hà Nội</v>
      </c>
      <c r="X473" t="str">
        <f>VLOOKUP(C473,'Data_HS t9'!$B$2:$K$454,10,TRUE)</f>
        <v>Tổ dân phố số 4, Phường Phúc Đồng, Quận Long Biên, Thành phố Hà Nội</v>
      </c>
    </row>
    <row r="474" spans="1:24">
      <c r="A474" s="2">
        <v>464</v>
      </c>
      <c r="B474" s="119">
        <v>202510</v>
      </c>
      <c r="C474" s="44" t="s">
        <v>940</v>
      </c>
      <c r="D474" s="44" t="s">
        <v>941</v>
      </c>
      <c r="E474" s="44" t="s">
        <v>939</v>
      </c>
      <c r="F474" s="44">
        <v>5</v>
      </c>
      <c r="G474" s="44">
        <v>0</v>
      </c>
      <c r="H474" s="44">
        <v>0</v>
      </c>
      <c r="I474" s="44">
        <v>0</v>
      </c>
      <c r="J474" s="44">
        <v>0</v>
      </c>
      <c r="K474" s="123">
        <v>100000</v>
      </c>
      <c r="L474" s="124">
        <f t="shared" si="62"/>
        <v>5</v>
      </c>
      <c r="M474" s="45">
        <f t="shared" si="64"/>
        <v>500000</v>
      </c>
      <c r="N474" s="45">
        <f>M474</f>
        <v>500000</v>
      </c>
      <c r="O474" s="45"/>
      <c r="P474" s="45" t="s">
        <v>2811</v>
      </c>
      <c r="Q474" s="45"/>
      <c r="R474" s="45"/>
      <c r="S474" s="45">
        <f t="shared" si="63"/>
        <v>0</v>
      </c>
      <c r="T474" s="44" t="s">
        <v>19</v>
      </c>
      <c r="U474" s="44" t="s">
        <v>20</v>
      </c>
      <c r="V474" s="43" t="s">
        <v>21</v>
      </c>
      <c r="W474" t="str">
        <f>VLOOKUP(C474,'Data_HS t5'!$B$2:$K$412,10,TRUE)</f>
        <v>Tổ dân phố 21, Phường Phúc Xá, Quận Ba Đình, Thành phố Hà Nội</v>
      </c>
      <c r="X474" t="str">
        <f>VLOOKUP(C474,'Data_HS t9'!$B$2:$K$454,10,TRUE)</f>
        <v>Tổ dân phố số 5, Phường Ngọc Lâm, Quận Long Biên, Thành phố Hà Nội</v>
      </c>
    </row>
    <row r="475" spans="1:24">
      <c r="A475" s="2">
        <v>465</v>
      </c>
      <c r="B475" s="119">
        <v>202510</v>
      </c>
      <c r="C475" s="44" t="s">
        <v>416</v>
      </c>
      <c r="D475" s="44" t="s">
        <v>942</v>
      </c>
      <c r="E475" s="44" t="s">
        <v>943</v>
      </c>
      <c r="F475" s="44">
        <v>0</v>
      </c>
      <c r="G475" s="44">
        <v>0</v>
      </c>
      <c r="H475" s="44">
        <v>0</v>
      </c>
      <c r="I475" s="44">
        <v>9</v>
      </c>
      <c r="J475" s="44">
        <v>0</v>
      </c>
      <c r="K475" s="123">
        <v>100000</v>
      </c>
      <c r="L475" s="124">
        <f t="shared" si="62"/>
        <v>9</v>
      </c>
      <c r="M475" s="45">
        <f t="shared" si="64"/>
        <v>900000</v>
      </c>
      <c r="N475" s="45">
        <f>M475</f>
        <v>900000</v>
      </c>
      <c r="O475" s="45"/>
      <c r="P475" s="45" t="s">
        <v>6436</v>
      </c>
      <c r="Q475" s="45"/>
      <c r="R475" s="45"/>
      <c r="S475" s="45">
        <f t="shared" si="63"/>
        <v>0</v>
      </c>
      <c r="T475" s="44" t="s">
        <v>19</v>
      </c>
      <c r="U475" s="44" t="s">
        <v>20</v>
      </c>
      <c r="V475" s="43" t="s">
        <v>21</v>
      </c>
      <c r="W475" t="str">
        <f>VLOOKUP(C475,'Data_HS t5'!$B$2:$K$412,10,TRUE)</f>
        <v>Phường Thạch Bàn, Quận Long Biên, Thành phố Hà Nội</v>
      </c>
      <c r="X475" t="e">
        <f>VLOOKUP(C475,'Data_HS t9'!$B$2:$K$454,10,TRUE)</f>
        <v>#N/A</v>
      </c>
    </row>
    <row r="476" spans="1:24">
      <c r="A476" s="2">
        <v>466</v>
      </c>
      <c r="B476" s="119">
        <v>202510</v>
      </c>
      <c r="C476" s="44" t="s">
        <v>944</v>
      </c>
      <c r="D476" s="44" t="s">
        <v>945</v>
      </c>
      <c r="E476" s="44" t="s">
        <v>943</v>
      </c>
      <c r="F476" s="44">
        <v>0</v>
      </c>
      <c r="G476" s="44">
        <v>0</v>
      </c>
      <c r="H476" s="44">
        <v>0</v>
      </c>
      <c r="I476" s="44">
        <v>9</v>
      </c>
      <c r="J476" s="44">
        <v>0</v>
      </c>
      <c r="K476" s="123">
        <v>100000</v>
      </c>
      <c r="L476" s="124">
        <f t="shared" si="62"/>
        <v>9</v>
      </c>
      <c r="M476" s="45">
        <f t="shared" si="64"/>
        <v>900000</v>
      </c>
      <c r="N476" s="45">
        <f>M476</f>
        <v>900000</v>
      </c>
      <c r="O476" s="45"/>
      <c r="P476" s="45" t="s">
        <v>6440</v>
      </c>
      <c r="Q476" s="45"/>
      <c r="R476" s="45"/>
      <c r="S476" s="45">
        <f t="shared" si="63"/>
        <v>0</v>
      </c>
      <c r="T476" s="44" t="s">
        <v>19</v>
      </c>
      <c r="U476" s="44" t="s">
        <v>20</v>
      </c>
      <c r="V476" s="43" t="s">
        <v>21</v>
      </c>
      <c r="W476">
        <f>VLOOKUP(C476,'Data_HS t5'!$B$2:$K$412,10,TRUE)</f>
        <v>0</v>
      </c>
      <c r="X476">
        <f>VLOOKUP(C476,'Data_HS t9'!$B$2:$K$454,10,TRUE)</f>
        <v>0</v>
      </c>
    </row>
    <row r="477" spans="1:24" ht="24" customHeight="1">
      <c r="A477" s="2">
        <v>467</v>
      </c>
      <c r="B477" s="129">
        <v>202510</v>
      </c>
      <c r="C477" s="64" t="s">
        <v>946</v>
      </c>
      <c r="D477" s="64" t="s">
        <v>947</v>
      </c>
      <c r="E477" s="64" t="s">
        <v>1064</v>
      </c>
      <c r="F477" s="64">
        <v>8</v>
      </c>
      <c r="G477" s="64">
        <v>0</v>
      </c>
      <c r="H477" s="64">
        <v>3</v>
      </c>
      <c r="I477" s="64">
        <v>0</v>
      </c>
      <c r="J477" s="64">
        <v>0</v>
      </c>
      <c r="K477" s="126">
        <v>100000</v>
      </c>
      <c r="L477" s="134">
        <f t="shared" si="62"/>
        <v>11</v>
      </c>
      <c r="M477" s="62">
        <f t="shared" si="64"/>
        <v>1100000</v>
      </c>
      <c r="N477" s="45"/>
      <c r="O477" s="45"/>
      <c r="P477" s="45"/>
      <c r="Q477" s="45"/>
      <c r="R477" s="177" t="s">
        <v>7198</v>
      </c>
      <c r="S477" s="45">
        <f t="shared" si="63"/>
        <v>1100000</v>
      </c>
      <c r="T477" s="44" t="s">
        <v>19</v>
      </c>
      <c r="U477" s="44" t="s">
        <v>20</v>
      </c>
      <c r="V477" s="43" t="s">
        <v>21</v>
      </c>
      <c r="W477" t="str">
        <f>VLOOKUP(C477,'Data_HS t5'!$B$2:$K$412,10,TRUE)</f>
        <v>Phường Lê Đại Hành, Quận Hai Bà Trưng, Thành phố Hà Nội</v>
      </c>
      <c r="X477" t="str">
        <f>VLOOKUP(C477,'Data_HS t9'!$B$2:$K$454,10,TRUE)</f>
        <v>P3r4 cc Happy Star No10, Giang Biên, LB</v>
      </c>
    </row>
    <row r="478" spans="1:24">
      <c r="A478" s="2">
        <v>468</v>
      </c>
      <c r="B478" s="119">
        <v>202510</v>
      </c>
      <c r="C478" s="44" t="s">
        <v>949</v>
      </c>
      <c r="D478" s="44" t="s">
        <v>950</v>
      </c>
      <c r="E478" s="44" t="s">
        <v>948</v>
      </c>
      <c r="F478" s="44">
        <v>8</v>
      </c>
      <c r="G478" s="44">
        <v>5</v>
      </c>
      <c r="H478" s="44">
        <v>0</v>
      </c>
      <c r="I478" s="44">
        <v>0</v>
      </c>
      <c r="J478" s="44">
        <v>0</v>
      </c>
      <c r="K478" s="123">
        <v>100000</v>
      </c>
      <c r="L478" s="124">
        <f t="shared" si="62"/>
        <v>13</v>
      </c>
      <c r="M478" s="45">
        <f t="shared" si="64"/>
        <v>1300000</v>
      </c>
      <c r="N478" s="45">
        <f>M478</f>
        <v>1300000</v>
      </c>
      <c r="O478" s="45"/>
      <c r="P478" s="45" t="s">
        <v>3092</v>
      </c>
      <c r="Q478" s="45"/>
      <c r="R478" s="45"/>
      <c r="S478" s="45">
        <f t="shared" si="63"/>
        <v>0</v>
      </c>
      <c r="T478" s="44" t="s">
        <v>19</v>
      </c>
      <c r="U478" s="44" t="s">
        <v>20</v>
      </c>
      <c r="V478" s="43" t="s">
        <v>21</v>
      </c>
      <c r="W478" t="str">
        <f>VLOOKUP(C478,'Data_HS t5'!$B$2:$K$412,10,TRUE)</f>
        <v>Tổ dân phố số 23, Phường Bồ Đề, Quận Long Biên, Thành phố Hà Nội</v>
      </c>
      <c r="X478" t="str">
        <f>VLOOKUP(C478,'Data_HS t9'!$B$2:$K$454,10,TRUE)</f>
        <v>Tổ 3, Thạch Bàn, LB</v>
      </c>
    </row>
    <row r="479" spans="1:24">
      <c r="A479" s="2">
        <v>469</v>
      </c>
      <c r="B479" s="119">
        <v>202510</v>
      </c>
      <c r="C479" s="44" t="s">
        <v>951</v>
      </c>
      <c r="D479" s="44" t="s">
        <v>952</v>
      </c>
      <c r="E479" s="44" t="s">
        <v>948</v>
      </c>
      <c r="F479" s="44">
        <v>8</v>
      </c>
      <c r="G479" s="44">
        <v>0</v>
      </c>
      <c r="H479" s="44">
        <v>0</v>
      </c>
      <c r="I479" s="44">
        <v>0</v>
      </c>
      <c r="J479" s="44">
        <v>0</v>
      </c>
      <c r="K479" s="123">
        <v>100000</v>
      </c>
      <c r="L479" s="124">
        <f t="shared" si="62"/>
        <v>8</v>
      </c>
      <c r="M479" s="45">
        <f t="shared" si="64"/>
        <v>800000</v>
      </c>
      <c r="N479" s="45">
        <f>M479</f>
        <v>800000</v>
      </c>
      <c r="O479" s="45"/>
      <c r="P479" s="45" t="s">
        <v>3069</v>
      </c>
      <c r="Q479" s="45"/>
      <c r="R479" s="45"/>
      <c r="S479" s="45">
        <f t="shared" si="63"/>
        <v>0</v>
      </c>
      <c r="T479" s="44" t="s">
        <v>19</v>
      </c>
      <c r="U479" s="44" t="s">
        <v>20</v>
      </c>
      <c r="V479" s="43" t="s">
        <v>21</v>
      </c>
      <c r="W479" t="str">
        <f>VLOOKUP(C479,'Data_HS t5'!$B$2:$K$412,10,TRUE)</f>
        <v>Tổ dân phố 21, Phường Phúc Xá, Quận Ba Đình, Thành phố Hà Nội</v>
      </c>
      <c r="X479" t="str">
        <f>VLOOKUP(C479,'Data_HS t9'!$B$2:$K$454,10,TRUE)</f>
        <v>Tổ dân phố số 4, Phường Phúc Đồng, Quận Long Biên, Thành phố Hà Nội</v>
      </c>
    </row>
    <row r="480" spans="1:24">
      <c r="A480" s="2">
        <v>470</v>
      </c>
      <c r="B480" s="119">
        <v>202510</v>
      </c>
      <c r="C480" s="44" t="s">
        <v>953</v>
      </c>
      <c r="D480" s="44" t="s">
        <v>954</v>
      </c>
      <c r="E480" s="44" t="s">
        <v>948</v>
      </c>
      <c r="F480" s="44">
        <v>8</v>
      </c>
      <c r="G480" s="44">
        <v>0</v>
      </c>
      <c r="H480" s="44">
        <v>0</v>
      </c>
      <c r="I480" s="44">
        <v>0</v>
      </c>
      <c r="J480" s="44">
        <v>0</v>
      </c>
      <c r="K480" s="123">
        <v>100000</v>
      </c>
      <c r="L480" s="124">
        <f t="shared" si="62"/>
        <v>8</v>
      </c>
      <c r="M480" s="45">
        <f t="shared" si="64"/>
        <v>800000</v>
      </c>
      <c r="N480" s="45">
        <f>M480</f>
        <v>800000</v>
      </c>
      <c r="O480" s="45"/>
      <c r="P480" s="45" t="s">
        <v>2766</v>
      </c>
      <c r="Q480" s="45"/>
      <c r="R480" s="45"/>
      <c r="S480" s="45">
        <f t="shared" si="63"/>
        <v>0</v>
      </c>
      <c r="T480" s="44" t="s">
        <v>19</v>
      </c>
      <c r="U480" s="44" t="s">
        <v>20</v>
      </c>
      <c r="V480" s="43" t="s">
        <v>21</v>
      </c>
      <c r="W480" t="str">
        <f>VLOOKUP(C480,'Data_HS t5'!$B$2:$K$412,10,TRUE)</f>
        <v>Tổ dân phố số 4, Phường Thạch Bàn, Quận Long Biên, Thành phố Hà Nội</v>
      </c>
      <c r="X480" t="e">
        <f>VLOOKUP(C480,'Data_HS t9'!$B$2:$K$454,10,TRUE)</f>
        <v>#N/A</v>
      </c>
    </row>
    <row r="481" spans="1:24">
      <c r="A481" s="2">
        <v>471</v>
      </c>
      <c r="B481" s="119">
        <v>202510</v>
      </c>
      <c r="C481" s="44" t="s">
        <v>955</v>
      </c>
      <c r="D481" s="44" t="s">
        <v>956</v>
      </c>
      <c r="E481" s="44" t="s">
        <v>948</v>
      </c>
      <c r="F481" s="44">
        <v>8</v>
      </c>
      <c r="G481" s="44">
        <v>0</v>
      </c>
      <c r="H481" s="44">
        <v>0</v>
      </c>
      <c r="I481" s="44">
        <v>0</v>
      </c>
      <c r="J481" s="44">
        <v>0</v>
      </c>
      <c r="K481" s="123">
        <v>100000</v>
      </c>
      <c r="L481" s="124">
        <f t="shared" si="62"/>
        <v>8</v>
      </c>
      <c r="M481" s="45">
        <f t="shared" si="64"/>
        <v>800000</v>
      </c>
      <c r="N481" s="45">
        <f>M481</f>
        <v>800000</v>
      </c>
      <c r="O481" s="45"/>
      <c r="P481" s="45" t="s">
        <v>6271</v>
      </c>
      <c r="Q481" s="45"/>
      <c r="R481" s="45"/>
      <c r="S481" s="45">
        <f t="shared" si="63"/>
        <v>0</v>
      </c>
      <c r="T481" s="44" t="s">
        <v>19</v>
      </c>
      <c r="U481" s="44" t="s">
        <v>20</v>
      </c>
      <c r="V481" s="43" t="s">
        <v>21</v>
      </c>
      <c r="W481" t="str">
        <f>VLOOKUP(C481,'Data_HS t5'!$B$2:$K$412,10,TRUE)</f>
        <v>Phường Long Biên, Quận Long Biên, Thành phố Hà Nội</v>
      </c>
      <c r="X481" t="str">
        <f>VLOOKUP(C481,'Data_HS t9'!$B$2:$K$454,10,TRUE)</f>
        <v>Tổ 1, Phường Long Biên, Quận Long Biên, Thành phố Hà Nội</v>
      </c>
    </row>
    <row r="482" spans="1:24">
      <c r="A482" s="2">
        <v>472</v>
      </c>
      <c r="B482" s="119">
        <v>202510</v>
      </c>
      <c r="C482" s="44" t="s">
        <v>957</v>
      </c>
      <c r="D482" s="44" t="s">
        <v>958</v>
      </c>
      <c r="E482" s="44" t="s">
        <v>948</v>
      </c>
      <c r="F482" s="44">
        <v>8</v>
      </c>
      <c r="G482" s="44">
        <v>0</v>
      </c>
      <c r="H482" s="44">
        <v>0</v>
      </c>
      <c r="I482" s="44">
        <v>0</v>
      </c>
      <c r="J482" s="44">
        <v>0</v>
      </c>
      <c r="K482" s="123">
        <v>100000</v>
      </c>
      <c r="L482" s="124">
        <f t="shared" si="62"/>
        <v>8</v>
      </c>
      <c r="M482" s="45">
        <f t="shared" si="64"/>
        <v>800000</v>
      </c>
      <c r="N482" s="45">
        <f>M482</f>
        <v>800000</v>
      </c>
      <c r="O482" s="45"/>
      <c r="P482" s="45" t="s">
        <v>6656</v>
      </c>
      <c r="Q482" s="45"/>
      <c r="R482" s="45"/>
      <c r="S482" s="45">
        <f t="shared" si="63"/>
        <v>0</v>
      </c>
      <c r="T482" s="44" t="s">
        <v>19</v>
      </c>
      <c r="U482" s="44" t="s">
        <v>20</v>
      </c>
      <c r="V482" s="43" t="s">
        <v>21</v>
      </c>
      <c r="W482">
        <f>VLOOKUP(C482,'Data_HS t5'!$B$2:$K$412,10,TRUE)</f>
        <v>0</v>
      </c>
      <c r="X482" t="str">
        <f>VLOOKUP(C482,'Data_HS t9'!$B$2:$K$454,10,TRUE)</f>
        <v>Phường Phúc Lợi, Quận Long Biên, Thành phố Hà Nội</v>
      </c>
    </row>
    <row r="483" spans="1:24">
      <c r="A483" s="2">
        <v>473</v>
      </c>
      <c r="B483" s="119">
        <v>202510</v>
      </c>
      <c r="C483" s="44" t="s">
        <v>959</v>
      </c>
      <c r="D483" s="44" t="s">
        <v>960</v>
      </c>
      <c r="E483" s="44" t="s">
        <v>948</v>
      </c>
      <c r="F483" s="44">
        <v>8</v>
      </c>
      <c r="G483" s="44">
        <v>5</v>
      </c>
      <c r="H483" s="44">
        <v>0</v>
      </c>
      <c r="I483" s="44">
        <v>0</v>
      </c>
      <c r="J483" s="44">
        <v>0</v>
      </c>
      <c r="K483" s="123">
        <v>100000</v>
      </c>
      <c r="L483" s="124">
        <f t="shared" si="62"/>
        <v>13</v>
      </c>
      <c r="M483" s="45">
        <f t="shared" si="64"/>
        <v>1300000</v>
      </c>
      <c r="N483" s="45">
        <v>1300000</v>
      </c>
      <c r="O483" s="45"/>
      <c r="P483" s="45"/>
      <c r="Q483" s="45" t="s">
        <v>3150</v>
      </c>
      <c r="R483" s="45">
        <v>20000</v>
      </c>
      <c r="S483" s="45">
        <f t="shared" si="63"/>
        <v>0</v>
      </c>
      <c r="T483" s="44" t="s">
        <v>19</v>
      </c>
      <c r="U483" s="44" t="s">
        <v>20</v>
      </c>
      <c r="V483" s="43" t="s">
        <v>21</v>
      </c>
      <c r="W483">
        <f>VLOOKUP(C483,'Data_HS t5'!$B$2:$K$412,10,TRUE)</f>
        <v>0</v>
      </c>
      <c r="X483" t="str">
        <f>VLOOKUP(C483,'Data_HS t9'!$B$2:$K$454,10,TRUE)</f>
        <v>Tổ dân phố số 11, Phường Sài Đồng, Quận Long Biên, Thành phố Hà Nội</v>
      </c>
    </row>
    <row r="484" spans="1:24">
      <c r="A484" s="2">
        <v>474</v>
      </c>
      <c r="B484" s="119">
        <v>202510</v>
      </c>
      <c r="C484" s="44" t="s">
        <v>961</v>
      </c>
      <c r="D484" s="44" t="s">
        <v>962</v>
      </c>
      <c r="E484" s="44" t="s">
        <v>948</v>
      </c>
      <c r="F484" s="44">
        <v>8</v>
      </c>
      <c r="G484" s="44">
        <v>0</v>
      </c>
      <c r="H484" s="44">
        <v>0</v>
      </c>
      <c r="I484" s="44">
        <v>0</v>
      </c>
      <c r="J484" s="44">
        <v>0</v>
      </c>
      <c r="K484" s="123">
        <v>100000</v>
      </c>
      <c r="L484" s="124">
        <f t="shared" si="62"/>
        <v>8</v>
      </c>
      <c r="M484" s="45">
        <f t="shared" si="64"/>
        <v>800000</v>
      </c>
      <c r="N484" s="45">
        <f>M484</f>
        <v>800000</v>
      </c>
      <c r="O484" s="45"/>
      <c r="P484" s="45" t="s">
        <v>2780</v>
      </c>
      <c r="Q484" s="45"/>
      <c r="R484" s="45"/>
      <c r="S484" s="45">
        <f t="shared" si="63"/>
        <v>0</v>
      </c>
      <c r="T484" s="44" t="s">
        <v>19</v>
      </c>
      <c r="U484" s="44" t="s">
        <v>20</v>
      </c>
      <c r="V484" s="43" t="s">
        <v>21</v>
      </c>
      <c r="W484" t="str">
        <f>VLOOKUP(C484,'Data_HS t5'!$B$2:$K$412,10,TRUE)</f>
        <v>Hiện nay: Tổ 12, Thạch Bàn, LB</v>
      </c>
      <c r="X484" t="str">
        <f>VLOOKUP(C484,'Data_HS t9'!$B$2:$K$454,10,TRUE)</f>
        <v>Hiện nay: Tổ 12, Thạch Bàn, LB</v>
      </c>
    </row>
    <row r="485" spans="1:24">
      <c r="A485" s="2">
        <v>475</v>
      </c>
      <c r="B485" s="119">
        <v>202510</v>
      </c>
      <c r="C485" s="44" t="s">
        <v>963</v>
      </c>
      <c r="D485" s="44" t="s">
        <v>964</v>
      </c>
      <c r="E485" s="44" t="s">
        <v>948</v>
      </c>
      <c r="F485" s="44">
        <v>8</v>
      </c>
      <c r="G485" s="44">
        <v>0</v>
      </c>
      <c r="H485" s="44">
        <v>0</v>
      </c>
      <c r="I485" s="44">
        <v>0</v>
      </c>
      <c r="J485" s="44">
        <v>0</v>
      </c>
      <c r="K485" s="123">
        <v>100000</v>
      </c>
      <c r="L485" s="124">
        <f t="shared" si="62"/>
        <v>8</v>
      </c>
      <c r="M485" s="45">
        <f t="shared" si="64"/>
        <v>800000</v>
      </c>
      <c r="N485" s="45">
        <f>M485</f>
        <v>800000</v>
      </c>
      <c r="O485" s="45"/>
      <c r="P485" s="45" t="s">
        <v>2821</v>
      </c>
      <c r="Q485" s="45"/>
      <c r="R485" s="45"/>
      <c r="S485" s="45">
        <f t="shared" si="63"/>
        <v>0</v>
      </c>
      <c r="T485" s="44" t="s">
        <v>19</v>
      </c>
      <c r="U485" s="44" t="s">
        <v>20</v>
      </c>
      <c r="V485" s="43" t="s">
        <v>21</v>
      </c>
      <c r="W485" t="e">
        <f>VLOOKUP(C485,'Data_HS t5'!$B$2:$K$412,10,TRUE)</f>
        <v>#N/A</v>
      </c>
      <c r="X485" t="e">
        <f>VLOOKUP(C485,'Data_HS t9'!$B$2:$K$454,10,TRUE)</f>
        <v>#N/A</v>
      </c>
    </row>
    <row r="486" spans="1:24">
      <c r="A486" s="2">
        <v>476</v>
      </c>
      <c r="B486" s="119">
        <v>202510</v>
      </c>
      <c r="C486" s="44" t="s">
        <v>965</v>
      </c>
      <c r="D486" s="44" t="s">
        <v>966</v>
      </c>
      <c r="E486" s="44" t="s">
        <v>948</v>
      </c>
      <c r="F486" s="44">
        <v>0</v>
      </c>
      <c r="G486" s="44">
        <v>5</v>
      </c>
      <c r="H486" s="44">
        <v>0</v>
      </c>
      <c r="I486" s="44">
        <v>0</v>
      </c>
      <c r="J486" s="44">
        <v>0</v>
      </c>
      <c r="K486" s="123">
        <v>100000</v>
      </c>
      <c r="L486" s="124">
        <f t="shared" si="62"/>
        <v>5</v>
      </c>
      <c r="M486" s="45">
        <f t="shared" si="64"/>
        <v>500000</v>
      </c>
      <c r="N486" s="45">
        <f>M486</f>
        <v>500000</v>
      </c>
      <c r="O486" s="45"/>
      <c r="P486" s="45" t="s">
        <v>6070</v>
      </c>
      <c r="Q486" s="45"/>
      <c r="R486" s="45"/>
      <c r="S486" s="45">
        <f t="shared" si="63"/>
        <v>0</v>
      </c>
      <c r="T486" s="44" t="s">
        <v>19</v>
      </c>
      <c r="U486" s="44" t="s">
        <v>20</v>
      </c>
      <c r="V486" s="43" t="s">
        <v>21</v>
      </c>
      <c r="W486" t="str">
        <f>VLOOKUP(C486,'Data_HS t5'!$B$2:$K$412,10,TRUE)</f>
        <v>Xã Đa Tốn, Huyện Gia Lâm, Thành phố Hà Nội</v>
      </c>
      <c r="X486" t="str">
        <f>VLOOKUP(C486,'Data_HS t9'!$B$2:$K$454,10,TRUE)</f>
        <v>5/366/36/4, Ngọc Lâm, LB</v>
      </c>
    </row>
    <row r="487" spans="1:24">
      <c r="A487" s="2">
        <v>477</v>
      </c>
      <c r="B487" s="119">
        <v>202510</v>
      </c>
      <c r="C487" s="44" t="s">
        <v>967</v>
      </c>
      <c r="D487" s="44" t="s">
        <v>968</v>
      </c>
      <c r="E487" s="44" t="s">
        <v>948</v>
      </c>
      <c r="F487" s="44">
        <v>0</v>
      </c>
      <c r="G487" s="44">
        <v>5</v>
      </c>
      <c r="H487" s="44">
        <v>0</v>
      </c>
      <c r="I487" s="44">
        <v>0</v>
      </c>
      <c r="J487" s="44">
        <v>0</v>
      </c>
      <c r="K487" s="123">
        <v>100000</v>
      </c>
      <c r="L487" s="124">
        <f t="shared" si="62"/>
        <v>5</v>
      </c>
      <c r="M487" s="45">
        <f t="shared" si="64"/>
        <v>500000</v>
      </c>
      <c r="N487" s="45">
        <f t="shared" ref="N487:N492" si="67">M487</f>
        <v>500000</v>
      </c>
      <c r="O487" s="45"/>
      <c r="P487" s="45" t="s">
        <v>2065</v>
      </c>
      <c r="Q487" s="45"/>
      <c r="R487" s="45"/>
      <c r="S487" s="45">
        <f t="shared" si="63"/>
        <v>0</v>
      </c>
      <c r="T487" s="44" t="s">
        <v>19</v>
      </c>
      <c r="U487" s="44" t="s">
        <v>20</v>
      </c>
      <c r="V487" s="43" t="s">
        <v>21</v>
      </c>
      <c r="W487" t="e">
        <f>VLOOKUP(C487,'Data_HS t5'!$B$2:$K$412,10,TRUE)</f>
        <v>#N/A</v>
      </c>
      <c r="X487" t="str">
        <f>VLOOKUP(C487,'Data_HS t9'!$B$2:$K$454,10,TRUE)</f>
        <v>Tổ dân phố số 36, Phường Ngọc Thụy, Quận Long Biên, Thành phố Hà Nội</v>
      </c>
    </row>
    <row r="488" spans="1:24">
      <c r="A488" s="2">
        <v>478</v>
      </c>
      <c r="B488" s="119">
        <v>202510</v>
      </c>
      <c r="C488" s="44" t="s">
        <v>321</v>
      </c>
      <c r="D488" s="44" t="s">
        <v>969</v>
      </c>
      <c r="E488" s="44" t="s">
        <v>948</v>
      </c>
      <c r="F488" s="44">
        <v>8</v>
      </c>
      <c r="G488" s="44">
        <v>5</v>
      </c>
      <c r="H488" s="44">
        <v>0</v>
      </c>
      <c r="I488" s="44">
        <v>0</v>
      </c>
      <c r="J488" s="44">
        <v>0</v>
      </c>
      <c r="K488" s="123">
        <v>100000</v>
      </c>
      <c r="L488" s="124">
        <f t="shared" si="62"/>
        <v>13</v>
      </c>
      <c r="M488" s="45">
        <f t="shared" si="64"/>
        <v>1300000</v>
      </c>
      <c r="N488" s="45">
        <f t="shared" si="67"/>
        <v>1300000</v>
      </c>
      <c r="O488" s="45"/>
      <c r="P488" s="45"/>
      <c r="Q488" s="45" t="s">
        <v>3150</v>
      </c>
      <c r="R488" s="45">
        <v>20000</v>
      </c>
      <c r="S488" s="45">
        <f t="shared" si="63"/>
        <v>0</v>
      </c>
      <c r="T488" s="44" t="s">
        <v>19</v>
      </c>
      <c r="U488" s="44" t="s">
        <v>20</v>
      </c>
      <c r="V488" s="43" t="s">
        <v>21</v>
      </c>
      <c r="W488">
        <f>VLOOKUP(C488,'Data_HS t5'!$B$2:$K$412,10,TRUE)</f>
        <v>0</v>
      </c>
      <c r="X488" t="str">
        <f>VLOOKUP(C488,'Data_HS t9'!$B$2:$K$454,10,TRUE)</f>
        <v>Tổ 13, Khu Đô thị Việt Hưng, Phường Giang Biên, Quận Long Biên.</v>
      </c>
    </row>
    <row r="489" spans="1:24">
      <c r="A489" s="2">
        <v>479</v>
      </c>
      <c r="B489" s="119">
        <v>202510</v>
      </c>
      <c r="C489" s="44" t="s">
        <v>970</v>
      </c>
      <c r="D489" s="44" t="s">
        <v>971</v>
      </c>
      <c r="E489" s="44" t="s">
        <v>948</v>
      </c>
      <c r="F489" s="44">
        <v>0</v>
      </c>
      <c r="G489" s="44">
        <v>5</v>
      </c>
      <c r="H489" s="44">
        <v>0</v>
      </c>
      <c r="I489" s="44">
        <v>0</v>
      </c>
      <c r="J489" s="44">
        <v>0</v>
      </c>
      <c r="K489" s="123">
        <v>100000</v>
      </c>
      <c r="L489" s="124">
        <f t="shared" si="62"/>
        <v>5</v>
      </c>
      <c r="M489" s="45">
        <f t="shared" si="64"/>
        <v>500000</v>
      </c>
      <c r="N489" s="45">
        <f t="shared" si="67"/>
        <v>500000</v>
      </c>
      <c r="O489" s="45"/>
      <c r="P489" s="45" t="s">
        <v>2048</v>
      </c>
      <c r="Q489" s="45"/>
      <c r="R489" s="45"/>
      <c r="S489" s="45">
        <f t="shared" si="63"/>
        <v>0</v>
      </c>
      <c r="T489" s="44" t="s">
        <v>19</v>
      </c>
      <c r="U489" s="44" t="s">
        <v>20</v>
      </c>
      <c r="V489" s="43" t="s">
        <v>21</v>
      </c>
      <c r="W489" t="e">
        <f>VLOOKUP(C489,'Data_HS t5'!$B$2:$K$412,10,TRUE)</f>
        <v>#N/A</v>
      </c>
      <c r="X489" t="e">
        <f>VLOOKUP(C489,'Data_HS t9'!$B$2:$K$454,10,TRUE)</f>
        <v>#N/A</v>
      </c>
    </row>
    <row r="490" spans="1:24">
      <c r="A490" s="2">
        <v>480</v>
      </c>
      <c r="B490" s="119">
        <v>202510</v>
      </c>
      <c r="C490" s="44" t="s">
        <v>972</v>
      </c>
      <c r="D490" s="44" t="s">
        <v>973</v>
      </c>
      <c r="E490" s="44" t="s">
        <v>948</v>
      </c>
      <c r="F490" s="44">
        <v>0</v>
      </c>
      <c r="G490" s="44">
        <v>5</v>
      </c>
      <c r="H490" s="44">
        <v>0</v>
      </c>
      <c r="I490" s="44">
        <v>0</v>
      </c>
      <c r="J490" s="44">
        <v>0</v>
      </c>
      <c r="K490" s="123">
        <v>100000</v>
      </c>
      <c r="L490" s="124">
        <f t="shared" si="62"/>
        <v>5</v>
      </c>
      <c r="M490" s="45">
        <f t="shared" si="64"/>
        <v>500000</v>
      </c>
      <c r="N490" s="45">
        <f t="shared" si="67"/>
        <v>500000</v>
      </c>
      <c r="O490" s="45"/>
      <c r="P490" s="45" t="s">
        <v>2823</v>
      </c>
      <c r="Q490" s="45"/>
      <c r="R490" s="45"/>
      <c r="S490" s="45">
        <f t="shared" si="63"/>
        <v>0</v>
      </c>
      <c r="T490" s="44" t="s">
        <v>19</v>
      </c>
      <c r="U490" s="44" t="s">
        <v>20</v>
      </c>
      <c r="V490" s="43" t="s">
        <v>21</v>
      </c>
      <c r="W490" t="e">
        <f>VLOOKUP(C490,'Data_HS t5'!$B$2:$K$412,10,TRUE)</f>
        <v>#N/A</v>
      </c>
      <c r="X490" t="str">
        <f>VLOOKUP(C490,'Data_HS t9'!$B$2:$K$454,10,TRUE)</f>
        <v>Tổ dân phố số 36, Phường Ngọc Thụy, Quận Long Biên, Thành phố Hà Nội</v>
      </c>
    </row>
    <row r="491" spans="1:24">
      <c r="A491" s="2">
        <v>481</v>
      </c>
      <c r="B491" s="119">
        <v>202510</v>
      </c>
      <c r="C491" s="44" t="s">
        <v>974</v>
      </c>
      <c r="D491" s="44" t="s">
        <v>975</v>
      </c>
      <c r="E491" s="44" t="s">
        <v>948</v>
      </c>
      <c r="F491" s="44">
        <v>0</v>
      </c>
      <c r="G491" s="44">
        <v>5</v>
      </c>
      <c r="H491" s="44">
        <v>0</v>
      </c>
      <c r="I491" s="44">
        <v>0</v>
      </c>
      <c r="J491" s="44">
        <v>0</v>
      </c>
      <c r="K491" s="123">
        <v>100000</v>
      </c>
      <c r="L491" s="124">
        <f t="shared" si="62"/>
        <v>5</v>
      </c>
      <c r="M491" s="45">
        <f t="shared" si="64"/>
        <v>500000</v>
      </c>
      <c r="N491" s="45">
        <f t="shared" si="67"/>
        <v>500000</v>
      </c>
      <c r="O491" s="45"/>
      <c r="P491" s="45" t="s">
        <v>3051</v>
      </c>
      <c r="Q491" s="45"/>
      <c r="R491" s="45"/>
      <c r="S491" s="45">
        <f t="shared" si="63"/>
        <v>0</v>
      </c>
      <c r="T491" s="44" t="s">
        <v>19</v>
      </c>
      <c r="U491" s="44" t="s">
        <v>20</v>
      </c>
      <c r="V491" s="43" t="s">
        <v>21</v>
      </c>
      <c r="W491">
        <f>VLOOKUP(C491,'Data_HS t5'!$B$2:$K$412,10,TRUE)</f>
        <v>0</v>
      </c>
      <c r="X491" t="str">
        <f>VLOOKUP(C491,'Data_HS t9'!$B$2:$K$454,10,TRUE)</f>
        <v>Tổ dân phố số 11, Phường Sài Đồng, Quận Long Biên, Thành phố Hà Nội</v>
      </c>
    </row>
    <row r="492" spans="1:24">
      <c r="A492" s="2">
        <v>482</v>
      </c>
      <c r="B492" s="119">
        <v>202510</v>
      </c>
      <c r="C492" s="44" t="s">
        <v>976</v>
      </c>
      <c r="D492" s="44" t="s">
        <v>977</v>
      </c>
      <c r="E492" s="44" t="s">
        <v>948</v>
      </c>
      <c r="F492" s="44">
        <v>0</v>
      </c>
      <c r="G492" s="44">
        <v>5</v>
      </c>
      <c r="H492" s="44">
        <v>0</v>
      </c>
      <c r="I492" s="44">
        <v>0</v>
      </c>
      <c r="J492" s="44">
        <v>0</v>
      </c>
      <c r="K492" s="123">
        <v>100000</v>
      </c>
      <c r="L492" s="124">
        <f t="shared" si="62"/>
        <v>5</v>
      </c>
      <c r="M492" s="45">
        <f t="shared" si="64"/>
        <v>500000</v>
      </c>
      <c r="N492" s="45">
        <f t="shared" si="67"/>
        <v>500000</v>
      </c>
      <c r="O492" s="45"/>
      <c r="P492" s="45" t="s">
        <v>2828</v>
      </c>
      <c r="Q492" s="45"/>
      <c r="R492" s="45"/>
      <c r="S492" s="45">
        <f t="shared" si="63"/>
        <v>0</v>
      </c>
      <c r="T492" s="44" t="s">
        <v>19</v>
      </c>
      <c r="U492" s="44" t="s">
        <v>20</v>
      </c>
      <c r="V492" s="43" t="s">
        <v>21</v>
      </c>
      <c r="W492" t="str">
        <f>VLOOKUP(C492,'Data_HS t5'!$B$2:$K$412,10,TRUE)</f>
        <v>Tổ dân phố 21, Phường Phúc Xá, Quận Ba Đình, Thành phố Hà Nội</v>
      </c>
      <c r="X492" t="str">
        <f>VLOOKUP(C492,'Data_HS t9'!$B$2:$K$454,10,TRUE)</f>
        <v>Tổ dân phố số 11, Phường Sài Đồng, Quận Long Biên, Thành phố Hà Nội</v>
      </c>
    </row>
    <row r="493" spans="1:24">
      <c r="A493" s="2">
        <v>483</v>
      </c>
      <c r="B493" s="119">
        <v>202510</v>
      </c>
      <c r="C493" s="44" t="s">
        <v>978</v>
      </c>
      <c r="D493" s="44" t="s">
        <v>979</v>
      </c>
      <c r="E493" s="44" t="s">
        <v>948</v>
      </c>
      <c r="F493" s="44">
        <v>0</v>
      </c>
      <c r="G493" s="44">
        <v>5</v>
      </c>
      <c r="H493" s="44">
        <v>0</v>
      </c>
      <c r="I493" s="44">
        <v>0</v>
      </c>
      <c r="J493" s="44">
        <v>0</v>
      </c>
      <c r="K493" s="123">
        <v>100000</v>
      </c>
      <c r="L493" s="124">
        <f t="shared" si="62"/>
        <v>5</v>
      </c>
      <c r="M493" s="45">
        <f t="shared" si="64"/>
        <v>500000</v>
      </c>
      <c r="N493" s="45">
        <f t="shared" ref="N493:N500" si="68">M493</f>
        <v>500000</v>
      </c>
      <c r="O493" s="45"/>
      <c r="P493" s="45" t="s">
        <v>6649</v>
      </c>
      <c r="Q493" s="45"/>
      <c r="R493" s="45"/>
      <c r="S493" s="45">
        <f t="shared" si="63"/>
        <v>0</v>
      </c>
      <c r="T493" s="44" t="s">
        <v>19</v>
      </c>
      <c r="U493" s="44" t="s">
        <v>20</v>
      </c>
      <c r="V493" s="43" t="s">
        <v>21</v>
      </c>
      <c r="W493">
        <f>VLOOKUP(C493,'Data_HS t5'!$B$2:$K$412,10,TRUE)</f>
        <v>0</v>
      </c>
      <c r="X493">
        <f>VLOOKUP(C493,'Data_HS t9'!$B$2:$K$454,10,TRUE)</f>
        <v>0</v>
      </c>
    </row>
    <row r="494" spans="1:24">
      <c r="A494" s="2">
        <v>484</v>
      </c>
      <c r="B494" s="119">
        <v>202510</v>
      </c>
      <c r="C494" s="44" t="s">
        <v>980</v>
      </c>
      <c r="D494" s="44" t="s">
        <v>981</v>
      </c>
      <c r="E494" s="44" t="s">
        <v>948</v>
      </c>
      <c r="F494" s="44">
        <v>0</v>
      </c>
      <c r="G494" s="44">
        <v>5</v>
      </c>
      <c r="H494" s="44">
        <v>0</v>
      </c>
      <c r="I494" s="44">
        <v>0</v>
      </c>
      <c r="J494" s="44">
        <v>0</v>
      </c>
      <c r="K494" s="123">
        <v>100000</v>
      </c>
      <c r="L494" s="124">
        <f t="shared" si="62"/>
        <v>5</v>
      </c>
      <c r="M494" s="45">
        <f t="shared" si="64"/>
        <v>500000</v>
      </c>
      <c r="N494" s="45">
        <f t="shared" si="68"/>
        <v>500000</v>
      </c>
      <c r="O494" s="45"/>
      <c r="P494" s="45" t="s">
        <v>2761</v>
      </c>
      <c r="Q494" s="45"/>
      <c r="R494" s="45"/>
      <c r="S494" s="45">
        <f t="shared" si="63"/>
        <v>0</v>
      </c>
      <c r="T494" s="44" t="s">
        <v>19</v>
      </c>
      <c r="U494" s="44" t="s">
        <v>20</v>
      </c>
      <c r="V494" s="43" t="s">
        <v>21</v>
      </c>
      <c r="W494" t="str">
        <f>VLOOKUP(C494,'Data_HS t5'!$B$2:$K$412,10,TRUE)</f>
        <v>Phường Long Biên, Quận Long Biên, Thành phố Hà Nội</v>
      </c>
      <c r="X494" t="str">
        <f>VLOOKUP(C494,'Data_HS t9'!$B$2:$K$454,10,TRUE)</f>
        <v>P3r4 cc Happy Star No10, Giang Biên, LB</v>
      </c>
    </row>
    <row r="495" spans="1:24">
      <c r="A495" s="2">
        <v>485</v>
      </c>
      <c r="B495" s="119">
        <v>202510</v>
      </c>
      <c r="C495" s="44" t="s">
        <v>982</v>
      </c>
      <c r="D495" s="44" t="s">
        <v>983</v>
      </c>
      <c r="E495" s="44" t="s">
        <v>948</v>
      </c>
      <c r="F495" s="44">
        <v>0</v>
      </c>
      <c r="G495" s="44">
        <v>5</v>
      </c>
      <c r="H495" s="44">
        <v>0</v>
      </c>
      <c r="I495" s="44">
        <v>0</v>
      </c>
      <c r="J495" s="44">
        <v>0</v>
      </c>
      <c r="K495" s="123">
        <v>100000</v>
      </c>
      <c r="L495" s="124">
        <f t="shared" si="62"/>
        <v>5</v>
      </c>
      <c r="M495" s="45">
        <f t="shared" si="64"/>
        <v>500000</v>
      </c>
      <c r="N495" s="45">
        <f t="shared" si="68"/>
        <v>500000</v>
      </c>
      <c r="O495" s="45"/>
      <c r="P495" s="45" t="s">
        <v>6313</v>
      </c>
      <c r="Q495" s="45"/>
      <c r="R495" s="45"/>
      <c r="S495" s="45">
        <f t="shared" si="63"/>
        <v>0</v>
      </c>
      <c r="T495" s="44" t="s">
        <v>19</v>
      </c>
      <c r="U495" s="44" t="s">
        <v>20</v>
      </c>
      <c r="V495" s="43" t="s">
        <v>21</v>
      </c>
      <c r="W495" t="str">
        <f>VLOOKUP(C495,'Data_HS t5'!$B$2:$K$412,10,TRUE)</f>
        <v>Hiện nay: Tổ 12, Thạch Bàn, LB</v>
      </c>
      <c r="X495" t="str">
        <f>VLOOKUP(C495,'Data_HS t9'!$B$2:$K$454,10,TRUE)</f>
        <v>Hiện nay: Tổ 12, Thạch Bàn, LB</v>
      </c>
    </row>
    <row r="496" spans="1:24">
      <c r="A496" s="2">
        <v>486</v>
      </c>
      <c r="B496" s="119">
        <v>202510</v>
      </c>
      <c r="C496" s="44" t="s">
        <v>984</v>
      </c>
      <c r="D496" s="44" t="s">
        <v>985</v>
      </c>
      <c r="E496" s="44" t="s">
        <v>948</v>
      </c>
      <c r="F496" s="44">
        <v>0</v>
      </c>
      <c r="G496" s="44">
        <v>9</v>
      </c>
      <c r="H496" s="44">
        <v>0</v>
      </c>
      <c r="I496" s="44">
        <v>0</v>
      </c>
      <c r="J496" s="44">
        <v>0</v>
      </c>
      <c r="K496" s="123">
        <v>100000</v>
      </c>
      <c r="L496" s="124">
        <f t="shared" si="62"/>
        <v>9</v>
      </c>
      <c r="M496" s="45">
        <f t="shared" si="64"/>
        <v>900000</v>
      </c>
      <c r="N496" s="45">
        <f t="shared" si="68"/>
        <v>900000</v>
      </c>
      <c r="O496" s="45"/>
      <c r="P496" s="45" t="s">
        <v>6076</v>
      </c>
      <c r="Q496" s="45"/>
      <c r="R496" s="45"/>
      <c r="S496" s="45">
        <f t="shared" si="63"/>
        <v>0</v>
      </c>
      <c r="T496" s="44" t="s">
        <v>19</v>
      </c>
      <c r="U496" s="44" t="s">
        <v>20</v>
      </c>
      <c r="V496" s="43" t="s">
        <v>21</v>
      </c>
      <c r="W496">
        <f>VLOOKUP(C496,'Data_HS t5'!$B$2:$K$412,10,TRUE)</f>
        <v>0</v>
      </c>
      <c r="X496" t="str">
        <f>VLOOKUP(C496,'Data_HS t9'!$B$2:$K$454,10,TRUE)</f>
        <v>Tổ dân phố số 11, Phường Sài Đồng, Quận Long Biên, Thành phố Hà Nội</v>
      </c>
    </row>
    <row r="497" spans="1:24">
      <c r="A497" s="2">
        <v>487</v>
      </c>
      <c r="B497" s="119">
        <v>202510</v>
      </c>
      <c r="C497" s="44" t="s">
        <v>986</v>
      </c>
      <c r="D497" s="44" t="s">
        <v>987</v>
      </c>
      <c r="E497" s="44" t="s">
        <v>948</v>
      </c>
      <c r="F497" s="44">
        <v>0</v>
      </c>
      <c r="G497" s="44">
        <v>9</v>
      </c>
      <c r="H497" s="44">
        <v>0</v>
      </c>
      <c r="I497" s="44">
        <v>0</v>
      </c>
      <c r="J497" s="44">
        <v>0</v>
      </c>
      <c r="K497" s="123">
        <v>100000</v>
      </c>
      <c r="L497" s="124">
        <f t="shared" si="62"/>
        <v>9</v>
      </c>
      <c r="M497" s="45">
        <f t="shared" si="64"/>
        <v>900000</v>
      </c>
      <c r="N497" s="45">
        <f t="shared" si="68"/>
        <v>900000</v>
      </c>
      <c r="O497" s="45"/>
      <c r="P497" s="45" t="s">
        <v>2817</v>
      </c>
      <c r="Q497" s="45"/>
      <c r="R497" s="45"/>
      <c r="S497" s="45">
        <f t="shared" si="63"/>
        <v>0</v>
      </c>
      <c r="T497" s="44" t="s">
        <v>19</v>
      </c>
      <c r="U497" s="44" t="s">
        <v>20</v>
      </c>
      <c r="V497" s="43" t="s">
        <v>21</v>
      </c>
      <c r="W497" t="str">
        <f>VLOOKUP(C497,'Data_HS t5'!$B$2:$K$412,10,TRUE)</f>
        <v>Phường Thạch Bàn, Quận Long Biên, Thành phố Hà Nội</v>
      </c>
      <c r="X497" t="e">
        <f>VLOOKUP(C497,'Data_HS t9'!$B$2:$K$454,10,TRUE)</f>
        <v>#N/A</v>
      </c>
    </row>
    <row r="498" spans="1:24">
      <c r="A498" s="2">
        <v>488</v>
      </c>
      <c r="B498" s="119">
        <v>202510</v>
      </c>
      <c r="C498" s="44" t="s">
        <v>988</v>
      </c>
      <c r="D498" s="44" t="s">
        <v>989</v>
      </c>
      <c r="E498" s="44" t="s">
        <v>7119</v>
      </c>
      <c r="F498" s="44">
        <v>0</v>
      </c>
      <c r="G498" s="44">
        <v>9</v>
      </c>
      <c r="H498" s="44">
        <v>0</v>
      </c>
      <c r="I498" s="44">
        <v>0</v>
      </c>
      <c r="J498" s="44">
        <v>0</v>
      </c>
      <c r="K498" s="123">
        <v>100000</v>
      </c>
      <c r="L498" s="124">
        <f t="shared" si="62"/>
        <v>9</v>
      </c>
      <c r="M498" s="45">
        <f t="shared" si="64"/>
        <v>900000</v>
      </c>
      <c r="N498" s="45">
        <f t="shared" si="68"/>
        <v>900000</v>
      </c>
      <c r="O498" s="45"/>
      <c r="P498" s="45" t="s">
        <v>7097</v>
      </c>
      <c r="Q498" s="45"/>
      <c r="R498" s="45"/>
      <c r="S498" s="45">
        <f t="shared" si="63"/>
        <v>0</v>
      </c>
      <c r="T498" s="44" t="s">
        <v>19</v>
      </c>
      <c r="U498" s="44" t="s">
        <v>20</v>
      </c>
      <c r="V498" s="43" t="s">
        <v>21</v>
      </c>
      <c r="W498" t="str">
        <f>VLOOKUP(C498,'Data_HS t5'!$B$2:$K$412,10,TRUE)</f>
        <v>Phường Long Biên, Quận Long Biên, Thành phố Hà Nội</v>
      </c>
      <c r="X498" t="str">
        <f>VLOOKUP(C498,'Data_HS t9'!$B$2:$K$454,10,TRUE)</f>
        <v>P3r4 cc Happy Star No10, Giang Biên, LB</v>
      </c>
    </row>
    <row r="499" spans="1:24">
      <c r="A499" s="2">
        <v>489</v>
      </c>
      <c r="B499" s="119">
        <v>202510</v>
      </c>
      <c r="C499" s="44" t="s">
        <v>990</v>
      </c>
      <c r="D499" s="44" t="s">
        <v>991</v>
      </c>
      <c r="E499" s="44" t="s">
        <v>948</v>
      </c>
      <c r="F499" s="44">
        <v>8</v>
      </c>
      <c r="G499" s="44">
        <v>5</v>
      </c>
      <c r="H499" s="44">
        <v>0</v>
      </c>
      <c r="I499" s="44">
        <v>0</v>
      </c>
      <c r="J499" s="44">
        <v>0</v>
      </c>
      <c r="K499" s="123">
        <v>100000</v>
      </c>
      <c r="L499" s="124">
        <f t="shared" si="62"/>
        <v>13</v>
      </c>
      <c r="M499" s="45">
        <f t="shared" si="64"/>
        <v>1300000</v>
      </c>
      <c r="N499" s="45">
        <f t="shared" si="68"/>
        <v>1300000</v>
      </c>
      <c r="O499" s="45"/>
      <c r="P499" s="45" t="s">
        <v>2768</v>
      </c>
      <c r="Q499" s="45"/>
      <c r="R499" s="45"/>
      <c r="S499" s="45">
        <f t="shared" si="63"/>
        <v>0</v>
      </c>
      <c r="T499" s="44" t="s">
        <v>19</v>
      </c>
      <c r="U499" s="44" t="s">
        <v>20</v>
      </c>
      <c r="V499" s="43" t="s">
        <v>21</v>
      </c>
      <c r="W499">
        <f>VLOOKUP(C499,'Data_HS t5'!$B$2:$K$412,10,TRUE)</f>
        <v>0</v>
      </c>
      <c r="X499" t="str">
        <f>VLOOKUP(C499,'Data_HS t9'!$B$2:$K$454,10,TRUE)</f>
        <v>Tổ 13, Khu Đô thị Việt Hưng, Phường Giang Biên, Quận Long Biên.</v>
      </c>
    </row>
    <row r="500" spans="1:24">
      <c r="A500" s="2">
        <v>490</v>
      </c>
      <c r="B500" s="119">
        <v>202510</v>
      </c>
      <c r="C500" s="44" t="s">
        <v>992</v>
      </c>
      <c r="D500" s="44" t="s">
        <v>993</v>
      </c>
      <c r="E500" s="44" t="s">
        <v>948</v>
      </c>
      <c r="F500" s="44">
        <v>0</v>
      </c>
      <c r="G500" s="44">
        <v>6</v>
      </c>
      <c r="H500" s="44">
        <v>0</v>
      </c>
      <c r="I500" s="44">
        <v>0</v>
      </c>
      <c r="J500" s="44">
        <v>0</v>
      </c>
      <c r="K500" s="123">
        <v>100000</v>
      </c>
      <c r="L500" s="124">
        <f t="shared" si="62"/>
        <v>6</v>
      </c>
      <c r="M500" s="45">
        <f t="shared" si="64"/>
        <v>600000</v>
      </c>
      <c r="N500" s="45">
        <f t="shared" si="68"/>
        <v>600000</v>
      </c>
      <c r="O500" s="45"/>
      <c r="P500" s="45" t="s">
        <v>6653</v>
      </c>
      <c r="Q500" s="45"/>
      <c r="R500" s="45"/>
      <c r="S500" s="45">
        <f t="shared" si="63"/>
        <v>0</v>
      </c>
      <c r="T500" s="44" t="s">
        <v>19</v>
      </c>
      <c r="U500" s="44" t="s">
        <v>20</v>
      </c>
      <c r="V500" s="43" t="s">
        <v>21</v>
      </c>
      <c r="W500">
        <f>VLOOKUP(C500,'Data_HS t5'!$B$2:$K$412,10,TRUE)</f>
        <v>0</v>
      </c>
      <c r="X500">
        <f>VLOOKUP(C500,'Data_HS t9'!$B$2:$K$454,10,TRUE)</f>
        <v>0</v>
      </c>
    </row>
    <row r="501" spans="1:24">
      <c r="A501" s="2">
        <v>491</v>
      </c>
      <c r="B501" s="119">
        <v>202510</v>
      </c>
      <c r="C501" s="44" t="s">
        <v>994</v>
      </c>
      <c r="D501" s="44" t="s">
        <v>995</v>
      </c>
      <c r="E501" s="44" t="s">
        <v>948</v>
      </c>
      <c r="F501" s="44">
        <v>0</v>
      </c>
      <c r="G501" s="44">
        <v>9</v>
      </c>
      <c r="H501" s="44">
        <v>0</v>
      </c>
      <c r="I501" s="44">
        <v>0</v>
      </c>
      <c r="J501" s="44">
        <v>0</v>
      </c>
      <c r="K501" s="123">
        <v>100000</v>
      </c>
      <c r="L501" s="124">
        <f t="shared" si="62"/>
        <v>9</v>
      </c>
      <c r="M501" s="45">
        <f t="shared" si="64"/>
        <v>900000</v>
      </c>
      <c r="N501" s="45">
        <f t="shared" ref="N501:N509" si="69">M501</f>
        <v>900000</v>
      </c>
      <c r="O501" s="45"/>
      <c r="P501" s="45" t="s">
        <v>3067</v>
      </c>
      <c r="Q501" s="45"/>
      <c r="R501" s="45"/>
      <c r="S501" s="45">
        <f t="shared" si="63"/>
        <v>0</v>
      </c>
      <c r="T501" s="44" t="s">
        <v>19</v>
      </c>
      <c r="U501" s="44" t="s">
        <v>20</v>
      </c>
      <c r="V501" s="43" t="s">
        <v>21</v>
      </c>
      <c r="W501">
        <f>VLOOKUP(C501,'Data_HS t5'!$B$2:$K$412,10,TRUE)</f>
        <v>0</v>
      </c>
      <c r="X501" t="str">
        <f>VLOOKUP(C501,'Data_HS t9'!$B$2:$K$454,10,TRUE)</f>
        <v>Tổ dân phố số 11, Phường Sài Đồng, Quận Long Biên, Thành phố Hà Nội</v>
      </c>
    </row>
    <row r="502" spans="1:24">
      <c r="A502" s="2">
        <v>492</v>
      </c>
      <c r="B502" s="119">
        <v>202510</v>
      </c>
      <c r="C502" s="44" t="s">
        <v>996</v>
      </c>
      <c r="D502" s="44" t="s">
        <v>997</v>
      </c>
      <c r="E502" s="44" t="s">
        <v>948</v>
      </c>
      <c r="F502" s="44">
        <v>8</v>
      </c>
      <c r="G502" s="44">
        <v>5</v>
      </c>
      <c r="H502" s="44">
        <v>0</v>
      </c>
      <c r="I502" s="44">
        <v>0</v>
      </c>
      <c r="J502" s="44">
        <v>0</v>
      </c>
      <c r="K502" s="123">
        <v>100000</v>
      </c>
      <c r="L502" s="124">
        <f t="shared" si="62"/>
        <v>13</v>
      </c>
      <c r="M502" s="45">
        <f t="shared" si="64"/>
        <v>1300000</v>
      </c>
      <c r="N502" s="45">
        <f t="shared" si="69"/>
        <v>1300000</v>
      </c>
      <c r="O502" s="45"/>
      <c r="P502" s="45" t="s">
        <v>2683</v>
      </c>
      <c r="Q502" s="45"/>
      <c r="R502" s="45"/>
      <c r="S502" s="45">
        <f t="shared" si="63"/>
        <v>0</v>
      </c>
      <c r="T502" s="44" t="s">
        <v>19</v>
      </c>
      <c r="U502" s="44" t="s">
        <v>20</v>
      </c>
      <c r="V502" s="43" t="s">
        <v>21</v>
      </c>
      <c r="W502">
        <f>VLOOKUP(C502,'Data_HS t5'!$B$2:$K$412,10,TRUE)</f>
        <v>0</v>
      </c>
      <c r="X502" t="str">
        <f>VLOOKUP(C502,'Data_HS t9'!$B$2:$K$454,10,TRUE)</f>
        <v>Tổ dân phố số 11, Phường Sài Đồng, Quận Long Biên, Thành phố Hà Nội</v>
      </c>
    </row>
    <row r="503" spans="1:24">
      <c r="A503" s="2">
        <v>493</v>
      </c>
      <c r="B503" s="119">
        <v>202510</v>
      </c>
      <c r="C503" s="44" t="s">
        <v>998</v>
      </c>
      <c r="D503" s="44" t="s">
        <v>999</v>
      </c>
      <c r="E503" s="44" t="s">
        <v>948</v>
      </c>
      <c r="F503" s="44">
        <v>8</v>
      </c>
      <c r="G503" s="44">
        <v>5</v>
      </c>
      <c r="H503" s="44">
        <v>0</v>
      </c>
      <c r="I503" s="44">
        <v>0</v>
      </c>
      <c r="J503" s="44">
        <v>0</v>
      </c>
      <c r="K503" s="123">
        <v>100000</v>
      </c>
      <c r="L503" s="124">
        <f t="shared" si="62"/>
        <v>13</v>
      </c>
      <c r="M503" s="45">
        <f t="shared" si="64"/>
        <v>1300000</v>
      </c>
      <c r="N503" s="45">
        <f t="shared" si="69"/>
        <v>1300000</v>
      </c>
      <c r="O503" s="45"/>
      <c r="P503" s="45" t="s">
        <v>2080</v>
      </c>
      <c r="Q503" s="45"/>
      <c r="R503" s="45"/>
      <c r="S503" s="45">
        <f t="shared" si="63"/>
        <v>0</v>
      </c>
      <c r="T503" s="44" t="s">
        <v>19</v>
      </c>
      <c r="U503" s="44" t="s">
        <v>20</v>
      </c>
      <c r="V503" s="43" t="s">
        <v>21</v>
      </c>
      <c r="W503" t="str">
        <f>VLOOKUP(C503,'Data_HS t5'!$B$2:$K$412,10,TRUE)</f>
        <v>Tổ dân phố 21, Phường Phúc Xá, Quận Ba Đình, Thành phố Hà Nội</v>
      </c>
      <c r="X503" t="str">
        <f>VLOOKUP(C503,'Data_HS t9'!$B$2:$K$454,10,TRUE)</f>
        <v>Phường Thạch Bàn, Quận Long Biên, Thành phố Hà Nội</v>
      </c>
    </row>
    <row r="504" spans="1:24">
      <c r="A504" s="2">
        <v>494</v>
      </c>
      <c r="B504" s="119">
        <v>202510</v>
      </c>
      <c r="C504" s="44" t="s">
        <v>1000</v>
      </c>
      <c r="D504" s="44" t="s">
        <v>1001</v>
      </c>
      <c r="E504" s="44" t="s">
        <v>948</v>
      </c>
      <c r="F504" s="44">
        <v>8</v>
      </c>
      <c r="G504" s="44">
        <v>0</v>
      </c>
      <c r="H504" s="44">
        <v>0</v>
      </c>
      <c r="I504" s="44">
        <v>0</v>
      </c>
      <c r="J504" s="44">
        <v>0</v>
      </c>
      <c r="K504" s="123">
        <v>100000</v>
      </c>
      <c r="L504" s="124">
        <f t="shared" si="62"/>
        <v>8</v>
      </c>
      <c r="M504" s="45">
        <f t="shared" si="64"/>
        <v>800000</v>
      </c>
      <c r="N504" s="45">
        <f t="shared" si="69"/>
        <v>800000</v>
      </c>
      <c r="O504" s="45"/>
      <c r="P504" s="45" t="s">
        <v>3062</v>
      </c>
      <c r="Q504" s="45"/>
      <c r="R504" s="45"/>
      <c r="S504" s="45">
        <f t="shared" si="63"/>
        <v>0</v>
      </c>
      <c r="T504" s="44" t="s">
        <v>19</v>
      </c>
      <c r="U504" s="44" t="s">
        <v>20</v>
      </c>
      <c r="V504" s="43" t="s">
        <v>21</v>
      </c>
      <c r="W504" t="str">
        <f>VLOOKUP(C504,'Data_HS t5'!$B$2:$K$412,10,TRUE)</f>
        <v>Phường Thạch Bàn, Quận Long Biên, Thành phố Hà Nội</v>
      </c>
      <c r="X504" t="e">
        <f>VLOOKUP(C504,'Data_HS t9'!$B$2:$K$454,10,TRUE)</f>
        <v>#N/A</v>
      </c>
    </row>
    <row r="505" spans="1:24">
      <c r="A505" s="2">
        <v>495</v>
      </c>
      <c r="B505" s="119">
        <v>202510</v>
      </c>
      <c r="C505" s="44" t="s">
        <v>1002</v>
      </c>
      <c r="D505" s="44" t="s">
        <v>1003</v>
      </c>
      <c r="E505" s="44" t="s">
        <v>948</v>
      </c>
      <c r="F505" s="44">
        <v>8</v>
      </c>
      <c r="G505" s="44">
        <v>0</v>
      </c>
      <c r="H505" s="44">
        <v>0</v>
      </c>
      <c r="I505" s="44">
        <v>0</v>
      </c>
      <c r="J505" s="44">
        <v>0</v>
      </c>
      <c r="K505" s="123">
        <v>100000</v>
      </c>
      <c r="L505" s="124">
        <f t="shared" si="62"/>
        <v>8</v>
      </c>
      <c r="M505" s="45">
        <f t="shared" si="64"/>
        <v>800000</v>
      </c>
      <c r="N505" s="45">
        <f t="shared" si="69"/>
        <v>800000</v>
      </c>
      <c r="O505" s="45"/>
      <c r="P505" s="45" t="s">
        <v>6327</v>
      </c>
      <c r="Q505" s="45"/>
      <c r="R505" s="45"/>
      <c r="S505" s="45">
        <f t="shared" si="63"/>
        <v>0</v>
      </c>
      <c r="T505" s="44" t="s">
        <v>19</v>
      </c>
      <c r="U505" s="44" t="s">
        <v>20</v>
      </c>
      <c r="V505" s="43" t="s">
        <v>21</v>
      </c>
      <c r="W505">
        <f>VLOOKUP(C505,'Data_HS t5'!$B$2:$K$412,10,TRUE)</f>
        <v>0</v>
      </c>
      <c r="X505">
        <f>VLOOKUP(C505,'Data_HS t9'!$B$2:$K$454,10,TRUE)</f>
        <v>0</v>
      </c>
    </row>
    <row r="506" spans="1:24">
      <c r="A506" s="2">
        <v>496</v>
      </c>
      <c r="B506" s="119">
        <v>202510</v>
      </c>
      <c r="C506" s="44" t="s">
        <v>1004</v>
      </c>
      <c r="D506" s="44" t="s">
        <v>1005</v>
      </c>
      <c r="E506" s="44" t="s">
        <v>948</v>
      </c>
      <c r="F506" s="44">
        <v>8</v>
      </c>
      <c r="G506" s="44">
        <v>0</v>
      </c>
      <c r="H506" s="44">
        <v>0</v>
      </c>
      <c r="I506" s="44">
        <v>0</v>
      </c>
      <c r="J506" s="44">
        <v>0</v>
      </c>
      <c r="K506" s="123">
        <v>100000</v>
      </c>
      <c r="L506" s="124">
        <f t="shared" ref="L506:L569" si="70">SUM(F506:J506)</f>
        <v>8</v>
      </c>
      <c r="M506" s="45">
        <f t="shared" si="64"/>
        <v>800000</v>
      </c>
      <c r="N506" s="45">
        <f t="shared" si="69"/>
        <v>800000</v>
      </c>
      <c r="O506" s="45"/>
      <c r="P506" s="45" t="s">
        <v>2777</v>
      </c>
      <c r="Q506" s="45"/>
      <c r="R506" s="45"/>
      <c r="S506" s="45">
        <f t="shared" si="63"/>
        <v>0</v>
      </c>
      <c r="T506" s="44" t="s">
        <v>19</v>
      </c>
      <c r="U506" s="44" t="s">
        <v>20</v>
      </c>
      <c r="V506" s="43" t="s">
        <v>21</v>
      </c>
      <c r="W506">
        <f>VLOOKUP(C506,'Data_HS t5'!$B$2:$K$412,10,TRUE)</f>
        <v>0</v>
      </c>
      <c r="X506">
        <f>VLOOKUP(C506,'Data_HS t9'!$B$2:$K$454,10,TRUE)</f>
        <v>0</v>
      </c>
    </row>
    <row r="507" spans="1:24">
      <c r="A507" s="2">
        <v>497</v>
      </c>
      <c r="B507" s="119">
        <v>202510</v>
      </c>
      <c r="C507" s="44" t="s">
        <v>1006</v>
      </c>
      <c r="D507" s="44" t="s">
        <v>1007</v>
      </c>
      <c r="E507" s="44" t="s">
        <v>948</v>
      </c>
      <c r="F507" s="44">
        <v>8</v>
      </c>
      <c r="G507" s="44">
        <v>5</v>
      </c>
      <c r="H507" s="44">
        <v>0</v>
      </c>
      <c r="I507" s="44">
        <v>0</v>
      </c>
      <c r="J507" s="44">
        <v>0</v>
      </c>
      <c r="K507" s="123">
        <v>100000</v>
      </c>
      <c r="L507" s="124">
        <f t="shared" si="70"/>
        <v>13</v>
      </c>
      <c r="M507" s="45">
        <f t="shared" si="64"/>
        <v>1300000</v>
      </c>
      <c r="N507" s="45">
        <f t="shared" si="69"/>
        <v>1300000</v>
      </c>
      <c r="O507" s="45"/>
      <c r="P507" s="45" t="s">
        <v>3063</v>
      </c>
      <c r="Q507" s="45"/>
      <c r="R507" s="45"/>
      <c r="S507" s="45">
        <f t="shared" si="63"/>
        <v>0</v>
      </c>
      <c r="T507" s="44" t="s">
        <v>19</v>
      </c>
      <c r="U507" s="44" t="s">
        <v>20</v>
      </c>
      <c r="V507" s="43" t="s">
        <v>21</v>
      </c>
      <c r="W507">
        <f>VLOOKUP(C507,'Data_HS t5'!$B$2:$K$412,10,TRUE)</f>
        <v>0</v>
      </c>
      <c r="X507" t="str">
        <f>VLOOKUP(C507,'Data_HS t9'!$B$2:$K$454,10,TRUE)</f>
        <v>Phường Phúc Lợi, Quận Long Biên, Thành phố Hà Nội</v>
      </c>
    </row>
    <row r="508" spans="1:24">
      <c r="A508" s="2">
        <v>498</v>
      </c>
      <c r="B508" s="119">
        <v>202510</v>
      </c>
      <c r="C508" s="44" t="s">
        <v>1008</v>
      </c>
      <c r="D508" s="44" t="s">
        <v>1009</v>
      </c>
      <c r="E508" s="44" t="s">
        <v>1010</v>
      </c>
      <c r="F508" s="44">
        <v>0</v>
      </c>
      <c r="G508" s="44">
        <v>9</v>
      </c>
      <c r="H508" s="44">
        <v>0</v>
      </c>
      <c r="I508" s="44">
        <v>0</v>
      </c>
      <c r="J508" s="44">
        <v>0</v>
      </c>
      <c r="K508" s="123">
        <v>100000</v>
      </c>
      <c r="L508" s="124">
        <f t="shared" si="70"/>
        <v>9</v>
      </c>
      <c r="M508" s="45">
        <f t="shared" si="64"/>
        <v>900000</v>
      </c>
      <c r="N508" s="45">
        <f t="shared" si="69"/>
        <v>900000</v>
      </c>
      <c r="O508" s="45"/>
      <c r="P508" s="45" t="s">
        <v>2707</v>
      </c>
      <c r="Q508" s="45"/>
      <c r="R508" s="45"/>
      <c r="S508" s="45">
        <f t="shared" ref="S508:S571" si="71">M508-N508</f>
        <v>0</v>
      </c>
      <c r="T508" s="44" t="s">
        <v>19</v>
      </c>
      <c r="U508" s="44" t="s">
        <v>20</v>
      </c>
      <c r="V508" s="43" t="s">
        <v>21</v>
      </c>
      <c r="W508" t="e">
        <f>VLOOKUP(C508,'Data_HS t5'!$B$2:$K$412,10,TRUE)</f>
        <v>#N/A</v>
      </c>
      <c r="X508" t="str">
        <f>VLOOKUP(C508,'Data_HS t9'!$B$2:$K$454,10,TRUE)</f>
        <v>Tổ dân phố số 36, Phường Ngọc Thụy, Quận Long Biên, Thành phố Hà Nội</v>
      </c>
    </row>
    <row r="509" spans="1:24">
      <c r="A509" s="2">
        <v>499</v>
      </c>
      <c r="B509" s="119">
        <v>202510</v>
      </c>
      <c r="C509" s="44" t="s">
        <v>1011</v>
      </c>
      <c r="D509" s="44" t="s">
        <v>1012</v>
      </c>
      <c r="E509" s="44" t="s">
        <v>1010</v>
      </c>
      <c r="F509" s="44">
        <v>0</v>
      </c>
      <c r="G509" s="44">
        <v>8</v>
      </c>
      <c r="H509" s="44">
        <v>0</v>
      </c>
      <c r="I509" s="44">
        <v>0</v>
      </c>
      <c r="J509" s="44">
        <v>0</v>
      </c>
      <c r="K509" s="123">
        <v>100000</v>
      </c>
      <c r="L509" s="124">
        <f t="shared" si="70"/>
        <v>8</v>
      </c>
      <c r="M509" s="45">
        <f t="shared" si="64"/>
        <v>800000</v>
      </c>
      <c r="N509" s="45">
        <f t="shared" si="69"/>
        <v>800000</v>
      </c>
      <c r="O509" s="45"/>
      <c r="P509" s="45"/>
      <c r="Q509" s="45" t="s">
        <v>3150</v>
      </c>
      <c r="R509" s="45">
        <v>10000</v>
      </c>
      <c r="S509" s="45">
        <f t="shared" si="71"/>
        <v>0</v>
      </c>
      <c r="T509" s="44" t="s">
        <v>19</v>
      </c>
      <c r="U509" s="44" t="s">
        <v>20</v>
      </c>
      <c r="V509" s="43" t="s">
        <v>21</v>
      </c>
      <c r="W509">
        <f>VLOOKUP(C509,'Data_HS t5'!$B$2:$K$412,10,TRUE)</f>
        <v>0</v>
      </c>
      <c r="X509" t="str">
        <f>VLOOKUP(C509,'Data_HS t9'!$B$2:$K$454,10,TRUE)</f>
        <v>Tổ dân phố số 11, Phường Sài Đồng, Quận Long Biên, Thành phố Hà Nội</v>
      </c>
    </row>
    <row r="510" spans="1:24">
      <c r="A510" s="2">
        <v>500</v>
      </c>
      <c r="B510" s="119">
        <v>202510</v>
      </c>
      <c r="C510" s="44" t="s">
        <v>1013</v>
      </c>
      <c r="D510" s="44" t="s">
        <v>1014</v>
      </c>
      <c r="E510" s="44" t="s">
        <v>1010</v>
      </c>
      <c r="F510" s="44">
        <v>0</v>
      </c>
      <c r="G510" s="44">
        <v>8</v>
      </c>
      <c r="H510" s="44">
        <v>0</v>
      </c>
      <c r="I510" s="44">
        <v>0</v>
      </c>
      <c r="J510" s="44">
        <v>0</v>
      </c>
      <c r="K510" s="123">
        <v>100000</v>
      </c>
      <c r="L510" s="124">
        <f t="shared" si="70"/>
        <v>8</v>
      </c>
      <c r="M510" s="45">
        <f t="shared" si="64"/>
        <v>800000</v>
      </c>
      <c r="N510" s="45">
        <f>M510</f>
        <v>800000</v>
      </c>
      <c r="O510" s="45"/>
      <c r="P510" s="45" t="s">
        <v>6576</v>
      </c>
      <c r="Q510" s="45"/>
      <c r="R510" s="45"/>
      <c r="S510" s="45">
        <f t="shared" si="71"/>
        <v>0</v>
      </c>
      <c r="T510" s="44" t="s">
        <v>19</v>
      </c>
      <c r="U510" s="44" t="s">
        <v>20</v>
      </c>
      <c r="V510" s="43" t="s">
        <v>21</v>
      </c>
      <c r="W510" t="str">
        <f>VLOOKUP(C510,'Data_HS t5'!$B$2:$K$412,10,TRUE)</f>
        <v>Phường Long Biên, Quận Long Biên, Thành phố Hà Nội</v>
      </c>
      <c r="X510" t="e">
        <f>VLOOKUP(C510,'Data_HS t9'!$B$2:$K$454,10,TRUE)</f>
        <v>#N/A</v>
      </c>
    </row>
    <row r="511" spans="1:24">
      <c r="A511" s="2">
        <v>501</v>
      </c>
      <c r="B511" s="119">
        <v>202510</v>
      </c>
      <c r="C511" s="44" t="s">
        <v>1015</v>
      </c>
      <c r="D511" s="44" t="s">
        <v>1016</v>
      </c>
      <c r="E511" s="44" t="s">
        <v>1010</v>
      </c>
      <c r="F511" s="44">
        <v>0</v>
      </c>
      <c r="G511" s="44">
        <v>7</v>
      </c>
      <c r="H511" s="44">
        <v>0</v>
      </c>
      <c r="I511" s="44">
        <v>0</v>
      </c>
      <c r="J511" s="44">
        <v>0</v>
      </c>
      <c r="K511" s="123">
        <v>100000</v>
      </c>
      <c r="L511" s="124">
        <f t="shared" si="70"/>
        <v>7</v>
      </c>
      <c r="M511" s="45">
        <f t="shared" si="64"/>
        <v>700000</v>
      </c>
      <c r="N511" s="45">
        <f>M511</f>
        <v>700000</v>
      </c>
      <c r="O511" s="45"/>
      <c r="P511" s="45" t="s">
        <v>2803</v>
      </c>
      <c r="Q511" s="45"/>
      <c r="R511" s="45"/>
      <c r="S511" s="45">
        <f t="shared" si="71"/>
        <v>0</v>
      </c>
      <c r="T511" s="44" t="s">
        <v>19</v>
      </c>
      <c r="U511" s="44" t="s">
        <v>20</v>
      </c>
      <c r="V511" s="43" t="s">
        <v>21</v>
      </c>
      <c r="W511" t="str">
        <f>VLOOKUP(C511,'Data_HS t5'!$B$2:$K$412,10,TRUE)</f>
        <v>Tổ dân phố 21, Phường Phúc Xá, Quận Ba Đình, Thành phố Hà Nội</v>
      </c>
      <c r="X511" t="str">
        <f>VLOOKUP(C511,'Data_HS t9'!$B$2:$K$454,10,TRUE)</f>
        <v>Tổ dân phố số 4, Phường Phúc Đồng, Quận Long Biên, Thành phố Hà Nội</v>
      </c>
    </row>
    <row r="512" spans="1:24">
      <c r="A512" s="2">
        <v>502</v>
      </c>
      <c r="B512" s="119">
        <v>202510</v>
      </c>
      <c r="C512" s="44" t="s">
        <v>1017</v>
      </c>
      <c r="D512" s="44" t="s">
        <v>1018</v>
      </c>
      <c r="E512" s="44" t="s">
        <v>1010</v>
      </c>
      <c r="F512" s="44">
        <v>0</v>
      </c>
      <c r="G512" s="44">
        <v>8</v>
      </c>
      <c r="H512" s="44">
        <v>0</v>
      </c>
      <c r="I512" s="44">
        <v>0</v>
      </c>
      <c r="J512" s="44">
        <v>0</v>
      </c>
      <c r="K512" s="123">
        <v>100000</v>
      </c>
      <c r="L512" s="124">
        <f t="shared" si="70"/>
        <v>8</v>
      </c>
      <c r="M512" s="45">
        <f t="shared" si="64"/>
        <v>800000</v>
      </c>
      <c r="N512" s="45">
        <f>M512</f>
        <v>800000</v>
      </c>
      <c r="O512" s="45"/>
      <c r="P512" s="45" t="s">
        <v>6551</v>
      </c>
      <c r="Q512" s="45"/>
      <c r="R512" s="45"/>
      <c r="S512" s="45">
        <f t="shared" si="71"/>
        <v>0</v>
      </c>
      <c r="T512" s="44" t="s">
        <v>19</v>
      </c>
      <c r="U512" s="44" t="s">
        <v>20</v>
      </c>
      <c r="V512" s="43" t="s">
        <v>21</v>
      </c>
      <c r="W512" t="str">
        <f>VLOOKUP(C512,'Data_HS t5'!$B$2:$K$412,10,TRUE)</f>
        <v>Tổ dân phố số 15, Phường Phúc Lợi, Quận Long Biên, Thành phố Hà Nội</v>
      </c>
      <c r="X512" t="str">
        <f>VLOOKUP(C512,'Data_HS t9'!$B$2:$K$454,10,TRUE)</f>
        <v>Tổ 3, Thạch Bàn, LB</v>
      </c>
    </row>
    <row r="513" spans="1:25">
      <c r="A513" s="2">
        <v>503</v>
      </c>
      <c r="B513" s="119">
        <v>202510</v>
      </c>
      <c r="C513" s="44" t="s">
        <v>1019</v>
      </c>
      <c r="D513" s="44" t="s">
        <v>1020</v>
      </c>
      <c r="E513" s="44" t="s">
        <v>1010</v>
      </c>
      <c r="F513" s="44">
        <v>0</v>
      </c>
      <c r="G513" s="44">
        <v>8</v>
      </c>
      <c r="H513" s="44">
        <v>0</v>
      </c>
      <c r="I513" s="44">
        <v>0</v>
      </c>
      <c r="J513" s="44">
        <v>0</v>
      </c>
      <c r="K513" s="123">
        <v>100000</v>
      </c>
      <c r="L513" s="124">
        <f t="shared" si="70"/>
        <v>8</v>
      </c>
      <c r="M513" s="45">
        <f t="shared" ref="M513:M576" si="72">L513*K513</f>
        <v>800000</v>
      </c>
      <c r="N513" s="45">
        <f t="shared" ref="N513:N526" si="73">M513</f>
        <v>800000</v>
      </c>
      <c r="O513" s="45"/>
      <c r="P513" s="45" t="s">
        <v>2736</v>
      </c>
      <c r="Q513" s="45"/>
      <c r="R513" s="45"/>
      <c r="S513" s="45">
        <f t="shared" si="71"/>
        <v>0</v>
      </c>
      <c r="T513" s="44" t="s">
        <v>19</v>
      </c>
      <c r="U513" s="44" t="s">
        <v>20</v>
      </c>
      <c r="V513" s="43" t="s">
        <v>21</v>
      </c>
      <c r="W513" t="str">
        <f>VLOOKUP(C513,'Data_HS t5'!$B$2:$K$412,10,TRUE)</f>
        <v>Tổ dân phố số 23, Phường Bồ Đề, Quận Long Biên, Thành phố Hà Nội</v>
      </c>
      <c r="X513" t="str">
        <f>VLOOKUP(C513,'Data_HS t9'!$B$2:$K$454,10,TRUE)</f>
        <v>Tổ 3, Thạch Bàn, LB</v>
      </c>
    </row>
    <row r="514" spans="1:25">
      <c r="A514" s="2">
        <v>504</v>
      </c>
      <c r="B514" s="119">
        <v>202510</v>
      </c>
      <c r="C514" s="44" t="s">
        <v>1021</v>
      </c>
      <c r="D514" s="44" t="s">
        <v>1022</v>
      </c>
      <c r="E514" s="44" t="s">
        <v>1010</v>
      </c>
      <c r="F514" s="44">
        <v>0</v>
      </c>
      <c r="G514" s="44">
        <v>8</v>
      </c>
      <c r="H514" s="44">
        <v>0</v>
      </c>
      <c r="I514" s="44">
        <v>0</v>
      </c>
      <c r="J514" s="44">
        <v>0</v>
      </c>
      <c r="K514" s="123">
        <v>100000</v>
      </c>
      <c r="L514" s="124">
        <f t="shared" si="70"/>
        <v>8</v>
      </c>
      <c r="M514" s="45">
        <f t="shared" si="72"/>
        <v>800000</v>
      </c>
      <c r="N514" s="45">
        <f t="shared" si="73"/>
        <v>800000</v>
      </c>
      <c r="O514" s="45"/>
      <c r="P514" s="45" t="s">
        <v>2058</v>
      </c>
      <c r="Q514" s="45"/>
      <c r="R514" s="45"/>
      <c r="S514" s="45">
        <f t="shared" si="71"/>
        <v>0</v>
      </c>
      <c r="T514" s="44" t="s">
        <v>19</v>
      </c>
      <c r="U514" s="44" t="s">
        <v>20</v>
      </c>
      <c r="V514" s="43" t="s">
        <v>21</v>
      </c>
      <c r="W514" t="str">
        <f>VLOOKUP(C514,'Data_HS t5'!$B$2:$K$412,10,TRUE)</f>
        <v>Tổ dân phố 21, Phường Phúc Xá, Quận Ba Đình, Thành phố Hà Nội</v>
      </c>
      <c r="X514" t="str">
        <f>VLOOKUP(C514,'Data_HS t9'!$B$2:$K$454,10,TRUE)</f>
        <v>Tổ dân phố số 4, Phường Phúc Đồng, Quận Long Biên, Thành phố Hà Nội</v>
      </c>
    </row>
    <row r="515" spans="1:25">
      <c r="A515" s="2">
        <v>505</v>
      </c>
      <c r="B515" s="119">
        <v>202510</v>
      </c>
      <c r="C515" s="44" t="s">
        <v>1023</v>
      </c>
      <c r="D515" s="44" t="s">
        <v>1024</v>
      </c>
      <c r="E515" s="44" t="s">
        <v>1010</v>
      </c>
      <c r="F515" s="44">
        <v>0</v>
      </c>
      <c r="G515" s="44">
        <v>8</v>
      </c>
      <c r="H515" s="44">
        <v>0</v>
      </c>
      <c r="I515" s="44">
        <v>0</v>
      </c>
      <c r="J515" s="44">
        <v>0</v>
      </c>
      <c r="K515" s="123">
        <v>100000</v>
      </c>
      <c r="L515" s="124">
        <f t="shared" si="70"/>
        <v>8</v>
      </c>
      <c r="M515" s="45">
        <f t="shared" si="72"/>
        <v>800000</v>
      </c>
      <c r="N515" s="45">
        <f t="shared" si="73"/>
        <v>800000</v>
      </c>
      <c r="O515" s="45"/>
      <c r="P515" s="45" t="s">
        <v>2713</v>
      </c>
      <c r="Q515" s="45"/>
      <c r="R515" s="45"/>
      <c r="S515" s="45">
        <f t="shared" si="71"/>
        <v>0</v>
      </c>
      <c r="T515" s="44" t="s">
        <v>19</v>
      </c>
      <c r="U515" s="44" t="s">
        <v>20</v>
      </c>
      <c r="V515" s="43" t="s">
        <v>21</v>
      </c>
      <c r="W515" t="str">
        <f>VLOOKUP(C515,'Data_HS t5'!$B$2:$K$412,10,TRUE)</f>
        <v>Xã Đa Tốn, Huyện Gia Lâm, Thành phố Hà Nội</v>
      </c>
      <c r="X515" t="str">
        <f>VLOOKUP(C515,'Data_HS t9'!$B$2:$K$454,10,TRUE)</f>
        <v>Tổ 1, Phường Long Biên, Quận Long Biên, Thành phố Hà Nội</v>
      </c>
    </row>
    <row r="516" spans="1:25">
      <c r="A516" s="2">
        <v>506</v>
      </c>
      <c r="B516" s="119">
        <v>202510</v>
      </c>
      <c r="C516" s="44" t="s">
        <v>1025</v>
      </c>
      <c r="D516" s="44" t="s">
        <v>1026</v>
      </c>
      <c r="E516" s="44" t="s">
        <v>1010</v>
      </c>
      <c r="F516" s="44">
        <v>0</v>
      </c>
      <c r="G516" s="44">
        <v>6</v>
      </c>
      <c r="H516" s="44">
        <v>0</v>
      </c>
      <c r="I516" s="44">
        <v>0</v>
      </c>
      <c r="J516" s="44">
        <v>0</v>
      </c>
      <c r="K516" s="123">
        <v>100000</v>
      </c>
      <c r="L516" s="124">
        <f t="shared" si="70"/>
        <v>6</v>
      </c>
      <c r="M516" s="45">
        <f t="shared" si="72"/>
        <v>600000</v>
      </c>
      <c r="N516" s="45">
        <f t="shared" si="73"/>
        <v>600000</v>
      </c>
      <c r="O516" s="45"/>
      <c r="P516" s="45" t="s">
        <v>2752</v>
      </c>
      <c r="Q516" s="45"/>
      <c r="R516" s="45"/>
      <c r="S516" s="45">
        <f t="shared" si="71"/>
        <v>0</v>
      </c>
      <c r="T516" s="44" t="s">
        <v>19</v>
      </c>
      <c r="U516" s="44" t="s">
        <v>20</v>
      </c>
      <c r="V516" s="43" t="s">
        <v>21</v>
      </c>
      <c r="W516" t="str">
        <f>VLOOKUP(C516,'Data_HS t5'!$B$2:$K$412,10,TRUE)</f>
        <v>Tổ dân phố 21, Phường Phúc Xá, Quận Ba Đình, Thành phố Hà Nội</v>
      </c>
      <c r="X516" t="str">
        <f>VLOOKUP(C516,'Data_HS t9'!$B$2:$K$454,10,TRUE)</f>
        <v>Tổ dân phố số 4, Phường Phúc Đồng, Quận Long Biên, Thành phố Hà Nội</v>
      </c>
    </row>
    <row r="517" spans="1:25">
      <c r="A517" s="2">
        <v>507</v>
      </c>
      <c r="B517" s="119">
        <v>202510</v>
      </c>
      <c r="C517" s="44" t="s">
        <v>1027</v>
      </c>
      <c r="D517" s="44" t="s">
        <v>1028</v>
      </c>
      <c r="E517" s="44" t="s">
        <v>1010</v>
      </c>
      <c r="F517" s="44">
        <v>0</v>
      </c>
      <c r="G517" s="44">
        <v>8</v>
      </c>
      <c r="H517" s="44">
        <v>0</v>
      </c>
      <c r="I517" s="44">
        <v>0</v>
      </c>
      <c r="J517" s="44">
        <v>0</v>
      </c>
      <c r="K517" s="123">
        <v>100000</v>
      </c>
      <c r="L517" s="124">
        <f t="shared" si="70"/>
        <v>8</v>
      </c>
      <c r="M517" s="45">
        <f t="shared" si="72"/>
        <v>800000</v>
      </c>
      <c r="N517" s="45">
        <f t="shared" si="73"/>
        <v>800000</v>
      </c>
      <c r="O517" s="45"/>
      <c r="P517" s="45" t="s">
        <v>2786</v>
      </c>
      <c r="Q517" s="45"/>
      <c r="R517" s="45"/>
      <c r="S517" s="45">
        <f t="shared" si="71"/>
        <v>0</v>
      </c>
      <c r="T517" s="44" t="s">
        <v>19</v>
      </c>
      <c r="U517" s="44" t="s">
        <v>20</v>
      </c>
      <c r="V517" s="43" t="s">
        <v>21</v>
      </c>
      <c r="W517">
        <f>VLOOKUP(C517,'Data_HS t5'!$B$2:$K$412,10,TRUE)</f>
        <v>0</v>
      </c>
      <c r="X517" t="str">
        <f>VLOOKUP(C517,'Data_HS t9'!$B$2:$K$454,10,TRUE)</f>
        <v>Tổ dân phố số 27, Phường Ngọc Lâm, Quận Long Biên, Thành phố Hà Nội</v>
      </c>
    </row>
    <row r="518" spans="1:25">
      <c r="A518" s="2">
        <v>508</v>
      </c>
      <c r="B518" s="119">
        <v>202510</v>
      </c>
      <c r="C518" s="44" t="s">
        <v>1029</v>
      </c>
      <c r="D518" s="44" t="s">
        <v>1030</v>
      </c>
      <c r="E518" s="44" t="s">
        <v>1010</v>
      </c>
      <c r="F518" s="44">
        <v>0</v>
      </c>
      <c r="G518" s="44">
        <v>9</v>
      </c>
      <c r="H518" s="44">
        <v>0</v>
      </c>
      <c r="I518" s="44">
        <v>0</v>
      </c>
      <c r="J518" s="44">
        <v>0</v>
      </c>
      <c r="K518" s="123">
        <v>100000</v>
      </c>
      <c r="L518" s="124">
        <f t="shared" si="70"/>
        <v>9</v>
      </c>
      <c r="M518" s="45">
        <f t="shared" si="72"/>
        <v>900000</v>
      </c>
      <c r="N518" s="45">
        <f t="shared" si="73"/>
        <v>900000</v>
      </c>
      <c r="O518" s="45"/>
      <c r="P518" s="45" t="s">
        <v>3115</v>
      </c>
      <c r="Q518" s="45"/>
      <c r="R518" s="45"/>
      <c r="S518" s="45">
        <f t="shared" si="71"/>
        <v>0</v>
      </c>
      <c r="T518" s="44" t="s">
        <v>19</v>
      </c>
      <c r="U518" s="44" t="s">
        <v>20</v>
      </c>
      <c r="V518" s="43" t="s">
        <v>21</v>
      </c>
      <c r="W518" t="str">
        <f>VLOOKUP(C518,'Data_HS t5'!$B$2:$K$412,10,TRUE)</f>
        <v>Phường Thạch Bàn, Quận Long Biên, Thành phố Hà Nội</v>
      </c>
      <c r="X518" t="str">
        <f>VLOOKUP(C518,'Data_HS t9'!$B$2:$K$454,10,TRUE)</f>
        <v>Tổ dân phố số 36, Phường Ngọc Thụy, Quận Long Biên, Thành phố Hà Nội</v>
      </c>
    </row>
    <row r="519" spans="1:25">
      <c r="A519" s="2">
        <v>509</v>
      </c>
      <c r="B519" s="119">
        <v>202510</v>
      </c>
      <c r="C519" s="44" t="s">
        <v>1031</v>
      </c>
      <c r="D519" s="44" t="s">
        <v>1032</v>
      </c>
      <c r="E519" s="44" t="s">
        <v>1010</v>
      </c>
      <c r="F519" s="44">
        <v>0</v>
      </c>
      <c r="G519" s="44">
        <v>8</v>
      </c>
      <c r="H519" s="44">
        <v>0</v>
      </c>
      <c r="I519" s="44">
        <v>0</v>
      </c>
      <c r="J519" s="44">
        <v>0</v>
      </c>
      <c r="K519" s="123">
        <v>100000</v>
      </c>
      <c r="L519" s="124">
        <f t="shared" si="70"/>
        <v>8</v>
      </c>
      <c r="M519" s="45">
        <f t="shared" si="72"/>
        <v>800000</v>
      </c>
      <c r="N519" s="45">
        <f t="shared" si="73"/>
        <v>800000</v>
      </c>
      <c r="O519" s="45"/>
      <c r="P519" s="45" t="s">
        <v>2710</v>
      </c>
      <c r="Q519" s="45"/>
      <c r="R519" s="45"/>
      <c r="S519" s="45">
        <f t="shared" si="71"/>
        <v>0</v>
      </c>
      <c r="T519" s="44" t="s">
        <v>19</v>
      </c>
      <c r="U519" s="44" t="s">
        <v>20</v>
      </c>
      <c r="V519" s="43" t="s">
        <v>21</v>
      </c>
      <c r="W519">
        <f>VLOOKUP(C519,'Data_HS t5'!$B$2:$K$412,10,TRUE)</f>
        <v>0</v>
      </c>
      <c r="X519" t="str">
        <f>VLOOKUP(C519,'Data_HS t9'!$B$2:$K$454,10,TRUE)</f>
        <v>Tổ 13, Khu Đô thị Việt Hưng, Phường Giang Biên, Quận Long Biên.</v>
      </c>
    </row>
    <row r="520" spans="1:25">
      <c r="A520" s="2">
        <v>510</v>
      </c>
      <c r="B520" s="119">
        <v>202510</v>
      </c>
      <c r="C520" s="44" t="s">
        <v>1033</v>
      </c>
      <c r="D520" s="44" t="s">
        <v>1034</v>
      </c>
      <c r="E520" s="44" t="s">
        <v>1010</v>
      </c>
      <c r="F520" s="44">
        <v>0</v>
      </c>
      <c r="G520" s="44">
        <v>9</v>
      </c>
      <c r="H520" s="44">
        <v>0</v>
      </c>
      <c r="I520" s="44">
        <v>0</v>
      </c>
      <c r="J520" s="44">
        <v>0</v>
      </c>
      <c r="K520" s="123">
        <v>100000</v>
      </c>
      <c r="L520" s="124">
        <f t="shared" si="70"/>
        <v>9</v>
      </c>
      <c r="M520" s="45">
        <f t="shared" si="72"/>
        <v>900000</v>
      </c>
      <c r="N520" s="45">
        <f t="shared" si="73"/>
        <v>900000</v>
      </c>
      <c r="O520" s="45"/>
      <c r="P520" s="45" t="s">
        <v>2674</v>
      </c>
      <c r="Q520" s="45"/>
      <c r="R520" s="45"/>
      <c r="S520" s="45">
        <f t="shared" si="71"/>
        <v>0</v>
      </c>
      <c r="T520" s="44" t="s">
        <v>19</v>
      </c>
      <c r="U520" s="44" t="s">
        <v>20</v>
      </c>
      <c r="V520" s="43" t="s">
        <v>21</v>
      </c>
      <c r="W520" t="str">
        <f>VLOOKUP(C520,'Data_HS t5'!$B$2:$K$412,10,TRUE)</f>
        <v>Tổ dân phố 21, Phường Phúc Xá, Quận Ba Đình, Thành phố Hà Nội</v>
      </c>
      <c r="X520" t="str">
        <f>VLOOKUP(C520,'Data_HS t9'!$B$2:$K$454,10,TRUE)</f>
        <v>Tổ dân phố số 4, Phường Phúc Đồng, Quận Long Biên, Thành phố Hà Nội</v>
      </c>
    </row>
    <row r="521" spans="1:25">
      <c r="A521" s="2">
        <v>511</v>
      </c>
      <c r="B521" s="119">
        <v>202510</v>
      </c>
      <c r="C521" s="44" t="s">
        <v>1035</v>
      </c>
      <c r="D521" s="44" t="s">
        <v>1036</v>
      </c>
      <c r="E521" s="44" t="s">
        <v>1010</v>
      </c>
      <c r="F521" s="44">
        <v>0</v>
      </c>
      <c r="G521" s="44">
        <v>11</v>
      </c>
      <c r="H521" s="44">
        <v>0</v>
      </c>
      <c r="I521" s="44">
        <v>0</v>
      </c>
      <c r="J521" s="44">
        <v>0</v>
      </c>
      <c r="K521" s="123">
        <v>100000</v>
      </c>
      <c r="L521" s="124">
        <f t="shared" si="70"/>
        <v>11</v>
      </c>
      <c r="M521" s="45">
        <f t="shared" si="72"/>
        <v>1100000</v>
      </c>
      <c r="N521" s="45">
        <f t="shared" si="73"/>
        <v>1100000</v>
      </c>
      <c r="O521" s="45"/>
      <c r="P521" s="45" t="s">
        <v>2793</v>
      </c>
      <c r="Q521" s="45"/>
      <c r="R521" s="45"/>
      <c r="S521" s="45">
        <f t="shared" si="71"/>
        <v>0</v>
      </c>
      <c r="T521" s="44" t="s">
        <v>19</v>
      </c>
      <c r="U521" s="44" t="s">
        <v>20</v>
      </c>
      <c r="V521" s="43" t="s">
        <v>21</v>
      </c>
      <c r="W521" t="str">
        <f>VLOOKUP(C521,'Data_HS t5'!$B$2:$K$412,10,TRUE)</f>
        <v>Tổ dân phố 21, Phường Phúc Xá, Quận Ba Đình, Thành phố Hà Nội</v>
      </c>
      <c r="X521" t="str">
        <f>VLOOKUP(C521,'Data_HS t9'!$B$2:$K$454,10,TRUE)</f>
        <v>Tổ dân phố số 4, Phường Phúc Đồng, Quận Long Biên, Thành phố Hà Nội</v>
      </c>
    </row>
    <row r="522" spans="1:25">
      <c r="A522" s="2">
        <v>512</v>
      </c>
      <c r="B522" s="119">
        <v>202510</v>
      </c>
      <c r="C522" s="44" t="s">
        <v>1037</v>
      </c>
      <c r="D522" s="44" t="s">
        <v>1038</v>
      </c>
      <c r="E522" s="44" t="s">
        <v>1010</v>
      </c>
      <c r="F522" s="44">
        <v>0</v>
      </c>
      <c r="G522" s="44">
        <v>6</v>
      </c>
      <c r="H522" s="44">
        <v>0</v>
      </c>
      <c r="I522" s="44">
        <v>0</v>
      </c>
      <c r="J522" s="44">
        <v>0</v>
      </c>
      <c r="K522" s="123">
        <v>100000</v>
      </c>
      <c r="L522" s="124">
        <f t="shared" si="70"/>
        <v>6</v>
      </c>
      <c r="M522" s="45">
        <f t="shared" si="72"/>
        <v>600000</v>
      </c>
      <c r="N522" s="45">
        <f t="shared" si="73"/>
        <v>600000</v>
      </c>
      <c r="O522" s="45"/>
      <c r="P522" s="45" t="s">
        <v>3061</v>
      </c>
      <c r="Q522" s="45"/>
      <c r="R522" s="45"/>
      <c r="S522" s="45">
        <f t="shared" si="71"/>
        <v>0</v>
      </c>
      <c r="T522" s="44" t="s">
        <v>19</v>
      </c>
      <c r="U522" s="44" t="s">
        <v>20</v>
      </c>
      <c r="V522" s="43" t="s">
        <v>21</v>
      </c>
      <c r="W522" t="str">
        <f>VLOOKUP(C522,'Data_HS t5'!$B$2:$K$412,10,TRUE)</f>
        <v>Tổ dân phố số 13, Phường Thạch Bàn, Quận Long Biên, Thành phố Hà Nội</v>
      </c>
      <c r="X522" t="str">
        <f>VLOOKUP(C522,'Data_HS t9'!$B$2:$K$454,10,TRUE)</f>
        <v>Tổ dân phố số 1, Phường Cự Khối, Quận Long Biên, Thành phố Hà Nội</v>
      </c>
    </row>
    <row r="523" spans="1:25">
      <c r="A523" s="2">
        <v>513</v>
      </c>
      <c r="B523" s="119">
        <v>202510</v>
      </c>
      <c r="C523" s="44" t="s">
        <v>1039</v>
      </c>
      <c r="D523" s="44" t="s">
        <v>1040</v>
      </c>
      <c r="E523" s="44" t="s">
        <v>1010</v>
      </c>
      <c r="F523" s="44">
        <v>0</v>
      </c>
      <c r="G523" s="44">
        <v>9</v>
      </c>
      <c r="H523" s="44">
        <v>0</v>
      </c>
      <c r="I523" s="44">
        <v>0</v>
      </c>
      <c r="J523" s="44">
        <v>0</v>
      </c>
      <c r="K523" s="123">
        <v>100000</v>
      </c>
      <c r="L523" s="124">
        <f t="shared" si="70"/>
        <v>9</v>
      </c>
      <c r="M523" s="45">
        <f t="shared" si="72"/>
        <v>900000</v>
      </c>
      <c r="N523" s="45">
        <f t="shared" si="73"/>
        <v>900000</v>
      </c>
      <c r="O523" s="45"/>
      <c r="P523" s="45" t="s">
        <v>2049</v>
      </c>
      <c r="Q523" s="45"/>
      <c r="R523" s="45"/>
      <c r="S523" s="45">
        <f t="shared" si="71"/>
        <v>0</v>
      </c>
      <c r="T523" s="44" t="s">
        <v>19</v>
      </c>
      <c r="U523" s="44" t="s">
        <v>20</v>
      </c>
      <c r="V523" s="43" t="s">
        <v>21</v>
      </c>
      <c r="W523" t="str">
        <f>VLOOKUP(C523,'Data_HS t5'!$B$2:$K$412,10,TRUE)</f>
        <v>Phường Lê Đại Hành, Quận Hai Bà Trưng, Thành phố Hà Nội</v>
      </c>
      <c r="X523" t="e">
        <f>VLOOKUP(C523,'Data_HS t9'!$B$2:$K$454,10,TRUE)</f>
        <v>#N/A</v>
      </c>
    </row>
    <row r="524" spans="1:25">
      <c r="A524" s="2">
        <v>514</v>
      </c>
      <c r="B524" s="119">
        <v>202510</v>
      </c>
      <c r="C524" s="44" t="s">
        <v>1041</v>
      </c>
      <c r="D524" s="44" t="s">
        <v>1042</v>
      </c>
      <c r="E524" s="44" t="s">
        <v>1010</v>
      </c>
      <c r="F524" s="44">
        <v>0</v>
      </c>
      <c r="G524" s="44">
        <v>9</v>
      </c>
      <c r="H524" s="44">
        <v>0</v>
      </c>
      <c r="I524" s="44">
        <v>0</v>
      </c>
      <c r="J524" s="44">
        <v>0</v>
      </c>
      <c r="K524" s="123">
        <v>100000</v>
      </c>
      <c r="L524" s="124">
        <f t="shared" si="70"/>
        <v>9</v>
      </c>
      <c r="M524" s="45">
        <f t="shared" si="72"/>
        <v>900000</v>
      </c>
      <c r="N524" s="45">
        <f t="shared" si="73"/>
        <v>900000</v>
      </c>
      <c r="O524" s="45"/>
      <c r="P524" s="45" t="s">
        <v>3130</v>
      </c>
      <c r="Q524" s="45"/>
      <c r="R524" s="45"/>
      <c r="S524" s="45">
        <f t="shared" si="71"/>
        <v>0</v>
      </c>
      <c r="T524" s="44" t="s">
        <v>19</v>
      </c>
      <c r="U524" s="44" t="s">
        <v>20</v>
      </c>
      <c r="V524" s="43" t="s">
        <v>21</v>
      </c>
      <c r="W524" t="str">
        <f>VLOOKUP(C524,'Data_HS t5'!$B$2:$K$412,10,TRUE)</f>
        <v>Tổ dân phố 21, Phường Phúc Xá, Quận Ba Đình, Thành phố Hà Nội</v>
      </c>
      <c r="X524" t="str">
        <f>VLOOKUP(C524,'Data_HS t9'!$B$2:$K$454,10,TRUE)</f>
        <v>Tổ dân phố số 4, Phường Phúc Đồng, Quận Long Biên, Thành phố Hà Nội</v>
      </c>
    </row>
    <row r="525" spans="1:25">
      <c r="A525" s="2">
        <v>515</v>
      </c>
      <c r="B525" s="119">
        <v>202510</v>
      </c>
      <c r="C525" s="44" t="s">
        <v>1043</v>
      </c>
      <c r="D525" s="44" t="s">
        <v>1044</v>
      </c>
      <c r="E525" s="44" t="s">
        <v>1010</v>
      </c>
      <c r="F525" s="44">
        <v>0</v>
      </c>
      <c r="G525" s="44">
        <v>9</v>
      </c>
      <c r="H525" s="44">
        <v>0</v>
      </c>
      <c r="I525" s="44">
        <v>0</v>
      </c>
      <c r="J525" s="44">
        <v>0</v>
      </c>
      <c r="K525" s="123">
        <v>100000</v>
      </c>
      <c r="L525" s="124">
        <f t="shared" si="70"/>
        <v>9</v>
      </c>
      <c r="M525" s="45">
        <f t="shared" si="72"/>
        <v>900000</v>
      </c>
      <c r="N525" s="45">
        <f t="shared" si="73"/>
        <v>900000</v>
      </c>
      <c r="O525" s="45" t="s">
        <v>1690</v>
      </c>
      <c r="P525" s="45"/>
      <c r="Q525" s="45"/>
      <c r="R525" s="45"/>
      <c r="S525" s="45">
        <f t="shared" si="71"/>
        <v>0</v>
      </c>
      <c r="T525" s="44" t="s">
        <v>19</v>
      </c>
      <c r="U525" s="44" t="s">
        <v>20</v>
      </c>
      <c r="V525" s="43" t="s">
        <v>21</v>
      </c>
      <c r="W525">
        <f>VLOOKUP(C525,'Data_HS t5'!$B$2:$K$412,10,TRUE)</f>
        <v>0</v>
      </c>
      <c r="X525" t="str">
        <f>VLOOKUP(C525,'Data_HS t9'!$B$2:$K$454,10,TRUE)</f>
        <v>Tổ dân phố số 12, Phường Thạch Bàn, Quận Long Biên, Thành phố Hà Nội</v>
      </c>
      <c r="Y525" t="s">
        <v>3151</v>
      </c>
    </row>
    <row r="526" spans="1:25">
      <c r="A526" s="2">
        <v>516</v>
      </c>
      <c r="B526" s="119">
        <v>202510</v>
      </c>
      <c r="C526" s="44" t="s">
        <v>1045</v>
      </c>
      <c r="D526" s="44" t="s">
        <v>1046</v>
      </c>
      <c r="E526" s="44" t="s">
        <v>1010</v>
      </c>
      <c r="F526" s="44">
        <v>0</v>
      </c>
      <c r="G526" s="44">
        <v>9</v>
      </c>
      <c r="H526" s="44">
        <v>0</v>
      </c>
      <c r="I526" s="44">
        <v>0</v>
      </c>
      <c r="J526" s="44">
        <v>0</v>
      </c>
      <c r="K526" s="123">
        <v>100000</v>
      </c>
      <c r="L526" s="124">
        <f t="shared" si="70"/>
        <v>9</v>
      </c>
      <c r="M526" s="45">
        <f t="shared" si="72"/>
        <v>900000</v>
      </c>
      <c r="N526" s="45">
        <f t="shared" si="73"/>
        <v>900000</v>
      </c>
      <c r="O526" s="45"/>
      <c r="P526" s="45" t="s">
        <v>2819</v>
      </c>
      <c r="Q526" s="45"/>
      <c r="R526" s="45"/>
      <c r="S526" s="45">
        <f t="shared" si="71"/>
        <v>0</v>
      </c>
      <c r="T526" s="44" t="s">
        <v>19</v>
      </c>
      <c r="U526" s="44" t="s">
        <v>20</v>
      </c>
      <c r="V526" s="43" t="s">
        <v>21</v>
      </c>
      <c r="W526">
        <f>VLOOKUP(C526,'Data_HS t5'!$B$2:$K$412,10,TRUE)</f>
        <v>0</v>
      </c>
      <c r="X526" t="str">
        <f>VLOOKUP(C526,'Data_HS t9'!$B$2:$K$454,10,TRUE)</f>
        <v>Tổ dân phố số 15, Phường Việt Hưng, Quận Long Biên, Thành phố Hà Nội</v>
      </c>
    </row>
    <row r="527" spans="1:25">
      <c r="A527" s="2">
        <v>517</v>
      </c>
      <c r="B527" s="119">
        <v>202510</v>
      </c>
      <c r="C527" s="44" t="s">
        <v>1047</v>
      </c>
      <c r="D527" s="44" t="s">
        <v>1048</v>
      </c>
      <c r="E527" s="44" t="s">
        <v>1010</v>
      </c>
      <c r="F527" s="44">
        <v>0</v>
      </c>
      <c r="G527" s="44">
        <v>8</v>
      </c>
      <c r="H527" s="44">
        <v>0</v>
      </c>
      <c r="I527" s="44">
        <v>0</v>
      </c>
      <c r="J527" s="44">
        <v>0</v>
      </c>
      <c r="K527" s="123">
        <v>100000</v>
      </c>
      <c r="L527" s="124">
        <f t="shared" si="70"/>
        <v>8</v>
      </c>
      <c r="M527" s="45">
        <f t="shared" si="72"/>
        <v>800000</v>
      </c>
      <c r="N527" s="45">
        <f>M527</f>
        <v>800000</v>
      </c>
      <c r="O527" s="45"/>
      <c r="P527" s="45" t="s">
        <v>6548</v>
      </c>
      <c r="Q527" s="45"/>
      <c r="R527" s="45"/>
      <c r="S527" s="45">
        <f t="shared" si="71"/>
        <v>0</v>
      </c>
      <c r="T527" s="44" t="s">
        <v>19</v>
      </c>
      <c r="U527" s="44" t="s">
        <v>20</v>
      </c>
      <c r="V527" s="43" t="s">
        <v>21</v>
      </c>
      <c r="W527" t="str">
        <f>VLOOKUP(C527,'Data_HS t5'!$B$2:$K$412,10,TRUE)</f>
        <v>Tổ dân phố số 1, Phường Ngọc Lâm, Quận Long Biên, Thành phố Hà Nội</v>
      </c>
      <c r="X527" t="str">
        <f>VLOOKUP(C527,'Data_HS t9'!$B$2:$K$454,10,TRUE)</f>
        <v>Tổ 1, Phường Long Biên, Quận Long Biên, Thành phố Hà Nội</v>
      </c>
    </row>
    <row r="528" spans="1:25">
      <c r="A528" s="2">
        <v>518</v>
      </c>
      <c r="B528" s="119">
        <v>202510</v>
      </c>
      <c r="C528" s="44" t="s">
        <v>1049</v>
      </c>
      <c r="D528" s="44" t="s">
        <v>1050</v>
      </c>
      <c r="E528" s="44" t="s">
        <v>1010</v>
      </c>
      <c r="F528" s="44">
        <v>0</v>
      </c>
      <c r="G528" s="44">
        <v>9</v>
      </c>
      <c r="H528" s="44">
        <v>0</v>
      </c>
      <c r="I528" s="44">
        <v>0</v>
      </c>
      <c r="J528" s="44">
        <v>0</v>
      </c>
      <c r="K528" s="123">
        <v>100000</v>
      </c>
      <c r="L528" s="124">
        <f t="shared" si="70"/>
        <v>9</v>
      </c>
      <c r="M528" s="45">
        <f t="shared" si="72"/>
        <v>900000</v>
      </c>
      <c r="N528" s="45">
        <f>M528</f>
        <v>900000</v>
      </c>
      <c r="O528" s="45"/>
      <c r="P528" s="45" t="s">
        <v>6652</v>
      </c>
      <c r="Q528" s="45"/>
      <c r="R528" s="45"/>
      <c r="S528" s="45">
        <f t="shared" si="71"/>
        <v>0</v>
      </c>
      <c r="T528" s="44" t="s">
        <v>19</v>
      </c>
      <c r="U528" s="44" t="s">
        <v>20</v>
      </c>
      <c r="V528" s="43" t="s">
        <v>21</v>
      </c>
      <c r="W528" t="str">
        <f>VLOOKUP(C528,'Data_HS t5'!$B$2:$K$412,10,TRUE)</f>
        <v>Số 77 Gia Quất, Thượng Thanh, LB</v>
      </c>
      <c r="X528" t="str">
        <f>VLOOKUP(C528,'Data_HS t9'!$B$2:$K$454,10,TRUE)</f>
        <v>Hiện nay: Tổ 12, Thạch Bàn, LB</v>
      </c>
    </row>
    <row r="529" spans="1:24">
      <c r="A529" s="2">
        <v>519</v>
      </c>
      <c r="B529" s="119">
        <v>202510</v>
      </c>
      <c r="C529" s="44" t="s">
        <v>1051</v>
      </c>
      <c r="D529" s="44" t="s">
        <v>1052</v>
      </c>
      <c r="E529" s="44" t="s">
        <v>1010</v>
      </c>
      <c r="F529" s="44">
        <v>0</v>
      </c>
      <c r="G529" s="44">
        <v>8</v>
      </c>
      <c r="H529" s="44">
        <v>0</v>
      </c>
      <c r="I529" s="44">
        <v>0</v>
      </c>
      <c r="J529" s="44">
        <v>0</v>
      </c>
      <c r="K529" s="123">
        <v>100000</v>
      </c>
      <c r="L529" s="124">
        <f t="shared" si="70"/>
        <v>8</v>
      </c>
      <c r="M529" s="45">
        <f t="shared" si="72"/>
        <v>800000</v>
      </c>
      <c r="N529" s="45">
        <f t="shared" ref="N529:N535" si="74">M529</f>
        <v>800000</v>
      </c>
      <c r="O529" s="45"/>
      <c r="P529" s="45" t="s">
        <v>2688</v>
      </c>
      <c r="Q529" s="45"/>
      <c r="R529" s="45"/>
      <c r="S529" s="45">
        <f t="shared" si="71"/>
        <v>0</v>
      </c>
      <c r="T529" s="44" t="s">
        <v>19</v>
      </c>
      <c r="U529" s="44" t="s">
        <v>20</v>
      </c>
      <c r="V529" s="43" t="s">
        <v>21</v>
      </c>
      <c r="W529" t="str">
        <f>VLOOKUP(C529,'Data_HS t5'!$B$2:$K$412,10,TRUE)</f>
        <v>Tổ dân phố 21, Phường Phúc Xá, Quận Ba Đình, Thành phố Hà Nội</v>
      </c>
      <c r="X529" t="str">
        <f>VLOOKUP(C529,'Data_HS t9'!$B$2:$K$454,10,TRUE)</f>
        <v>Phường Thạch Bàn, Quận Long Biên, Thành phố Hà Nội</v>
      </c>
    </row>
    <row r="530" spans="1:24">
      <c r="A530" s="2">
        <v>520</v>
      </c>
      <c r="B530" s="119">
        <v>202510</v>
      </c>
      <c r="C530" s="44" t="s">
        <v>1053</v>
      </c>
      <c r="D530" s="44" t="s">
        <v>1054</v>
      </c>
      <c r="E530" s="44" t="s">
        <v>1055</v>
      </c>
      <c r="F530" s="44">
        <v>10</v>
      </c>
      <c r="G530" s="44">
        <v>0</v>
      </c>
      <c r="H530" s="44">
        <v>8</v>
      </c>
      <c r="I530" s="44">
        <v>0</v>
      </c>
      <c r="J530" s="44">
        <v>0</v>
      </c>
      <c r="K530" s="123">
        <v>100000</v>
      </c>
      <c r="L530" s="124">
        <f t="shared" si="70"/>
        <v>18</v>
      </c>
      <c r="M530" s="45">
        <f t="shared" si="72"/>
        <v>1800000</v>
      </c>
      <c r="N530" s="45">
        <f t="shared" si="74"/>
        <v>1800000</v>
      </c>
      <c r="O530" s="45"/>
      <c r="P530" s="45" t="s">
        <v>2716</v>
      </c>
      <c r="Q530" s="45"/>
      <c r="R530" s="45"/>
      <c r="S530" s="45">
        <f t="shared" si="71"/>
        <v>0</v>
      </c>
      <c r="T530" s="44" t="s">
        <v>19</v>
      </c>
      <c r="U530" s="44" t="s">
        <v>20</v>
      </c>
      <c r="V530" s="43" t="s">
        <v>21</v>
      </c>
      <c r="W530">
        <f>VLOOKUP(C530,'Data_HS t5'!$B$2:$K$412,10,TRUE)</f>
        <v>0</v>
      </c>
      <c r="X530" t="str">
        <f>VLOOKUP(C530,'Data_HS t9'!$B$2:$K$454,10,TRUE)</f>
        <v>Tổ 13, Khu Đô thị Việt Hưng, Phường Giang Biên, Quận Long Biên.</v>
      </c>
    </row>
    <row r="531" spans="1:24">
      <c r="A531" s="2">
        <v>521</v>
      </c>
      <c r="B531" s="119">
        <v>202510</v>
      </c>
      <c r="C531" s="44" t="s">
        <v>1056</v>
      </c>
      <c r="D531" s="44" t="s">
        <v>1057</v>
      </c>
      <c r="E531" s="44" t="s">
        <v>1055</v>
      </c>
      <c r="F531" s="44">
        <v>9</v>
      </c>
      <c r="G531" s="44">
        <v>0</v>
      </c>
      <c r="H531" s="44">
        <v>0</v>
      </c>
      <c r="I531" s="44">
        <v>0</v>
      </c>
      <c r="J531" s="44">
        <v>0</v>
      </c>
      <c r="K531" s="123">
        <v>100000</v>
      </c>
      <c r="L531" s="124">
        <f t="shared" si="70"/>
        <v>9</v>
      </c>
      <c r="M531" s="45">
        <f t="shared" si="72"/>
        <v>900000</v>
      </c>
      <c r="N531" s="45">
        <f t="shared" si="74"/>
        <v>900000</v>
      </c>
      <c r="O531" s="45"/>
      <c r="P531" s="45" t="s">
        <v>6326</v>
      </c>
      <c r="Q531" s="45"/>
      <c r="R531" s="45"/>
      <c r="S531" s="45">
        <f t="shared" si="71"/>
        <v>0</v>
      </c>
      <c r="T531" s="44" t="s">
        <v>19</v>
      </c>
      <c r="U531" s="44" t="s">
        <v>20</v>
      </c>
      <c r="V531" s="43" t="s">
        <v>21</v>
      </c>
      <c r="W531" t="e">
        <f>VLOOKUP(C531,'Data_HS t5'!$B$2:$K$412,10,TRUE)</f>
        <v>#N/A</v>
      </c>
      <c r="X531" t="e">
        <f>VLOOKUP(C531,'Data_HS t9'!$B$2:$K$454,10,TRUE)</f>
        <v>#N/A</v>
      </c>
    </row>
    <row r="532" spans="1:24">
      <c r="A532" s="2">
        <v>522</v>
      </c>
      <c r="B532" s="119">
        <v>202510</v>
      </c>
      <c r="C532" s="44" t="s">
        <v>1058</v>
      </c>
      <c r="D532" s="44" t="s">
        <v>1059</v>
      </c>
      <c r="E532" s="44" t="s">
        <v>1055</v>
      </c>
      <c r="F532" s="44">
        <v>9</v>
      </c>
      <c r="G532" s="44">
        <v>0</v>
      </c>
      <c r="H532" s="44">
        <v>0</v>
      </c>
      <c r="I532" s="44">
        <v>0</v>
      </c>
      <c r="J532" s="44">
        <v>0</v>
      </c>
      <c r="K532" s="123">
        <v>100000</v>
      </c>
      <c r="L532" s="124">
        <f t="shared" si="70"/>
        <v>9</v>
      </c>
      <c r="M532" s="45">
        <f t="shared" si="72"/>
        <v>900000</v>
      </c>
      <c r="N532" s="45">
        <f t="shared" si="74"/>
        <v>900000</v>
      </c>
      <c r="O532" s="45"/>
      <c r="P532" s="45" t="s">
        <v>2669</v>
      </c>
      <c r="Q532" s="45"/>
      <c r="R532" s="45"/>
      <c r="S532" s="45">
        <f t="shared" si="71"/>
        <v>0</v>
      </c>
      <c r="T532" s="44" t="s">
        <v>19</v>
      </c>
      <c r="U532" s="44" t="s">
        <v>20</v>
      </c>
      <c r="V532" s="43" t="s">
        <v>21</v>
      </c>
      <c r="W532" t="e">
        <f>VLOOKUP(C532,'Data_HS t5'!$B$2:$K$412,10,TRUE)</f>
        <v>#N/A</v>
      </c>
      <c r="X532" t="e">
        <f>VLOOKUP(C532,'Data_HS t9'!$B$2:$K$454,10,TRUE)</f>
        <v>#N/A</v>
      </c>
    </row>
    <row r="533" spans="1:24">
      <c r="A533" s="2">
        <v>523</v>
      </c>
      <c r="B533" s="119">
        <v>202510</v>
      </c>
      <c r="C533" s="44" t="s">
        <v>1060</v>
      </c>
      <c r="D533" s="44" t="s">
        <v>1061</v>
      </c>
      <c r="E533" s="44" t="s">
        <v>1055</v>
      </c>
      <c r="F533" s="44">
        <v>6</v>
      </c>
      <c r="G533" s="44">
        <v>0</v>
      </c>
      <c r="H533" s="44">
        <v>0</v>
      </c>
      <c r="I533" s="44">
        <v>0</v>
      </c>
      <c r="J533" s="44">
        <v>0</v>
      </c>
      <c r="K533" s="123">
        <v>100000</v>
      </c>
      <c r="L533" s="124">
        <f t="shared" si="70"/>
        <v>6</v>
      </c>
      <c r="M533" s="45">
        <f t="shared" si="72"/>
        <v>600000</v>
      </c>
      <c r="N533" s="45">
        <f t="shared" si="74"/>
        <v>600000</v>
      </c>
      <c r="O533" s="45"/>
      <c r="P533" s="45" t="s">
        <v>2765</v>
      </c>
      <c r="Q533" s="45"/>
      <c r="R533" s="45"/>
      <c r="S533" s="45">
        <f t="shared" si="71"/>
        <v>0</v>
      </c>
      <c r="T533" s="44" t="s">
        <v>19</v>
      </c>
      <c r="U533" s="44" t="s">
        <v>20</v>
      </c>
      <c r="V533" s="43" t="s">
        <v>21</v>
      </c>
      <c r="W533">
        <f>VLOOKUP(C533,'Data_HS t5'!$B$2:$K$412,10,TRUE)</f>
        <v>0</v>
      </c>
      <c r="X533" t="str">
        <f>VLOOKUP(C533,'Data_HS t9'!$B$2:$K$454,10,TRUE)</f>
        <v>Tổ 13, Khu Đô thị Việt Hưng, Phường Giang Biên, Quận Long Biên.</v>
      </c>
    </row>
    <row r="534" spans="1:24">
      <c r="A534" s="2">
        <v>524</v>
      </c>
      <c r="B534" s="119">
        <v>202510</v>
      </c>
      <c r="C534" s="44" t="s">
        <v>1062</v>
      </c>
      <c r="D534" s="44" t="s">
        <v>1063</v>
      </c>
      <c r="E534" s="44" t="s">
        <v>1064</v>
      </c>
      <c r="F534" s="44">
        <v>0</v>
      </c>
      <c r="G534" s="44">
        <v>0</v>
      </c>
      <c r="H534" s="44">
        <v>5</v>
      </c>
      <c r="I534" s="44">
        <v>0</v>
      </c>
      <c r="J534" s="44">
        <v>0</v>
      </c>
      <c r="K534" s="123">
        <v>100000</v>
      </c>
      <c r="L534" s="124">
        <f t="shared" si="70"/>
        <v>5</v>
      </c>
      <c r="M534" s="45">
        <f t="shared" si="72"/>
        <v>500000</v>
      </c>
      <c r="N534" s="45">
        <f t="shared" si="74"/>
        <v>500000</v>
      </c>
      <c r="O534" s="45"/>
      <c r="P534" s="45" t="s">
        <v>6592</v>
      </c>
      <c r="Q534" s="45"/>
      <c r="R534" s="45"/>
      <c r="S534" s="45">
        <f t="shared" si="71"/>
        <v>0</v>
      </c>
      <c r="T534" s="44" t="s">
        <v>19</v>
      </c>
      <c r="U534" s="44" t="s">
        <v>20</v>
      </c>
      <c r="V534" s="43" t="s">
        <v>21</v>
      </c>
      <c r="W534" t="str">
        <f>VLOOKUP(C534,'Data_HS t5'!$B$2:$K$412,10,TRUE)</f>
        <v>Phường Long Biên, Quận Long Biên, Thành phố Hà Nội</v>
      </c>
      <c r="X534" t="str">
        <f>VLOOKUP(C534,'Data_HS t9'!$B$2:$K$454,10,TRUE)</f>
        <v>P3r4 cc Happy Star No10, Giang Biên, LB</v>
      </c>
    </row>
    <row r="535" spans="1:24">
      <c r="A535" s="2">
        <v>525</v>
      </c>
      <c r="B535" s="119">
        <v>202510</v>
      </c>
      <c r="C535" s="44" t="s">
        <v>1065</v>
      </c>
      <c r="D535" s="44" t="s">
        <v>1066</v>
      </c>
      <c r="E535" s="44" t="s">
        <v>1064</v>
      </c>
      <c r="F535" s="44">
        <v>0</v>
      </c>
      <c r="G535" s="44">
        <v>0</v>
      </c>
      <c r="H535" s="44">
        <v>7</v>
      </c>
      <c r="I535" s="44">
        <v>0</v>
      </c>
      <c r="J535" s="44">
        <v>0</v>
      </c>
      <c r="K535" s="123">
        <v>100000</v>
      </c>
      <c r="L535" s="124">
        <f t="shared" si="70"/>
        <v>7</v>
      </c>
      <c r="M535" s="45">
        <f t="shared" si="72"/>
        <v>700000</v>
      </c>
      <c r="N535" s="45">
        <f t="shared" si="74"/>
        <v>700000</v>
      </c>
      <c r="O535" s="45"/>
      <c r="P535" s="45" t="s">
        <v>2763</v>
      </c>
      <c r="Q535" s="45"/>
      <c r="R535" s="45"/>
      <c r="S535" s="45">
        <f t="shared" si="71"/>
        <v>0</v>
      </c>
      <c r="T535" s="44" t="s">
        <v>19</v>
      </c>
      <c r="U535" s="44" t="s">
        <v>20</v>
      </c>
      <c r="V535" s="43" t="s">
        <v>21</v>
      </c>
      <c r="W535">
        <f>VLOOKUP(C535,'Data_HS t5'!$B$2:$K$412,10,TRUE)</f>
        <v>0</v>
      </c>
      <c r="X535" t="str">
        <f>VLOOKUP(C535,'Data_HS t9'!$B$2:$K$454,10,TRUE)</f>
        <v>Tổ dân phố số 11, Phường Sài Đồng, Quận Long Biên, Thành phố Hà Nội</v>
      </c>
    </row>
    <row r="536" spans="1:24">
      <c r="A536" s="2">
        <v>526</v>
      </c>
      <c r="B536" s="119">
        <v>202510</v>
      </c>
      <c r="C536" s="44" t="s">
        <v>1067</v>
      </c>
      <c r="D536" s="44" t="s">
        <v>1068</v>
      </c>
      <c r="E536" s="44" t="s">
        <v>1509</v>
      </c>
      <c r="F536" s="44">
        <v>0</v>
      </c>
      <c r="G536" s="44">
        <v>0</v>
      </c>
      <c r="H536" s="44">
        <v>6</v>
      </c>
      <c r="I536" s="44">
        <v>0</v>
      </c>
      <c r="J536" s="44">
        <v>0</v>
      </c>
      <c r="K536" s="123">
        <v>100000</v>
      </c>
      <c r="L536" s="124">
        <f t="shared" si="70"/>
        <v>6</v>
      </c>
      <c r="M536" s="45">
        <f t="shared" si="72"/>
        <v>600000</v>
      </c>
      <c r="N536" s="45">
        <f>M536</f>
        <v>600000</v>
      </c>
      <c r="O536" s="45"/>
      <c r="P536" s="45" t="s">
        <v>7086</v>
      </c>
      <c r="Q536" s="45"/>
      <c r="R536" s="45"/>
      <c r="S536" s="45">
        <f t="shared" si="71"/>
        <v>0</v>
      </c>
      <c r="T536" s="44" t="s">
        <v>19</v>
      </c>
      <c r="U536" s="44" t="s">
        <v>20</v>
      </c>
      <c r="V536" s="43" t="s">
        <v>21</v>
      </c>
      <c r="W536">
        <f>VLOOKUP(C536,'Data_HS t5'!$B$2:$K$412,10,TRUE)</f>
        <v>0</v>
      </c>
      <c r="X536" t="str">
        <f>VLOOKUP(C536,'Data_HS t9'!$B$2:$K$454,10,TRUE)</f>
        <v>Tổ dân phố số 11, Phường Sài Đồng, Quận Long Biên, Thành phố Hà Nội</v>
      </c>
    </row>
    <row r="537" spans="1:24">
      <c r="A537" s="2">
        <v>527</v>
      </c>
      <c r="B537" s="119">
        <v>202510</v>
      </c>
      <c r="C537" s="44" t="s">
        <v>267</v>
      </c>
      <c r="D537" s="44" t="s">
        <v>1069</v>
      </c>
      <c r="E537" s="44" t="s">
        <v>1070</v>
      </c>
      <c r="F537" s="44">
        <v>0</v>
      </c>
      <c r="G537" s="44">
        <v>0</v>
      </c>
      <c r="H537" s="44">
        <v>7</v>
      </c>
      <c r="I537" s="44">
        <v>0</v>
      </c>
      <c r="J537" s="44">
        <v>0</v>
      </c>
      <c r="K537" s="123">
        <v>100000</v>
      </c>
      <c r="L537" s="124">
        <f t="shared" si="70"/>
        <v>7</v>
      </c>
      <c r="M537" s="45">
        <f t="shared" si="72"/>
        <v>700000</v>
      </c>
      <c r="N537" s="45">
        <f t="shared" ref="N537:N548" si="75">M537</f>
        <v>700000</v>
      </c>
      <c r="O537" s="45"/>
      <c r="P537" s="45" t="s">
        <v>6586</v>
      </c>
      <c r="Q537" s="45"/>
      <c r="R537" s="45"/>
      <c r="S537" s="45">
        <f t="shared" si="71"/>
        <v>0</v>
      </c>
      <c r="T537" s="44" t="s">
        <v>19</v>
      </c>
      <c r="U537" s="44" t="s">
        <v>20</v>
      </c>
      <c r="V537" s="43" t="s">
        <v>21</v>
      </c>
      <c r="W537">
        <f>VLOOKUP(C537,'Data_HS t5'!$B$2:$K$412,10,TRUE)</f>
        <v>0</v>
      </c>
      <c r="X537">
        <f>VLOOKUP(C537,'Data_HS t9'!$B$2:$K$454,10,TRUE)</f>
        <v>0</v>
      </c>
    </row>
    <row r="538" spans="1:24">
      <c r="A538" s="2">
        <v>528</v>
      </c>
      <c r="B538" s="119">
        <v>202510</v>
      </c>
      <c r="C538" s="44" t="s">
        <v>1071</v>
      </c>
      <c r="D538" s="44" t="s">
        <v>1072</v>
      </c>
      <c r="E538" s="44" t="s">
        <v>1070</v>
      </c>
      <c r="F538" s="44">
        <v>9</v>
      </c>
      <c r="G538" s="44">
        <v>0</v>
      </c>
      <c r="H538" s="44">
        <v>0</v>
      </c>
      <c r="I538" s="44">
        <v>0</v>
      </c>
      <c r="J538" s="44">
        <v>0</v>
      </c>
      <c r="K538" s="123">
        <v>100000</v>
      </c>
      <c r="L538" s="124">
        <f t="shared" si="70"/>
        <v>9</v>
      </c>
      <c r="M538" s="45">
        <f t="shared" si="72"/>
        <v>900000</v>
      </c>
      <c r="N538" s="45">
        <f t="shared" si="75"/>
        <v>900000</v>
      </c>
      <c r="O538" s="45"/>
      <c r="P538" s="45"/>
      <c r="Q538" s="45" t="s">
        <v>3150</v>
      </c>
      <c r="R538" s="45">
        <v>15000</v>
      </c>
      <c r="S538" s="45">
        <f t="shared" si="71"/>
        <v>0</v>
      </c>
      <c r="T538" s="44" t="s">
        <v>19</v>
      </c>
      <c r="U538" s="44" t="s">
        <v>20</v>
      </c>
      <c r="V538" s="43" t="s">
        <v>21</v>
      </c>
      <c r="W538" t="str">
        <f>VLOOKUP(C538,'Data_HS t5'!$B$2:$K$412,10,TRUE)</f>
        <v>Phường Long Biên, Quận Long Biên, Thành phố Hà Nội</v>
      </c>
      <c r="X538" t="str">
        <f>VLOOKUP(C538,'Data_HS t9'!$B$2:$K$454,10,TRUE)</f>
        <v>P3r4 cc Happy Star No10, Giang Biên, LB</v>
      </c>
    </row>
    <row r="539" spans="1:24">
      <c r="A539" s="2">
        <v>529</v>
      </c>
      <c r="B539" s="119">
        <v>202510</v>
      </c>
      <c r="C539" s="44" t="s">
        <v>588</v>
      </c>
      <c r="D539" s="44" t="s">
        <v>1073</v>
      </c>
      <c r="E539" s="44" t="s">
        <v>1070</v>
      </c>
      <c r="F539" s="44">
        <v>9</v>
      </c>
      <c r="G539" s="44">
        <v>0</v>
      </c>
      <c r="H539" s="44">
        <v>0</v>
      </c>
      <c r="I539" s="44">
        <v>0</v>
      </c>
      <c r="J539" s="44">
        <v>0</v>
      </c>
      <c r="K539" s="123">
        <v>100000</v>
      </c>
      <c r="L539" s="124">
        <f t="shared" si="70"/>
        <v>9</v>
      </c>
      <c r="M539" s="45">
        <f t="shared" si="72"/>
        <v>900000</v>
      </c>
      <c r="N539" s="45">
        <f t="shared" si="75"/>
        <v>900000</v>
      </c>
      <c r="O539" s="45"/>
      <c r="P539" s="45" t="s">
        <v>2783</v>
      </c>
      <c r="Q539" s="45"/>
      <c r="R539" s="45"/>
      <c r="S539" s="45">
        <f t="shared" si="71"/>
        <v>0</v>
      </c>
      <c r="T539" s="44" t="s">
        <v>19</v>
      </c>
      <c r="U539" s="44" t="s">
        <v>20</v>
      </c>
      <c r="V539" s="43" t="s">
        <v>21</v>
      </c>
      <c r="W539" t="str">
        <f>VLOOKUP(C539,'Data_HS t5'!$B$2:$K$412,10,TRUE)</f>
        <v>Số 77 Gia Quất, Thượng Thanh, LB</v>
      </c>
      <c r="X539" t="str">
        <f>VLOOKUP(C539,'Data_HS t9'!$B$2:$K$454,10,TRUE)</f>
        <v>Hiện nay: Tổ 12, Thạch Bàn, LB</v>
      </c>
    </row>
    <row r="540" spans="1:24">
      <c r="A540" s="2">
        <v>530</v>
      </c>
      <c r="B540" s="119">
        <v>202510</v>
      </c>
      <c r="C540" s="44" t="s">
        <v>1074</v>
      </c>
      <c r="D540" s="44" t="s">
        <v>1075</v>
      </c>
      <c r="E540" s="44" t="s">
        <v>1070</v>
      </c>
      <c r="F540" s="44">
        <v>9</v>
      </c>
      <c r="G540" s="44">
        <v>0</v>
      </c>
      <c r="H540" s="44">
        <v>0</v>
      </c>
      <c r="I540" s="44">
        <v>0</v>
      </c>
      <c r="J540" s="44">
        <v>0</v>
      </c>
      <c r="K540" s="123">
        <v>100000</v>
      </c>
      <c r="L540" s="124">
        <f t="shared" si="70"/>
        <v>9</v>
      </c>
      <c r="M540" s="45">
        <f t="shared" si="72"/>
        <v>900000</v>
      </c>
      <c r="N540" s="45">
        <f t="shared" si="75"/>
        <v>900000</v>
      </c>
      <c r="O540" s="45"/>
      <c r="P540" s="45"/>
      <c r="Q540" s="45" t="s">
        <v>3150</v>
      </c>
      <c r="R540" s="45">
        <v>15000</v>
      </c>
      <c r="S540" s="45">
        <f t="shared" si="71"/>
        <v>0</v>
      </c>
      <c r="T540" s="44" t="s">
        <v>19</v>
      </c>
      <c r="U540" s="44" t="s">
        <v>20</v>
      </c>
      <c r="V540" s="43" t="s">
        <v>21</v>
      </c>
      <c r="W540" t="str">
        <f>VLOOKUP(C540,'Data_HS t5'!$B$2:$K$412,10,TRUE)</f>
        <v>Tổ dân phố 21, Phường Phúc Xá, Quận Ba Đình, Thành phố Hà Nội</v>
      </c>
      <c r="X540" t="str">
        <f>VLOOKUP(C540,'Data_HS t9'!$B$2:$K$454,10,TRUE)</f>
        <v>Tổ dân phố số 20, Phường Thượng Thanh, Quận Long Biên, Thành phố Hà Nội</v>
      </c>
    </row>
    <row r="541" spans="1:24">
      <c r="A541" s="2">
        <v>531</v>
      </c>
      <c r="B541" s="119">
        <v>202510</v>
      </c>
      <c r="C541" s="44" t="s">
        <v>1076</v>
      </c>
      <c r="D541" s="44" t="s">
        <v>1077</v>
      </c>
      <c r="E541" s="44" t="s">
        <v>1070</v>
      </c>
      <c r="F541" s="44">
        <v>9</v>
      </c>
      <c r="G541" s="44">
        <v>0</v>
      </c>
      <c r="H541" s="44">
        <v>0</v>
      </c>
      <c r="I541" s="44">
        <v>0</v>
      </c>
      <c r="J541" s="44">
        <v>0</v>
      </c>
      <c r="K541" s="123">
        <v>100000</v>
      </c>
      <c r="L541" s="124">
        <f t="shared" si="70"/>
        <v>9</v>
      </c>
      <c r="M541" s="45">
        <f t="shared" si="72"/>
        <v>900000</v>
      </c>
      <c r="N541" s="45">
        <f t="shared" si="75"/>
        <v>900000</v>
      </c>
      <c r="O541" s="45"/>
      <c r="P541" s="45" t="s">
        <v>6428</v>
      </c>
      <c r="Q541" s="45"/>
      <c r="R541" s="45"/>
      <c r="S541" s="45">
        <f t="shared" si="71"/>
        <v>0</v>
      </c>
      <c r="T541" s="44" t="s">
        <v>19</v>
      </c>
      <c r="U541" s="44" t="s">
        <v>20</v>
      </c>
      <c r="V541" s="43" t="s">
        <v>21</v>
      </c>
      <c r="W541">
        <f>VLOOKUP(C541,'Data_HS t5'!$B$2:$K$412,10,TRUE)</f>
        <v>0</v>
      </c>
      <c r="X541" t="str">
        <f>VLOOKUP(C541,'Data_HS t9'!$B$2:$K$454,10,TRUE)</f>
        <v>Phường Phúc Lợi, Quận Long Biên, Thành phố Hà Nội</v>
      </c>
    </row>
    <row r="542" spans="1:24">
      <c r="A542" s="2">
        <v>532</v>
      </c>
      <c r="B542" s="119">
        <v>202510</v>
      </c>
      <c r="C542" s="44" t="s">
        <v>1078</v>
      </c>
      <c r="D542" s="44" t="s">
        <v>1079</v>
      </c>
      <c r="E542" s="44" t="s">
        <v>1070</v>
      </c>
      <c r="F542" s="44">
        <v>9</v>
      </c>
      <c r="G542" s="44">
        <v>0</v>
      </c>
      <c r="H542" s="44">
        <v>0</v>
      </c>
      <c r="I542" s="44">
        <v>0</v>
      </c>
      <c r="J542" s="44">
        <v>0</v>
      </c>
      <c r="K542" s="123">
        <v>100000</v>
      </c>
      <c r="L542" s="124">
        <f t="shared" si="70"/>
        <v>9</v>
      </c>
      <c r="M542" s="45">
        <f t="shared" si="72"/>
        <v>900000</v>
      </c>
      <c r="N542" s="45">
        <f t="shared" si="75"/>
        <v>900000</v>
      </c>
      <c r="O542" s="45"/>
      <c r="P542" s="45" t="s">
        <v>6431</v>
      </c>
      <c r="Q542" s="45"/>
      <c r="R542" s="45"/>
      <c r="S542" s="45">
        <f t="shared" si="71"/>
        <v>0</v>
      </c>
      <c r="T542" s="44" t="s">
        <v>19</v>
      </c>
      <c r="U542" s="44" t="s">
        <v>20</v>
      </c>
      <c r="V542" s="43" t="s">
        <v>21</v>
      </c>
      <c r="W542">
        <f>VLOOKUP(C542,'Data_HS t5'!$B$2:$K$412,10,TRUE)</f>
        <v>0</v>
      </c>
      <c r="X542">
        <f>VLOOKUP(C542,'Data_HS t9'!$B$2:$K$454,10,TRUE)</f>
        <v>0</v>
      </c>
    </row>
    <row r="543" spans="1:24" ht="16.2" customHeight="1">
      <c r="A543" s="2">
        <v>533</v>
      </c>
      <c r="B543" s="130">
        <v>202510</v>
      </c>
      <c r="C543" s="68" t="s">
        <v>1080</v>
      </c>
      <c r="D543" s="68" t="s">
        <v>1081</v>
      </c>
      <c r="E543" s="68" t="s">
        <v>1070</v>
      </c>
      <c r="F543" s="68">
        <v>9</v>
      </c>
      <c r="G543" s="68">
        <v>0</v>
      </c>
      <c r="H543" s="68">
        <v>0</v>
      </c>
      <c r="I543" s="68">
        <v>0</v>
      </c>
      <c r="J543" s="68">
        <v>0</v>
      </c>
      <c r="K543" s="127">
        <v>100000</v>
      </c>
      <c r="L543" s="128">
        <f t="shared" si="70"/>
        <v>9</v>
      </c>
      <c r="M543" s="45">
        <f t="shared" si="72"/>
        <v>900000</v>
      </c>
      <c r="N543" s="65">
        <f t="shared" si="75"/>
        <v>900000</v>
      </c>
      <c r="O543" s="65"/>
      <c r="P543" s="166" t="s">
        <v>6312</v>
      </c>
      <c r="Q543" s="65"/>
      <c r="R543" s="65"/>
      <c r="S543" s="45">
        <f t="shared" si="71"/>
        <v>0</v>
      </c>
      <c r="T543" s="44" t="s">
        <v>19</v>
      </c>
      <c r="U543" s="44" t="s">
        <v>20</v>
      </c>
      <c r="V543" s="43" t="s">
        <v>21</v>
      </c>
      <c r="W543">
        <f>VLOOKUP(C543,'Data_HS t5'!$B$2:$K$412,10,TRUE)</f>
        <v>0</v>
      </c>
      <c r="X543" t="str">
        <f>VLOOKUP(C543,'Data_HS t9'!$B$2:$K$454,10,TRUE)</f>
        <v>Tổ dân phố số 15, Phường Việt Hưng, Quận Long Biên, Thành phố Hà Nội</v>
      </c>
    </row>
    <row r="544" spans="1:24">
      <c r="A544" s="2">
        <v>534</v>
      </c>
      <c r="B544" s="119">
        <v>202510</v>
      </c>
      <c r="C544" s="44" t="s">
        <v>1082</v>
      </c>
      <c r="D544" s="44" t="s">
        <v>1083</v>
      </c>
      <c r="E544" s="44" t="s">
        <v>1070</v>
      </c>
      <c r="F544" s="44">
        <v>9</v>
      </c>
      <c r="G544" s="44">
        <v>0</v>
      </c>
      <c r="H544" s="44">
        <v>0</v>
      </c>
      <c r="I544" s="44">
        <v>0</v>
      </c>
      <c r="J544" s="44">
        <v>0</v>
      </c>
      <c r="K544" s="123">
        <v>100000</v>
      </c>
      <c r="L544" s="124">
        <f t="shared" si="70"/>
        <v>9</v>
      </c>
      <c r="M544" s="45">
        <f t="shared" si="72"/>
        <v>900000</v>
      </c>
      <c r="N544" s="45">
        <f t="shared" si="75"/>
        <v>900000</v>
      </c>
      <c r="O544" s="45"/>
      <c r="P544" s="45" t="s">
        <v>2092</v>
      </c>
      <c r="Q544" s="45"/>
      <c r="R544" s="45"/>
      <c r="S544" s="45">
        <f t="shared" si="71"/>
        <v>0</v>
      </c>
      <c r="T544" s="44" t="s">
        <v>19</v>
      </c>
      <c r="U544" s="44" t="s">
        <v>20</v>
      </c>
      <c r="V544" s="43" t="s">
        <v>21</v>
      </c>
      <c r="W544" t="str">
        <f>VLOOKUP(C544,'Data_HS t5'!$B$2:$K$412,10,TRUE)</f>
        <v>Tổ dân phố 21, Phường Phúc Xá, Quận Ba Đình, Thành phố Hà Nội</v>
      </c>
      <c r="X544" t="str">
        <f>VLOOKUP(C544,'Data_HS t9'!$B$2:$K$454,10,TRUE)</f>
        <v>Tổ dân phố số 18, Phường Sài Đồng, Quận Long Biên, Thành phố Hà Nội</v>
      </c>
    </row>
    <row r="545" spans="1:25">
      <c r="A545" s="2">
        <v>535</v>
      </c>
      <c r="B545" s="119">
        <v>202510</v>
      </c>
      <c r="C545" s="44" t="s">
        <v>1084</v>
      </c>
      <c r="D545" s="44" t="s">
        <v>1085</v>
      </c>
      <c r="E545" s="44" t="s">
        <v>1070</v>
      </c>
      <c r="F545" s="44">
        <v>9</v>
      </c>
      <c r="G545" s="44">
        <v>0</v>
      </c>
      <c r="H545" s="44">
        <v>0</v>
      </c>
      <c r="I545" s="44">
        <v>0</v>
      </c>
      <c r="J545" s="44">
        <v>0</v>
      </c>
      <c r="K545" s="123">
        <v>100000</v>
      </c>
      <c r="L545" s="124">
        <f t="shared" si="70"/>
        <v>9</v>
      </c>
      <c r="M545" s="45">
        <f t="shared" si="72"/>
        <v>900000</v>
      </c>
      <c r="N545" s="45">
        <f t="shared" si="75"/>
        <v>900000</v>
      </c>
      <c r="O545" s="45"/>
      <c r="P545" s="45" t="s">
        <v>3093</v>
      </c>
      <c r="Q545" s="45"/>
      <c r="R545" s="45"/>
      <c r="S545" s="45">
        <f t="shared" si="71"/>
        <v>0</v>
      </c>
      <c r="T545" s="44" t="s">
        <v>19</v>
      </c>
      <c r="U545" s="44" t="s">
        <v>20</v>
      </c>
      <c r="V545" s="43" t="s">
        <v>21</v>
      </c>
      <c r="W545" t="str">
        <f>VLOOKUP(C545,'Data_HS t5'!$B$2:$K$412,10,TRUE)</f>
        <v>Tổ dân phố 21, Phường Phúc Xá, Quận Ba Đình, Thành phố Hà Nội</v>
      </c>
      <c r="X545" t="str">
        <f>VLOOKUP(C545,'Data_HS t9'!$B$2:$K$454,10,TRUE)</f>
        <v>Tổ dân phố số 5, Phường Ngọc Lâm, Quận Long Biên, Thành phố Hà Nội</v>
      </c>
    </row>
    <row r="546" spans="1:25">
      <c r="A546" s="2">
        <v>536</v>
      </c>
      <c r="B546" s="119">
        <v>202510</v>
      </c>
      <c r="C546" s="44" t="s">
        <v>84</v>
      </c>
      <c r="D546" s="44" t="s">
        <v>1086</v>
      </c>
      <c r="E546" s="44" t="s">
        <v>1070</v>
      </c>
      <c r="F546" s="44">
        <v>9</v>
      </c>
      <c r="G546" s="44">
        <v>0</v>
      </c>
      <c r="H546" s="44">
        <v>0</v>
      </c>
      <c r="I546" s="44">
        <v>0</v>
      </c>
      <c r="J546" s="44">
        <v>0</v>
      </c>
      <c r="K546" s="123">
        <v>100000</v>
      </c>
      <c r="L546" s="124">
        <f t="shared" si="70"/>
        <v>9</v>
      </c>
      <c r="M546" s="45">
        <f t="shared" si="72"/>
        <v>900000</v>
      </c>
      <c r="N546" s="45">
        <f t="shared" si="75"/>
        <v>900000</v>
      </c>
      <c r="O546" s="45"/>
      <c r="P546" s="45" t="s">
        <v>3102</v>
      </c>
      <c r="Q546" s="45"/>
      <c r="R546" s="45"/>
      <c r="S546" s="45">
        <f t="shared" si="71"/>
        <v>0</v>
      </c>
      <c r="T546" s="44" t="s">
        <v>19</v>
      </c>
      <c r="U546" s="44" t="s">
        <v>20</v>
      </c>
      <c r="V546" s="43" t="s">
        <v>21</v>
      </c>
      <c r="W546">
        <f>VLOOKUP(C546,'Data_HS t5'!$B$2:$K$412,10,TRUE)</f>
        <v>0</v>
      </c>
      <c r="X546" t="str">
        <f>VLOOKUP(C546,'Data_HS t9'!$B$2:$K$454,10,TRUE)</f>
        <v>Phường Phúc Lợi, Quận Long Biên, Thành phố Hà Nội</v>
      </c>
    </row>
    <row r="547" spans="1:25">
      <c r="A547" s="2">
        <v>537</v>
      </c>
      <c r="B547" s="119">
        <v>202510</v>
      </c>
      <c r="C547" s="44" t="s">
        <v>454</v>
      </c>
      <c r="D547" s="44" t="s">
        <v>1087</v>
      </c>
      <c r="E547" s="44" t="s">
        <v>1070</v>
      </c>
      <c r="F547" s="44">
        <v>9</v>
      </c>
      <c r="G547" s="44">
        <v>0</v>
      </c>
      <c r="H547" s="44">
        <v>0</v>
      </c>
      <c r="I547" s="44">
        <v>0</v>
      </c>
      <c r="J547" s="44">
        <v>0</v>
      </c>
      <c r="K547" s="123">
        <v>100000</v>
      </c>
      <c r="L547" s="124">
        <f t="shared" si="70"/>
        <v>9</v>
      </c>
      <c r="M547" s="45">
        <f t="shared" si="72"/>
        <v>900000</v>
      </c>
      <c r="N547" s="45">
        <f t="shared" si="75"/>
        <v>900000</v>
      </c>
      <c r="O547" s="45"/>
      <c r="P547" s="45"/>
      <c r="Q547" s="45" t="s">
        <v>3151</v>
      </c>
      <c r="R547" s="45">
        <v>15000</v>
      </c>
      <c r="S547" s="45">
        <f t="shared" si="71"/>
        <v>0</v>
      </c>
      <c r="T547" s="44" t="s">
        <v>19</v>
      </c>
      <c r="U547" s="44" t="s">
        <v>20</v>
      </c>
      <c r="V547" s="43" t="s">
        <v>21</v>
      </c>
      <c r="W547">
        <f>VLOOKUP(C547,'Data_HS t5'!$B$2:$K$412,10,TRUE)</f>
        <v>0</v>
      </c>
      <c r="X547">
        <f>VLOOKUP(C547,'Data_HS t9'!$B$2:$K$454,10,TRUE)</f>
        <v>0</v>
      </c>
    </row>
    <row r="548" spans="1:25">
      <c r="A548" s="2">
        <v>538</v>
      </c>
      <c r="B548" s="119">
        <v>202510</v>
      </c>
      <c r="C548" s="44" t="s">
        <v>1088</v>
      </c>
      <c r="D548" s="44" t="s">
        <v>1089</v>
      </c>
      <c r="E548" s="44" t="s">
        <v>1070</v>
      </c>
      <c r="F548" s="44">
        <v>9</v>
      </c>
      <c r="G548" s="44">
        <v>0</v>
      </c>
      <c r="H548" s="44">
        <v>6</v>
      </c>
      <c r="I548" s="44">
        <v>0</v>
      </c>
      <c r="J548" s="44">
        <v>0</v>
      </c>
      <c r="K548" s="123">
        <v>100000</v>
      </c>
      <c r="L548" s="124">
        <f t="shared" si="70"/>
        <v>15</v>
      </c>
      <c r="M548" s="45">
        <f t="shared" si="72"/>
        <v>1500000</v>
      </c>
      <c r="N548" s="45">
        <f t="shared" si="75"/>
        <v>1500000</v>
      </c>
      <c r="O548" s="45"/>
      <c r="P548" s="45" t="s">
        <v>6642</v>
      </c>
      <c r="Q548" s="45"/>
      <c r="R548" s="45"/>
      <c r="S548" s="45">
        <f t="shared" si="71"/>
        <v>0</v>
      </c>
      <c r="T548" s="44" t="s">
        <v>19</v>
      </c>
      <c r="U548" s="44" t="s">
        <v>20</v>
      </c>
      <c r="V548" s="43" t="s">
        <v>21</v>
      </c>
      <c r="W548" t="str">
        <f>VLOOKUP(C548,'Data_HS t5'!$B$2:$K$412,10,TRUE)</f>
        <v>Tổ dân phố số 12, Phường Long Biên, Quận Long Biên, Thành phố Hà Nội</v>
      </c>
      <c r="X548" t="str">
        <f>VLOOKUP(C548,'Data_HS t9'!$B$2:$K$454,10,TRUE)</f>
        <v>Tổ 3, Thạch Bàn, LB</v>
      </c>
    </row>
    <row r="549" spans="1:25">
      <c r="A549" s="2">
        <v>539</v>
      </c>
      <c r="B549" s="119">
        <v>202510</v>
      </c>
      <c r="C549" s="44" t="s">
        <v>1090</v>
      </c>
      <c r="D549" s="44" t="s">
        <v>1091</v>
      </c>
      <c r="E549" s="44" t="s">
        <v>1070</v>
      </c>
      <c r="F549" s="44">
        <v>12</v>
      </c>
      <c r="G549" s="44">
        <v>0</v>
      </c>
      <c r="H549" s="44">
        <v>0</v>
      </c>
      <c r="I549" s="44">
        <v>0</v>
      </c>
      <c r="J549" s="44">
        <v>0</v>
      </c>
      <c r="K549" s="123">
        <v>100000</v>
      </c>
      <c r="L549" s="124">
        <f t="shared" si="70"/>
        <v>12</v>
      </c>
      <c r="M549" s="45">
        <f t="shared" si="72"/>
        <v>1200000</v>
      </c>
      <c r="N549" s="45">
        <f>M549</f>
        <v>1200000</v>
      </c>
      <c r="O549" s="45"/>
      <c r="P549" s="45" t="s">
        <v>7098</v>
      </c>
      <c r="Q549" s="45"/>
      <c r="R549" s="45"/>
      <c r="S549" s="45">
        <f t="shared" si="71"/>
        <v>0</v>
      </c>
      <c r="T549" s="44" t="s">
        <v>19</v>
      </c>
      <c r="U549" s="44" t="s">
        <v>20</v>
      </c>
      <c r="V549" s="43" t="s">
        <v>21</v>
      </c>
      <c r="W549" t="str">
        <f>VLOOKUP(C549,'Data_HS t5'!$B$2:$K$412,10,TRUE)</f>
        <v>Tổ dân phố 21, Phường Phúc Xá, Quận Ba Đình, Thành phố Hà Nội</v>
      </c>
      <c r="X549" t="str">
        <f>VLOOKUP(C549,'Data_HS t9'!$B$2:$K$454,10,TRUE)</f>
        <v>Phường Thạch Bàn, Quận Long Biên, Thành phố Hà Nội</v>
      </c>
    </row>
    <row r="550" spans="1:25">
      <c r="A550" s="2">
        <v>540</v>
      </c>
      <c r="B550" s="119">
        <v>202510</v>
      </c>
      <c r="C550" s="44" t="s">
        <v>45</v>
      </c>
      <c r="D550" s="44" t="s">
        <v>1092</v>
      </c>
      <c r="E550" s="44" t="s">
        <v>1070</v>
      </c>
      <c r="F550" s="44">
        <v>0</v>
      </c>
      <c r="G550" s="44">
        <v>0</v>
      </c>
      <c r="H550" s="44">
        <v>6</v>
      </c>
      <c r="I550" s="44">
        <v>0</v>
      </c>
      <c r="J550" s="44">
        <v>0</v>
      </c>
      <c r="K550" s="123">
        <v>100000</v>
      </c>
      <c r="L550" s="124">
        <f t="shared" si="70"/>
        <v>6</v>
      </c>
      <c r="M550" s="45">
        <f t="shared" si="72"/>
        <v>600000</v>
      </c>
      <c r="N550" s="45">
        <f t="shared" ref="N550:N555" si="76">M550</f>
        <v>600000</v>
      </c>
      <c r="O550" s="45"/>
      <c r="P550" s="45" t="s">
        <v>3081</v>
      </c>
      <c r="Q550" s="45"/>
      <c r="R550" s="45"/>
      <c r="S550" s="45">
        <f t="shared" si="71"/>
        <v>0</v>
      </c>
      <c r="T550" s="44" t="s">
        <v>19</v>
      </c>
      <c r="U550" s="44" t="s">
        <v>20</v>
      </c>
      <c r="V550" s="43" t="s">
        <v>21</v>
      </c>
      <c r="W550">
        <f>VLOOKUP(C550,'Data_HS t5'!$B$2:$K$412,10,TRUE)</f>
        <v>0</v>
      </c>
      <c r="X550" t="str">
        <f>VLOOKUP(C550,'Data_HS t9'!$B$2:$K$454,10,TRUE)</f>
        <v>Phường Phúc Lợi, Quận Long Biên, Thành phố Hà Nội</v>
      </c>
    </row>
    <row r="551" spans="1:25">
      <c r="A551" s="2">
        <v>541</v>
      </c>
      <c r="B551" s="119">
        <v>202510</v>
      </c>
      <c r="C551" s="44" t="s">
        <v>1093</v>
      </c>
      <c r="D551" s="44" t="s">
        <v>1094</v>
      </c>
      <c r="E551" s="44" t="s">
        <v>1070</v>
      </c>
      <c r="F551" s="44">
        <v>0</v>
      </c>
      <c r="G551" s="44">
        <v>0</v>
      </c>
      <c r="H551" s="44">
        <v>5</v>
      </c>
      <c r="I551" s="44">
        <v>0</v>
      </c>
      <c r="J551" s="44">
        <v>0</v>
      </c>
      <c r="K551" s="123">
        <v>100000</v>
      </c>
      <c r="L551" s="124">
        <f t="shared" si="70"/>
        <v>5</v>
      </c>
      <c r="M551" s="45">
        <f t="shared" si="72"/>
        <v>500000</v>
      </c>
      <c r="N551" s="45">
        <f t="shared" si="76"/>
        <v>500000</v>
      </c>
      <c r="O551" s="45"/>
      <c r="P551" s="45" t="s">
        <v>3097</v>
      </c>
      <c r="Q551" s="45"/>
      <c r="R551" s="45"/>
      <c r="S551" s="45">
        <f t="shared" si="71"/>
        <v>0</v>
      </c>
      <c r="T551" s="44" t="s">
        <v>19</v>
      </c>
      <c r="U551" s="44" t="s">
        <v>20</v>
      </c>
      <c r="V551" s="43" t="s">
        <v>21</v>
      </c>
      <c r="W551" t="str">
        <f>VLOOKUP(C551,'Data_HS t5'!$B$2:$K$412,10,TRUE)</f>
        <v>Tổ dân phố số 1, Phường Ngọc Lâm, Quận Long Biên, Thành phố Hà Nội</v>
      </c>
      <c r="X551" t="str">
        <f>VLOOKUP(C551,'Data_HS t9'!$B$2:$K$454,10,TRUE)</f>
        <v>Tổ 1, Phường Long Biên, Quận Long Biên, Thành phố Hà Nội</v>
      </c>
    </row>
    <row r="552" spans="1:25">
      <c r="A552" s="2">
        <v>542</v>
      </c>
      <c r="B552" s="119">
        <v>202510</v>
      </c>
      <c r="C552" s="44" t="s">
        <v>1095</v>
      </c>
      <c r="D552" s="44" t="s">
        <v>1096</v>
      </c>
      <c r="E552" s="44" t="s">
        <v>1070</v>
      </c>
      <c r="F552" s="44">
        <v>9</v>
      </c>
      <c r="G552" s="44">
        <v>0</v>
      </c>
      <c r="H552" s="44">
        <v>6</v>
      </c>
      <c r="I552" s="44">
        <v>0</v>
      </c>
      <c r="J552" s="44">
        <v>0</v>
      </c>
      <c r="K552" s="123">
        <v>100000</v>
      </c>
      <c r="L552" s="124">
        <f t="shared" si="70"/>
        <v>15</v>
      </c>
      <c r="M552" s="45">
        <f t="shared" si="72"/>
        <v>1500000</v>
      </c>
      <c r="N552" s="45">
        <f t="shared" si="76"/>
        <v>1500000</v>
      </c>
      <c r="O552" s="45"/>
      <c r="P552" s="45" t="s">
        <v>2110</v>
      </c>
      <c r="Q552" s="45"/>
      <c r="R552" s="45"/>
      <c r="S552" s="45">
        <f t="shared" si="71"/>
        <v>0</v>
      </c>
      <c r="T552" s="44" t="s">
        <v>19</v>
      </c>
      <c r="U552" s="44" t="s">
        <v>20</v>
      </c>
      <c r="V552" s="43" t="s">
        <v>21</v>
      </c>
      <c r="W552" t="str">
        <f>VLOOKUP(C552,'Data_HS t5'!$B$2:$K$412,10,TRUE)</f>
        <v>Xã Đa Tốn, Huyện Gia Lâm, Thành phố Hà Nội</v>
      </c>
      <c r="X552" t="str">
        <f>VLOOKUP(C552,'Data_HS t9'!$B$2:$K$454,10,TRUE)</f>
        <v>5/366/36/4, Ngọc Lâm, LB</v>
      </c>
    </row>
    <row r="553" spans="1:25">
      <c r="A553" s="2">
        <v>543</v>
      </c>
      <c r="B553" s="119">
        <v>202510</v>
      </c>
      <c r="C553" s="44" t="s">
        <v>1097</v>
      </c>
      <c r="D553" s="44" t="s">
        <v>1098</v>
      </c>
      <c r="E553" s="44" t="s">
        <v>1070</v>
      </c>
      <c r="F553" s="44">
        <v>9</v>
      </c>
      <c r="G553" s="44">
        <v>0</v>
      </c>
      <c r="H553" s="44">
        <v>0</v>
      </c>
      <c r="I553" s="44">
        <v>0</v>
      </c>
      <c r="J553" s="44">
        <v>0</v>
      </c>
      <c r="K553" s="123">
        <v>100000</v>
      </c>
      <c r="L553" s="124">
        <f t="shared" si="70"/>
        <v>9</v>
      </c>
      <c r="M553" s="45">
        <f t="shared" si="72"/>
        <v>900000</v>
      </c>
      <c r="N553" s="45">
        <f t="shared" si="76"/>
        <v>900000</v>
      </c>
      <c r="O553" s="45"/>
      <c r="P553" s="45"/>
      <c r="Q553" s="45" t="s">
        <v>3150</v>
      </c>
      <c r="R553" s="45">
        <v>15000</v>
      </c>
      <c r="S553" s="45">
        <f t="shared" si="71"/>
        <v>0</v>
      </c>
      <c r="T553" s="44" t="s">
        <v>19</v>
      </c>
      <c r="U553" s="44" t="s">
        <v>20</v>
      </c>
      <c r="V553" s="43" t="s">
        <v>21</v>
      </c>
      <c r="W553" t="str">
        <f>VLOOKUP(C553,'Data_HS t5'!$B$2:$K$412,10,TRUE)</f>
        <v>Tổ dân phố số 13, Phường Thạch Bàn, Quận Long Biên, Thành phố Hà Nội</v>
      </c>
      <c r="X553" t="str">
        <f>VLOOKUP(C553,'Data_HS t9'!$B$2:$K$454,10,TRUE)</f>
        <v>Tổ dân phố số 1, Phường Cự Khối, Quận Long Biên, Thành phố Hà Nội</v>
      </c>
    </row>
    <row r="554" spans="1:25">
      <c r="A554" s="2">
        <v>544</v>
      </c>
      <c r="B554" s="119">
        <v>202510</v>
      </c>
      <c r="C554" s="44" t="s">
        <v>1099</v>
      </c>
      <c r="D554" s="44" t="s">
        <v>1100</v>
      </c>
      <c r="E554" s="44" t="s">
        <v>1070</v>
      </c>
      <c r="F554" s="44">
        <v>9</v>
      </c>
      <c r="G554" s="44">
        <v>0</v>
      </c>
      <c r="H554" s="44">
        <v>0</v>
      </c>
      <c r="I554" s="44">
        <v>0</v>
      </c>
      <c r="J554" s="44">
        <v>0</v>
      </c>
      <c r="K554" s="123">
        <v>100000</v>
      </c>
      <c r="L554" s="124">
        <f t="shared" si="70"/>
        <v>9</v>
      </c>
      <c r="M554" s="45">
        <f t="shared" si="72"/>
        <v>900000</v>
      </c>
      <c r="N554" s="45">
        <f t="shared" si="76"/>
        <v>900000</v>
      </c>
      <c r="O554" s="45"/>
      <c r="P554" s="45" t="s">
        <v>2722</v>
      </c>
      <c r="Q554" s="45"/>
      <c r="R554" s="45"/>
      <c r="S554" s="45">
        <f t="shared" si="71"/>
        <v>0</v>
      </c>
      <c r="T554" s="44" t="s">
        <v>19</v>
      </c>
      <c r="U554" s="44" t="s">
        <v>20</v>
      </c>
      <c r="V554" s="43" t="s">
        <v>21</v>
      </c>
      <c r="W554">
        <f>VLOOKUP(C554,'Data_HS t5'!$B$2:$K$412,10,TRUE)</f>
        <v>0</v>
      </c>
      <c r="X554" t="str">
        <f>VLOOKUP(C554,'Data_HS t9'!$B$2:$K$454,10,TRUE)</f>
        <v>Phường Phúc Lợi, Quận Long Biên, Thành phố Hà Nội</v>
      </c>
    </row>
    <row r="555" spans="1:25">
      <c r="A555" s="2">
        <v>545</v>
      </c>
      <c r="B555" s="119">
        <v>202510</v>
      </c>
      <c r="C555" s="44" t="s">
        <v>1101</v>
      </c>
      <c r="D555" s="44" t="s">
        <v>1102</v>
      </c>
      <c r="E555" s="44" t="s">
        <v>1070</v>
      </c>
      <c r="F555" s="44">
        <v>9</v>
      </c>
      <c r="G555" s="44">
        <v>0</v>
      </c>
      <c r="H555" s="44">
        <v>0</v>
      </c>
      <c r="I555" s="44">
        <v>0</v>
      </c>
      <c r="J555" s="44">
        <v>0</v>
      </c>
      <c r="K555" s="123">
        <v>100000</v>
      </c>
      <c r="L555" s="124">
        <f t="shared" si="70"/>
        <v>9</v>
      </c>
      <c r="M555" s="45">
        <f t="shared" si="72"/>
        <v>900000</v>
      </c>
      <c r="N555" s="45">
        <f t="shared" si="76"/>
        <v>900000</v>
      </c>
      <c r="O555" s="45"/>
      <c r="P555" s="45"/>
      <c r="Q555" s="45" t="s">
        <v>3151</v>
      </c>
      <c r="R555" s="45">
        <v>15000</v>
      </c>
      <c r="S555" s="45">
        <f t="shared" si="71"/>
        <v>0</v>
      </c>
      <c r="T555" s="44" t="s">
        <v>19</v>
      </c>
      <c r="U555" s="44" t="s">
        <v>20</v>
      </c>
      <c r="V555" s="43" t="s">
        <v>21</v>
      </c>
      <c r="W555" t="e">
        <f>VLOOKUP(C555,'Data_HS t5'!$B$2:$K$412,10,TRUE)</f>
        <v>#N/A</v>
      </c>
      <c r="X555" t="str">
        <f>VLOOKUP(C555,'Data_HS t9'!$B$2:$K$454,10,TRUE)</f>
        <v>Tổ dân phố số 36, Phường Ngọc Thụy, Quận Long Biên, Thành phố Hà Nội</v>
      </c>
    </row>
    <row r="556" spans="1:25">
      <c r="A556" s="2">
        <v>546</v>
      </c>
      <c r="B556" s="119">
        <v>202510</v>
      </c>
      <c r="C556" s="44" t="s">
        <v>1103</v>
      </c>
      <c r="D556" s="44" t="s">
        <v>1104</v>
      </c>
      <c r="E556" s="44" t="s">
        <v>1070</v>
      </c>
      <c r="F556" s="44">
        <v>9</v>
      </c>
      <c r="G556" s="44">
        <v>0</v>
      </c>
      <c r="H556" s="44">
        <v>0</v>
      </c>
      <c r="I556" s="44">
        <v>0</v>
      </c>
      <c r="J556" s="44">
        <v>0</v>
      </c>
      <c r="K556" s="123">
        <v>100000</v>
      </c>
      <c r="L556" s="124">
        <f t="shared" si="70"/>
        <v>9</v>
      </c>
      <c r="M556" s="45">
        <f t="shared" si="72"/>
        <v>900000</v>
      </c>
      <c r="N556" s="45">
        <f>M556</f>
        <v>900000</v>
      </c>
      <c r="O556" s="45"/>
      <c r="P556" s="45" t="s">
        <v>7081</v>
      </c>
      <c r="Q556" s="45"/>
      <c r="R556" s="45"/>
      <c r="S556" s="45">
        <f t="shared" si="71"/>
        <v>0</v>
      </c>
      <c r="T556" s="44" t="s">
        <v>19</v>
      </c>
      <c r="U556" s="44" t="s">
        <v>20</v>
      </c>
      <c r="V556" s="43" t="s">
        <v>21</v>
      </c>
      <c r="W556" t="str">
        <f>VLOOKUP(C556,'Data_HS t5'!$B$2:$K$412,10,TRUE)</f>
        <v>Tổ dân phố 21, Phường Phúc Xá, Quận Ba Đình, Thành phố Hà Nội</v>
      </c>
      <c r="X556" t="str">
        <f>VLOOKUP(C556,'Data_HS t9'!$B$2:$K$454,10,TRUE)</f>
        <v>Tổ dân phố số 4, Phường Phúc Đồng, Quận Long Biên, Thành phố Hà Nội</v>
      </c>
    </row>
    <row r="557" spans="1:25">
      <c r="A557" s="2">
        <v>547</v>
      </c>
      <c r="B557" s="119">
        <v>202510</v>
      </c>
      <c r="C557" s="44" t="s">
        <v>1105</v>
      </c>
      <c r="D557" s="44" t="s">
        <v>1106</v>
      </c>
      <c r="E557" s="44" t="s">
        <v>1107</v>
      </c>
      <c r="F557" s="44">
        <v>9</v>
      </c>
      <c r="G557" s="44">
        <v>0</v>
      </c>
      <c r="H557" s="44">
        <v>7</v>
      </c>
      <c r="I557" s="44">
        <v>9</v>
      </c>
      <c r="J557" s="44">
        <v>0</v>
      </c>
      <c r="K557" s="123">
        <v>100000</v>
      </c>
      <c r="L557" s="124">
        <f t="shared" si="70"/>
        <v>25</v>
      </c>
      <c r="M557" s="45">
        <f t="shared" si="72"/>
        <v>2500000</v>
      </c>
      <c r="N557" s="45">
        <f>M557</f>
        <v>2500000</v>
      </c>
      <c r="O557" s="45" t="s">
        <v>6676</v>
      </c>
      <c r="P557" s="45"/>
      <c r="Q557" s="45"/>
      <c r="R557" s="45"/>
      <c r="S557" s="45">
        <f t="shared" si="71"/>
        <v>0</v>
      </c>
      <c r="T557" s="44" t="s">
        <v>720</v>
      </c>
      <c r="U557" s="44" t="s">
        <v>721</v>
      </c>
      <c r="V557" s="43" t="s">
        <v>21</v>
      </c>
      <c r="W557" t="str">
        <f>VLOOKUP(C557,'Data_HS t5'!$B$2:$K$412,10,FALSE)</f>
        <v>64C, ngõ 27, phố Long Biên 1, Ngọc Lâm, Long Biên, Hà Nội</v>
      </c>
      <c r="X557" t="str">
        <f>VLOOKUP(C557,'Data_HS t9'!$B$2:$K$454,10,FALSE)</f>
        <v>64C, ngõ 27, phố Long Biên 1, Ngọc Lâm, Long Biên, Hà Nội</v>
      </c>
    </row>
    <row r="558" spans="1:25" ht="17.399999999999999" customHeight="1">
      <c r="A558" s="2">
        <v>548</v>
      </c>
      <c r="B558" s="130">
        <v>202510</v>
      </c>
      <c r="C558" s="68" t="s">
        <v>1108</v>
      </c>
      <c r="D558" s="68" t="s">
        <v>1109</v>
      </c>
      <c r="E558" s="68" t="s">
        <v>1107</v>
      </c>
      <c r="F558" s="68">
        <v>9</v>
      </c>
      <c r="G558" s="68">
        <v>0</v>
      </c>
      <c r="H558" s="68">
        <v>0</v>
      </c>
      <c r="I558" s="68">
        <v>9</v>
      </c>
      <c r="J558" s="68">
        <v>9</v>
      </c>
      <c r="K558" s="127">
        <v>100000</v>
      </c>
      <c r="L558" s="128">
        <f t="shared" si="70"/>
        <v>27</v>
      </c>
      <c r="M558" s="45">
        <f t="shared" si="72"/>
        <v>2700000</v>
      </c>
      <c r="N558" s="65">
        <f>1800000+900000</f>
        <v>2700000</v>
      </c>
      <c r="O558" s="166" t="s">
        <v>6692</v>
      </c>
      <c r="P558" s="45"/>
      <c r="Q558" s="45"/>
      <c r="R558" s="45"/>
      <c r="S558" s="45">
        <f t="shared" si="71"/>
        <v>0</v>
      </c>
      <c r="T558" s="44" t="s">
        <v>720</v>
      </c>
      <c r="U558" s="44" t="s">
        <v>721</v>
      </c>
      <c r="V558" s="43" t="s">
        <v>21</v>
      </c>
      <c r="W558" t="str">
        <f>VLOOKUP(C558,'Data_HS t5'!$B$2:$K$412,10,FALSE)</f>
        <v>Phường Phúc Đồng, Quận Long Biên, Thành phố Hà Nội</v>
      </c>
      <c r="X558" t="str">
        <f>VLOOKUP(C558,'Data_HS t9'!$B$2:$K$454,10,FALSE)</f>
        <v>Phường Phúc Đồng, Quận Long Biên, Thành phố Hà Nội</v>
      </c>
    </row>
    <row r="559" spans="1:25">
      <c r="A559" s="2">
        <v>549</v>
      </c>
      <c r="B559" s="119">
        <v>202510</v>
      </c>
      <c r="C559" s="44" t="s">
        <v>1110</v>
      </c>
      <c r="D559" s="44" t="s">
        <v>1111</v>
      </c>
      <c r="E559" s="44" t="s">
        <v>1107</v>
      </c>
      <c r="F559" s="44">
        <v>9</v>
      </c>
      <c r="G559" s="44">
        <v>0</v>
      </c>
      <c r="H559" s="44">
        <v>0</v>
      </c>
      <c r="I559" s="44">
        <v>0</v>
      </c>
      <c r="J559" s="44">
        <v>9</v>
      </c>
      <c r="K559" s="123">
        <v>100000</v>
      </c>
      <c r="L559" s="124">
        <f t="shared" si="70"/>
        <v>18</v>
      </c>
      <c r="M559" s="45">
        <f t="shared" si="72"/>
        <v>1800000</v>
      </c>
      <c r="N559" s="45">
        <f t="shared" ref="N559:N567" si="77">M559</f>
        <v>1800000</v>
      </c>
      <c r="O559" s="45" t="s">
        <v>6418</v>
      </c>
      <c r="P559" s="45"/>
      <c r="Q559" s="45"/>
      <c r="R559" s="45"/>
      <c r="S559" s="45">
        <f t="shared" si="71"/>
        <v>0</v>
      </c>
      <c r="T559" s="44" t="s">
        <v>720</v>
      </c>
      <c r="U559" s="44" t="s">
        <v>721</v>
      </c>
      <c r="V559" s="43" t="s">
        <v>21</v>
      </c>
      <c r="W559" t="str">
        <f>VLOOKUP(C559,'Data_HS t5'!$B$2:$K$412,10,FALSE)</f>
        <v>Tổ dân phố số 7, Phường Long Biên, Quận Long Biên, Thành phố Hà Nội</v>
      </c>
      <c r="X559" t="str">
        <f>VLOOKUP(C559,'Data_HS t9'!$B$2:$K$454,10,FALSE)</f>
        <v>Tổ dân phố số 7, Phường Long Biên, Quận Long Biên, Thành phố Hà Nội</v>
      </c>
    </row>
    <row r="560" spans="1:25">
      <c r="A560" s="2">
        <v>550</v>
      </c>
      <c r="B560" s="119">
        <v>202510</v>
      </c>
      <c r="C560" s="44" t="s">
        <v>1112</v>
      </c>
      <c r="D560" s="44" t="s">
        <v>1113</v>
      </c>
      <c r="E560" s="44" t="s">
        <v>1107</v>
      </c>
      <c r="F560" s="44">
        <v>9</v>
      </c>
      <c r="G560" s="44">
        <v>0</v>
      </c>
      <c r="H560" s="44">
        <v>0</v>
      </c>
      <c r="I560" s="44">
        <v>0</v>
      </c>
      <c r="J560" s="44">
        <v>9</v>
      </c>
      <c r="K560" s="123">
        <v>100000</v>
      </c>
      <c r="L560" s="124">
        <f t="shared" si="70"/>
        <v>18</v>
      </c>
      <c r="M560" s="45">
        <f t="shared" si="72"/>
        <v>1800000</v>
      </c>
      <c r="N560" s="45">
        <f t="shared" si="77"/>
        <v>1800000</v>
      </c>
      <c r="O560" s="45" t="s">
        <v>1862</v>
      </c>
      <c r="P560" s="45"/>
      <c r="Q560" s="45"/>
      <c r="R560" s="45"/>
      <c r="S560" s="45">
        <f t="shared" si="71"/>
        <v>0</v>
      </c>
      <c r="T560" s="44" t="s">
        <v>720</v>
      </c>
      <c r="U560" s="44" t="s">
        <v>721</v>
      </c>
      <c r="V560" s="43" t="s">
        <v>21</v>
      </c>
      <c r="W560" t="str">
        <f>VLOOKUP(C560,'Data_HS t5'!$B$2:$K$412,10,FALSE)</f>
        <v>Phường Thạch Bàn, Quận Long Biên, Thành phố Hà Nội</v>
      </c>
      <c r="X560" t="str">
        <f>VLOOKUP(C560,'Data_HS t9'!$B$2:$K$454,10,FALSE)</f>
        <v>Phường Thạch Bàn, Quận Long Biên, Thành phố Hà Nội</v>
      </c>
      <c r="Y560" t="s">
        <v>3151</v>
      </c>
    </row>
    <row r="561" spans="1:25">
      <c r="A561" s="2">
        <v>551</v>
      </c>
      <c r="B561" s="119">
        <v>202510</v>
      </c>
      <c r="C561" s="44" t="s">
        <v>1114</v>
      </c>
      <c r="D561" s="44" t="s">
        <v>1115</v>
      </c>
      <c r="E561" s="44" t="s">
        <v>1107</v>
      </c>
      <c r="F561" s="44">
        <v>9</v>
      </c>
      <c r="G561" s="44">
        <v>0</v>
      </c>
      <c r="H561" s="44">
        <v>0</v>
      </c>
      <c r="I561" s="44">
        <v>0</v>
      </c>
      <c r="J561" s="44">
        <v>9</v>
      </c>
      <c r="K561" s="123">
        <v>100000</v>
      </c>
      <c r="L561" s="124">
        <f t="shared" si="70"/>
        <v>18</v>
      </c>
      <c r="M561" s="45">
        <f t="shared" si="72"/>
        <v>1800000</v>
      </c>
      <c r="N561" s="45">
        <f t="shared" si="77"/>
        <v>1800000</v>
      </c>
      <c r="O561" s="45" t="s">
        <v>2336</v>
      </c>
      <c r="P561" s="45"/>
      <c r="Q561" s="45"/>
      <c r="R561" s="45"/>
      <c r="S561" s="45">
        <f t="shared" si="71"/>
        <v>0</v>
      </c>
      <c r="T561" s="44" t="s">
        <v>720</v>
      </c>
      <c r="U561" s="44" t="s">
        <v>721</v>
      </c>
      <c r="V561" s="43" t="s">
        <v>21</v>
      </c>
      <c r="W561" t="str">
        <f>VLOOKUP(C561,'Data_HS t5'!$B$2:$K$412,10,FALSE)</f>
        <v>Tổ dân phố số 11, Phường Thạch Bàn, Quận Long Biên, Thành phố Hà Nội</v>
      </c>
      <c r="X561" t="str">
        <f>VLOOKUP(C561,'Data_HS t9'!$B$2:$K$454,10,FALSE)</f>
        <v>Tổ dân phố số 11, Phường Thạch Bàn, Quận Long Biên, Thành phố Hà Nội</v>
      </c>
      <c r="Y561" t="s">
        <v>3151</v>
      </c>
    </row>
    <row r="562" spans="1:25">
      <c r="A562" s="2">
        <v>552</v>
      </c>
      <c r="B562" s="119">
        <v>202510</v>
      </c>
      <c r="C562" s="44" t="s">
        <v>1116</v>
      </c>
      <c r="D562" s="44" t="s">
        <v>1117</v>
      </c>
      <c r="E562" s="44" t="s">
        <v>1107</v>
      </c>
      <c r="F562" s="44">
        <v>9</v>
      </c>
      <c r="G562" s="44">
        <v>0</v>
      </c>
      <c r="H562" s="44">
        <v>0</v>
      </c>
      <c r="I562" s="44">
        <v>0</v>
      </c>
      <c r="J562" s="44">
        <v>9</v>
      </c>
      <c r="K562" s="123">
        <v>100000</v>
      </c>
      <c r="L562" s="124">
        <f t="shared" si="70"/>
        <v>18</v>
      </c>
      <c r="M562" s="45">
        <f t="shared" si="72"/>
        <v>1800000</v>
      </c>
      <c r="N562" s="45">
        <f t="shared" si="77"/>
        <v>1800000</v>
      </c>
      <c r="O562" s="45" t="s">
        <v>6423</v>
      </c>
      <c r="P562" s="45"/>
      <c r="Q562" s="45"/>
      <c r="R562" s="45"/>
      <c r="S562" s="45">
        <f t="shared" si="71"/>
        <v>0</v>
      </c>
      <c r="T562" s="44" t="s">
        <v>720</v>
      </c>
      <c r="U562" s="44" t="s">
        <v>721</v>
      </c>
      <c r="V562" s="43" t="s">
        <v>21</v>
      </c>
      <c r="W562" t="str">
        <f>VLOOKUP(C562,'Data_HS t5'!$B$2:$K$412,10,FALSE)</f>
        <v>Số 8, Tổ 14C, Phường Thanh Lương, Quận Hai Bà Trưng, Thành phố Hà Nội</v>
      </c>
      <c r="X562" t="str">
        <f>VLOOKUP(C562,'Data_HS t9'!$B$2:$K$454,10,FALSE)</f>
        <v>Số 8, Tổ 14C, Phường Thanh Lương, Quận Hai Bà Trưng, Thành phố Hà Nội</v>
      </c>
    </row>
    <row r="563" spans="1:25">
      <c r="A563" s="2">
        <v>553</v>
      </c>
      <c r="B563" s="119">
        <v>202510</v>
      </c>
      <c r="C563" s="44" t="s">
        <v>1118</v>
      </c>
      <c r="D563" s="44" t="s">
        <v>1119</v>
      </c>
      <c r="E563" s="44" t="s">
        <v>1107</v>
      </c>
      <c r="F563" s="44">
        <v>9</v>
      </c>
      <c r="G563" s="44">
        <v>0</v>
      </c>
      <c r="H563" s="44">
        <v>0</v>
      </c>
      <c r="I563" s="44">
        <v>9</v>
      </c>
      <c r="J563" s="44">
        <v>9</v>
      </c>
      <c r="K563" s="123">
        <v>100000</v>
      </c>
      <c r="L563" s="124">
        <f t="shared" si="70"/>
        <v>27</v>
      </c>
      <c r="M563" s="45">
        <f t="shared" si="72"/>
        <v>2700000</v>
      </c>
      <c r="N563" s="45">
        <f t="shared" si="77"/>
        <v>2700000</v>
      </c>
      <c r="O563" s="45" t="s">
        <v>2246</v>
      </c>
      <c r="P563" s="45"/>
      <c r="Q563" s="45"/>
      <c r="R563" s="45"/>
      <c r="S563" s="45">
        <f t="shared" si="71"/>
        <v>0</v>
      </c>
      <c r="T563" s="44" t="s">
        <v>720</v>
      </c>
      <c r="U563" s="44" t="s">
        <v>721</v>
      </c>
      <c r="V563" s="43" t="s">
        <v>21</v>
      </c>
      <c r="W563" t="str">
        <f>VLOOKUP(C563,'Data_HS t5'!$B$2:$K$412,10,FALSE)</f>
        <v>Tổ 13, Thạch Bàn, Long Biên, Hà Nội</v>
      </c>
      <c r="X563" t="str">
        <f>VLOOKUP(C563,'Data_HS t9'!$B$2:$K$454,10,FALSE)</f>
        <v>Tổ 13, Thạch Bàn, Long Biên, Hà Nội</v>
      </c>
      <c r="Y563" t="s">
        <v>3151</v>
      </c>
    </row>
    <row r="564" spans="1:25">
      <c r="A564" s="2">
        <v>554</v>
      </c>
      <c r="B564" s="119">
        <v>202510</v>
      </c>
      <c r="C564" s="44" t="s">
        <v>757</v>
      </c>
      <c r="D564" s="44" t="s">
        <v>1120</v>
      </c>
      <c r="E564" s="44" t="s">
        <v>1107</v>
      </c>
      <c r="F564" s="44">
        <v>9</v>
      </c>
      <c r="G564" s="44">
        <v>0</v>
      </c>
      <c r="H564" s="44">
        <v>0</v>
      </c>
      <c r="I564" s="44">
        <v>9</v>
      </c>
      <c r="J564" s="44">
        <v>0</v>
      </c>
      <c r="K564" s="123">
        <v>100000</v>
      </c>
      <c r="L564" s="124">
        <f t="shared" si="70"/>
        <v>18</v>
      </c>
      <c r="M564" s="45">
        <f t="shared" si="72"/>
        <v>1800000</v>
      </c>
      <c r="N564" s="45">
        <f t="shared" si="77"/>
        <v>1800000</v>
      </c>
      <c r="O564" s="45" t="s">
        <v>2231</v>
      </c>
      <c r="P564" s="45"/>
      <c r="Q564" s="45"/>
      <c r="R564" s="45"/>
      <c r="S564" s="45">
        <f t="shared" si="71"/>
        <v>0</v>
      </c>
      <c r="T564" s="44" t="s">
        <v>720</v>
      </c>
      <c r="U564" s="44" t="s">
        <v>721</v>
      </c>
      <c r="V564" s="43" t="s">
        <v>21</v>
      </c>
      <c r="W564" t="str">
        <f>VLOOKUP(C564,'Data_HS t5'!$B$2:$K$412,10,FALSE)</f>
        <v>Tổ dân phố số 14, Phường Bồ Đề, Quận Long Biên, Thành phố Hà Nội</v>
      </c>
      <c r="X564" t="str">
        <f>VLOOKUP(C564,'Data_HS t9'!$B$2:$K$454,10,FALSE)</f>
        <v>Số 5/23 Vũ Xuân Thiều, Phường Phúc Lợi, Quận Long Biên, Thành phố Hà Nội</v>
      </c>
      <c r="Y564" t="s">
        <v>3151</v>
      </c>
    </row>
    <row r="565" spans="1:25">
      <c r="A565" s="2">
        <v>555</v>
      </c>
      <c r="B565" s="130">
        <v>202510</v>
      </c>
      <c r="C565" s="68" t="s">
        <v>1121</v>
      </c>
      <c r="D565" s="68" t="s">
        <v>1122</v>
      </c>
      <c r="E565" s="68" t="s">
        <v>1107</v>
      </c>
      <c r="F565" s="68">
        <v>9</v>
      </c>
      <c r="G565" s="68">
        <v>0</v>
      </c>
      <c r="H565" s="68">
        <v>0</v>
      </c>
      <c r="I565" s="68">
        <v>9</v>
      </c>
      <c r="J565" s="68">
        <v>0</v>
      </c>
      <c r="K565" s="127">
        <v>100000</v>
      </c>
      <c r="L565" s="128">
        <f t="shared" si="70"/>
        <v>18</v>
      </c>
      <c r="M565" s="45">
        <f t="shared" si="72"/>
        <v>1800000</v>
      </c>
      <c r="N565" s="65">
        <f>M565+1400000</f>
        <v>3200000</v>
      </c>
      <c r="O565" s="65" t="s">
        <v>2182</v>
      </c>
      <c r="P565" s="65" t="s">
        <v>2085</v>
      </c>
      <c r="Q565" s="45"/>
      <c r="R565" s="45"/>
      <c r="S565" s="62">
        <f t="shared" si="71"/>
        <v>-1400000</v>
      </c>
      <c r="T565" s="44" t="s">
        <v>720</v>
      </c>
      <c r="U565" s="44" t="s">
        <v>721</v>
      </c>
      <c r="V565" s="43" t="s">
        <v>21</v>
      </c>
      <c r="W565" t="str">
        <f>VLOOKUP(C565,'Data_HS t5'!$B$2:$K$412,10,FALSE)</f>
        <v>Tổ dân phố số 18, Phường Ngọc Thụy, Quận Long Biên, Thành phố Hà Nội</v>
      </c>
      <c r="X565" t="str">
        <f>VLOOKUP(C565,'Data_HS t9'!$B$2:$K$454,10,FALSE)</f>
        <v>Tổ dân phố số 18, Phường Ngọc Thụy, Quận Long Biên, Thành phố Hà Nội</v>
      </c>
      <c r="Y565" t="s">
        <v>3151</v>
      </c>
    </row>
    <row r="566" spans="1:25">
      <c r="A566" s="2">
        <v>556</v>
      </c>
      <c r="B566" s="119">
        <v>202510</v>
      </c>
      <c r="C566" s="44" t="s">
        <v>1123</v>
      </c>
      <c r="D566" s="44" t="s">
        <v>1124</v>
      </c>
      <c r="E566" s="44" t="s">
        <v>1107</v>
      </c>
      <c r="F566" s="44">
        <v>0</v>
      </c>
      <c r="G566" s="44">
        <v>0</v>
      </c>
      <c r="H566" s="44">
        <v>0</v>
      </c>
      <c r="I566" s="44">
        <v>9</v>
      </c>
      <c r="J566" s="44">
        <v>0</v>
      </c>
      <c r="K566" s="123">
        <v>100000</v>
      </c>
      <c r="L566" s="124">
        <f t="shared" si="70"/>
        <v>9</v>
      </c>
      <c r="M566" s="45">
        <f t="shared" si="72"/>
        <v>900000</v>
      </c>
      <c r="N566" s="45">
        <f t="shared" si="77"/>
        <v>900000</v>
      </c>
      <c r="O566" s="45" t="s">
        <v>1645</v>
      </c>
      <c r="P566" s="45"/>
      <c r="Q566" s="45"/>
      <c r="R566" s="45"/>
      <c r="S566" s="45">
        <f t="shared" si="71"/>
        <v>0</v>
      </c>
      <c r="T566" s="44" t="s">
        <v>720</v>
      </c>
      <c r="U566" s="44" t="s">
        <v>721</v>
      </c>
      <c r="V566" s="43" t="s">
        <v>21</v>
      </c>
      <c r="W566" t="e">
        <f>VLOOKUP(C566,'Data_HS t5'!$B$2:$K$412,10,FALSE)</f>
        <v>#N/A</v>
      </c>
      <c r="X566" t="e">
        <f>VLOOKUP(C566,'Data_HS t9'!$B$2:$K$454,10,FALSE)</f>
        <v>#N/A</v>
      </c>
      <c r="Y566" t="s">
        <v>3151</v>
      </c>
    </row>
    <row r="567" spans="1:25">
      <c r="A567" s="2">
        <v>557</v>
      </c>
      <c r="B567" s="119">
        <v>202510</v>
      </c>
      <c r="C567" s="44" t="s">
        <v>1125</v>
      </c>
      <c r="D567" s="44" t="s">
        <v>1126</v>
      </c>
      <c r="E567" s="44" t="s">
        <v>1107</v>
      </c>
      <c r="F567" s="44">
        <v>9</v>
      </c>
      <c r="G567" s="44">
        <v>0</v>
      </c>
      <c r="H567" s="44">
        <v>0</v>
      </c>
      <c r="I567" s="44">
        <v>0</v>
      </c>
      <c r="J567" s="44">
        <v>0</v>
      </c>
      <c r="K567" s="123">
        <v>100000</v>
      </c>
      <c r="L567" s="124">
        <f t="shared" si="70"/>
        <v>9</v>
      </c>
      <c r="M567" s="45">
        <f t="shared" si="72"/>
        <v>900000</v>
      </c>
      <c r="N567" s="45">
        <f t="shared" si="77"/>
        <v>900000</v>
      </c>
      <c r="O567" s="45" t="s">
        <v>2143</v>
      </c>
      <c r="P567" s="45"/>
      <c r="Q567" s="45"/>
      <c r="R567" s="45"/>
      <c r="S567" s="45">
        <f t="shared" si="71"/>
        <v>0</v>
      </c>
      <c r="T567" s="44" t="s">
        <v>720</v>
      </c>
      <c r="U567" s="44" t="s">
        <v>721</v>
      </c>
      <c r="V567" s="43" t="s">
        <v>21</v>
      </c>
      <c r="W567" t="str">
        <f>VLOOKUP(C567,'Data_HS t5'!$B$2:$K$412,10,FALSE)</f>
        <v>29 Tân Thụy, Phúc Đồng, Long Biên, Hà Nội</v>
      </c>
      <c r="X567" t="str">
        <f>VLOOKUP(C567,'Data_HS t9'!$B$2:$K$454,10,FALSE)</f>
        <v>29 Tân Thụy, Phúc Đồng, Long Biên, Hà Nội</v>
      </c>
      <c r="Y567" t="s">
        <v>3151</v>
      </c>
    </row>
    <row r="568" spans="1:25">
      <c r="A568" s="2">
        <v>558</v>
      </c>
      <c r="B568" s="119">
        <v>202510</v>
      </c>
      <c r="C568" s="44" t="s">
        <v>771</v>
      </c>
      <c r="D568" s="44" t="s">
        <v>1127</v>
      </c>
      <c r="E568" s="44" t="s">
        <v>1107</v>
      </c>
      <c r="F568" s="44">
        <v>9</v>
      </c>
      <c r="G568" s="44">
        <v>0</v>
      </c>
      <c r="H568" s="44">
        <v>7</v>
      </c>
      <c r="I568" s="44">
        <v>9</v>
      </c>
      <c r="J568" s="44">
        <v>0</v>
      </c>
      <c r="K568" s="123">
        <v>100000</v>
      </c>
      <c r="L568" s="124">
        <f t="shared" si="70"/>
        <v>25</v>
      </c>
      <c r="M568" s="45">
        <f t="shared" si="72"/>
        <v>2500000</v>
      </c>
      <c r="N568" s="45">
        <f>M568</f>
        <v>2500000</v>
      </c>
      <c r="O568" s="45"/>
      <c r="P568" s="45" t="s">
        <v>6579</v>
      </c>
      <c r="Q568" s="45"/>
      <c r="R568" s="45"/>
      <c r="S568" s="45">
        <f t="shared" si="71"/>
        <v>0</v>
      </c>
      <c r="T568" s="44" t="s">
        <v>720</v>
      </c>
      <c r="U568" s="44" t="s">
        <v>721</v>
      </c>
      <c r="V568" s="43" t="s">
        <v>21</v>
      </c>
      <c r="W568" t="str">
        <f>VLOOKUP(C568,'Data_HS t5'!$B$2:$K$412,10,FALSE)</f>
        <v>TT Cầu 12, Thôn Hội, Xã Cổ Bi, Huyện Gia Lâm, Thành phố Hà Nội.</v>
      </c>
      <c r="X568" t="str">
        <f>VLOOKUP(C568,'Data_HS t9'!$B$2:$K$454,10,FALSE)</f>
        <v>Tổ dân phố số 11, Phường Bồ Đề, Quận Long Biên, Thành phố Hà Nội</v>
      </c>
    </row>
    <row r="569" spans="1:25">
      <c r="A569" s="2">
        <v>559</v>
      </c>
      <c r="B569" s="119">
        <v>202510</v>
      </c>
      <c r="C569" s="44" t="s">
        <v>1128</v>
      </c>
      <c r="D569" s="44" t="s">
        <v>1129</v>
      </c>
      <c r="E569" s="44" t="s">
        <v>1107</v>
      </c>
      <c r="F569" s="44">
        <v>9</v>
      </c>
      <c r="G569" s="44">
        <v>0</v>
      </c>
      <c r="H569" s="44">
        <v>0</v>
      </c>
      <c r="I569" s="44">
        <v>0</v>
      </c>
      <c r="J569" s="44">
        <v>0</v>
      </c>
      <c r="K569" s="123">
        <v>100000</v>
      </c>
      <c r="L569" s="124">
        <f t="shared" si="70"/>
        <v>9</v>
      </c>
      <c r="M569" s="45">
        <f t="shared" si="72"/>
        <v>900000</v>
      </c>
      <c r="N569" s="45">
        <f>M569</f>
        <v>900000</v>
      </c>
      <c r="O569" s="45" t="s">
        <v>1807</v>
      </c>
      <c r="P569" s="45"/>
      <c r="Q569" s="45"/>
      <c r="R569" s="45"/>
      <c r="S569" s="45">
        <f t="shared" si="71"/>
        <v>0</v>
      </c>
      <c r="T569" s="44" t="s">
        <v>720</v>
      </c>
      <c r="U569" s="44" t="s">
        <v>721</v>
      </c>
      <c r="V569" s="43" t="s">
        <v>21</v>
      </c>
      <c r="W569" t="str">
        <f>VLOOKUP(C569,'Data_HS t5'!$B$2:$K$412,10,FALSE)</f>
        <v>Khu tái định cư CT3, Thượng Thanh, Long Biên, Hà Nội</v>
      </c>
      <c r="X569" t="str">
        <f>VLOOKUP(C569,'Data_HS t9'!$B$2:$K$454,10,FALSE)</f>
        <v>Khu tái định cư CT3, Thượng Thanh, Long Biên, Hà Nội</v>
      </c>
      <c r="Y569" t="s">
        <v>3151</v>
      </c>
    </row>
    <row r="570" spans="1:25">
      <c r="A570" s="2">
        <v>560</v>
      </c>
      <c r="B570" s="119">
        <v>202510</v>
      </c>
      <c r="C570" s="44" t="s">
        <v>1130</v>
      </c>
      <c r="D570" s="44" t="s">
        <v>1131</v>
      </c>
      <c r="E570" s="44" t="s">
        <v>1107</v>
      </c>
      <c r="F570" s="44">
        <v>9</v>
      </c>
      <c r="G570" s="44">
        <v>0</v>
      </c>
      <c r="H570" s="44">
        <v>0</v>
      </c>
      <c r="I570" s="44">
        <v>0</v>
      </c>
      <c r="J570" s="44">
        <v>0</v>
      </c>
      <c r="K570" s="123">
        <v>100000</v>
      </c>
      <c r="L570" s="124">
        <f t="shared" ref="L570:L633" si="78">SUM(F570:J570)</f>
        <v>9</v>
      </c>
      <c r="M570" s="45">
        <f t="shared" si="72"/>
        <v>900000</v>
      </c>
      <c r="N570" s="45">
        <f>M570</f>
        <v>900000</v>
      </c>
      <c r="O570" s="45" t="s">
        <v>6670</v>
      </c>
      <c r="P570" s="45"/>
      <c r="Q570" s="45"/>
      <c r="R570" s="45"/>
      <c r="S570" s="45">
        <f t="shared" si="71"/>
        <v>0</v>
      </c>
      <c r="T570" s="44" t="s">
        <v>720</v>
      </c>
      <c r="U570" s="44" t="s">
        <v>721</v>
      </c>
      <c r="V570" s="43" t="s">
        <v>21</v>
      </c>
      <c r="W570" t="str">
        <f>VLOOKUP(C570,'Data_HS t5'!$B$2:$K$412,10,FALSE)</f>
        <v>Tổ dân phố Bình Minh, Thị trấn Trâu Quỳ, Huyện Gia Lâm, Thành phố Hà Nội</v>
      </c>
      <c r="X570" t="str">
        <f>VLOOKUP(C570,'Data_HS t9'!$B$2:$K$454,10,FALSE)</f>
        <v>Tổ dân phố Bình Minh, Thị trấn Trâu Quỳ, Huyện Gia Lâm, Thành phố Hà Nội</v>
      </c>
    </row>
    <row r="571" spans="1:25">
      <c r="A571" s="2">
        <v>561</v>
      </c>
      <c r="B571" s="119">
        <v>202510</v>
      </c>
      <c r="C571" s="44" t="s">
        <v>1132</v>
      </c>
      <c r="D571" s="44" t="s">
        <v>1133</v>
      </c>
      <c r="E571" s="44" t="s">
        <v>1107</v>
      </c>
      <c r="F571" s="44">
        <v>9</v>
      </c>
      <c r="G571" s="44">
        <v>0</v>
      </c>
      <c r="H571" s="44">
        <v>0</v>
      </c>
      <c r="I571" s="44">
        <v>0</v>
      </c>
      <c r="J571" s="44">
        <v>0</v>
      </c>
      <c r="K571" s="123">
        <v>100000</v>
      </c>
      <c r="L571" s="124">
        <f t="shared" si="78"/>
        <v>9</v>
      </c>
      <c r="M571" s="45">
        <f t="shared" si="72"/>
        <v>900000</v>
      </c>
      <c r="N571" s="45">
        <f t="shared" ref="N571:N577" si="79">M571</f>
        <v>900000</v>
      </c>
      <c r="O571" s="45" t="s">
        <v>2291</v>
      </c>
      <c r="P571" s="45"/>
      <c r="Q571" s="45"/>
      <c r="R571" s="45"/>
      <c r="S571" s="45">
        <f t="shared" si="71"/>
        <v>0</v>
      </c>
      <c r="T571" s="44" t="s">
        <v>720</v>
      </c>
      <c r="U571" s="44" t="s">
        <v>721</v>
      </c>
      <c r="V571" s="43" t="s">
        <v>21</v>
      </c>
      <c r="W571" t="str">
        <f>VLOOKUP(C571,'Data_HS t5'!$B$2:$K$412,10,FALSE)</f>
        <v>Tổ dân phố số 18, Phường Thượng Thanh, Quận Long Biên, Thành phố Hà Nội</v>
      </c>
      <c r="X571" t="str">
        <f>VLOOKUP(C571,'Data_HS t9'!$B$2:$K$454,10,FALSE)</f>
        <v>Tổ dân phố số 18, Phường Thượng Thanh, Quận Long Biên, Thành phố Hà Nội</v>
      </c>
      <c r="Y571" t="s">
        <v>3151</v>
      </c>
    </row>
    <row r="572" spans="1:25">
      <c r="A572" s="2">
        <v>562</v>
      </c>
      <c r="B572" s="119">
        <v>202510</v>
      </c>
      <c r="C572" s="44" t="s">
        <v>1134</v>
      </c>
      <c r="D572" s="44" t="s">
        <v>1135</v>
      </c>
      <c r="E572" s="44" t="s">
        <v>1107</v>
      </c>
      <c r="F572" s="44">
        <v>9</v>
      </c>
      <c r="G572" s="44">
        <v>0</v>
      </c>
      <c r="H572" s="44">
        <v>0</v>
      </c>
      <c r="I572" s="44">
        <v>0</v>
      </c>
      <c r="J572" s="44">
        <v>0</v>
      </c>
      <c r="K572" s="123">
        <v>100000</v>
      </c>
      <c r="L572" s="124">
        <f t="shared" si="78"/>
        <v>9</v>
      </c>
      <c r="M572" s="45">
        <f t="shared" si="72"/>
        <v>900000</v>
      </c>
      <c r="N572" s="45">
        <f t="shared" si="79"/>
        <v>900000</v>
      </c>
      <c r="O572" s="45" t="s">
        <v>1827</v>
      </c>
      <c r="P572" s="45"/>
      <c r="Q572" s="45"/>
      <c r="R572" s="45"/>
      <c r="S572" s="45">
        <f t="shared" ref="S572:S635" si="80">M572-N572</f>
        <v>0</v>
      </c>
      <c r="T572" s="44" t="s">
        <v>720</v>
      </c>
      <c r="U572" s="44" t="s">
        <v>721</v>
      </c>
      <c r="V572" s="43" t="s">
        <v>21</v>
      </c>
      <c r="W572" t="str">
        <f>VLOOKUP(C572,'Data_HS t5'!$B$2:$K$412,10,FALSE)</f>
        <v>Phường Ngọc Thụy, Quận Long Biên, Thành phố Hà Nội</v>
      </c>
      <c r="X572" t="str">
        <f>VLOOKUP(C572,'Data_HS t9'!$B$2:$K$454,10,FALSE)</f>
        <v>Phường Ngọc Thụy, Quận Long Biên, Thành phố Hà Nội</v>
      </c>
      <c r="Y572" t="s">
        <v>3151</v>
      </c>
    </row>
    <row r="573" spans="1:25">
      <c r="A573" s="2">
        <v>563</v>
      </c>
      <c r="B573" s="119">
        <v>202510</v>
      </c>
      <c r="C573" s="44" t="s">
        <v>1136</v>
      </c>
      <c r="D573" s="44" t="s">
        <v>1137</v>
      </c>
      <c r="E573" s="44" t="s">
        <v>1107</v>
      </c>
      <c r="F573" s="44">
        <v>9</v>
      </c>
      <c r="G573" s="44">
        <v>0</v>
      </c>
      <c r="H573" s="44">
        <v>0</v>
      </c>
      <c r="I573" s="44">
        <v>0</v>
      </c>
      <c r="J573" s="44">
        <v>0</v>
      </c>
      <c r="K573" s="123">
        <v>100000</v>
      </c>
      <c r="L573" s="124">
        <f t="shared" si="78"/>
        <v>9</v>
      </c>
      <c r="M573" s="45">
        <f t="shared" si="72"/>
        <v>900000</v>
      </c>
      <c r="N573" s="45">
        <f t="shared" si="79"/>
        <v>900000</v>
      </c>
      <c r="O573" s="45"/>
      <c r="P573" s="45"/>
      <c r="Q573" s="45" t="s">
        <v>3150</v>
      </c>
      <c r="R573" s="45">
        <v>15000</v>
      </c>
      <c r="S573" s="45">
        <f t="shared" si="80"/>
        <v>0</v>
      </c>
      <c r="T573" s="44" t="s">
        <v>720</v>
      </c>
      <c r="U573" s="44" t="s">
        <v>721</v>
      </c>
      <c r="V573" s="43" t="s">
        <v>21</v>
      </c>
      <c r="W573" t="str">
        <f>VLOOKUP(C573,'Data_HS t5'!$B$2:$K$412,10,FALSE)</f>
        <v>Tổ dân phố số 20, Phường Long Biên, Quận Long Biên, Thành phố Hà Nội</v>
      </c>
      <c r="X573" t="str">
        <f>VLOOKUP(C573,'Data_HS t9'!$B$2:$K$454,10,FALSE)</f>
        <v>Tổ dân phố số 20, Phường Long Biên, Quận Long Biên, Thành phố Hà Nội</v>
      </c>
    </row>
    <row r="574" spans="1:25">
      <c r="A574" s="2">
        <v>564</v>
      </c>
      <c r="B574" s="119">
        <v>202510</v>
      </c>
      <c r="C574" s="44" t="s">
        <v>1138</v>
      </c>
      <c r="D574" s="44" t="s">
        <v>1139</v>
      </c>
      <c r="E574" s="44" t="s">
        <v>1107</v>
      </c>
      <c r="F574" s="44">
        <v>9</v>
      </c>
      <c r="G574" s="44">
        <v>0</v>
      </c>
      <c r="H574" s="44">
        <v>0</v>
      </c>
      <c r="I574" s="44">
        <v>0</v>
      </c>
      <c r="J574" s="44">
        <v>0</v>
      </c>
      <c r="K574" s="123">
        <v>100000</v>
      </c>
      <c r="L574" s="124">
        <f t="shared" si="78"/>
        <v>9</v>
      </c>
      <c r="M574" s="45">
        <f t="shared" si="72"/>
        <v>900000</v>
      </c>
      <c r="N574" s="45">
        <f t="shared" si="79"/>
        <v>900000</v>
      </c>
      <c r="O574" s="45" t="s">
        <v>3166</v>
      </c>
      <c r="P574" s="45"/>
      <c r="Q574" s="45"/>
      <c r="R574" s="45"/>
      <c r="S574" s="45">
        <f t="shared" si="80"/>
        <v>0</v>
      </c>
      <c r="T574" s="44" t="s">
        <v>720</v>
      </c>
      <c r="U574" s="44" t="s">
        <v>721</v>
      </c>
      <c r="V574" s="43" t="s">
        <v>21</v>
      </c>
      <c r="W574" t="str">
        <f>VLOOKUP(C574,'Data_HS t5'!$B$2:$K$412,10,FALSE)</f>
        <v>P308, tập thể Kho 205, ngõ 66, Vũ Xuân Thiều, Sài Đồng, Long Biên, Hà Nội.</v>
      </c>
      <c r="X574" t="str">
        <f>VLOOKUP(C574,'Data_HS t9'!$B$2:$K$454,10,FALSE)</f>
        <v>P308, tập thể Kho 205, ngõ 66, Vũ Xuân Thiều, Sài Đồng, Long Biên, Hà Nội.</v>
      </c>
      <c r="Y574" t="s">
        <v>3151</v>
      </c>
    </row>
    <row r="575" spans="1:25">
      <c r="A575" s="2">
        <v>565</v>
      </c>
      <c r="B575" s="119">
        <v>202510</v>
      </c>
      <c r="C575" s="44" t="s">
        <v>1140</v>
      </c>
      <c r="D575" s="44" t="s">
        <v>1141</v>
      </c>
      <c r="E575" s="44" t="s">
        <v>1107</v>
      </c>
      <c r="F575" s="44">
        <v>9</v>
      </c>
      <c r="G575" s="44">
        <v>0</v>
      </c>
      <c r="H575" s="44">
        <v>0</v>
      </c>
      <c r="I575" s="44">
        <v>0</v>
      </c>
      <c r="J575" s="44">
        <v>0</v>
      </c>
      <c r="K575" s="123">
        <v>100000</v>
      </c>
      <c r="L575" s="124">
        <f t="shared" si="78"/>
        <v>9</v>
      </c>
      <c r="M575" s="45">
        <f t="shared" si="72"/>
        <v>900000</v>
      </c>
      <c r="N575" s="45">
        <f t="shared" si="79"/>
        <v>900000</v>
      </c>
      <c r="O575" s="45" t="s">
        <v>3156</v>
      </c>
      <c r="P575" s="45"/>
      <c r="Q575" s="45"/>
      <c r="R575" s="45"/>
      <c r="S575" s="45">
        <f t="shared" si="80"/>
        <v>0</v>
      </c>
      <c r="T575" s="44" t="s">
        <v>720</v>
      </c>
      <c r="U575" s="44" t="s">
        <v>721</v>
      </c>
      <c r="V575" s="43" t="s">
        <v>21</v>
      </c>
      <c r="W575" t="str">
        <f>VLOOKUP(C575,'Data_HS t5'!$B$2:$K$412,10,FALSE)</f>
        <v>104/C12, Tổ dân phố số 27, Phường Đức Giang, Quận Long Biên, Thành phố Hà Nội</v>
      </c>
      <c r="X575" t="str">
        <f>VLOOKUP(C575,'Data_HS t9'!$B$2:$K$454,10,FALSE)</f>
        <v>104/C12, Tổ dân phố số 27, Phường Đức Giang, Quận Long Biên, Thành phố Hà Nội</v>
      </c>
      <c r="Y575" t="s">
        <v>3151</v>
      </c>
    </row>
    <row r="576" spans="1:25">
      <c r="A576" s="2">
        <v>566</v>
      </c>
      <c r="B576" s="119">
        <v>202510</v>
      </c>
      <c r="C576" s="44" t="s">
        <v>1142</v>
      </c>
      <c r="D576" s="44" t="s">
        <v>1143</v>
      </c>
      <c r="E576" s="44" t="s">
        <v>1107</v>
      </c>
      <c r="F576" s="44">
        <v>9</v>
      </c>
      <c r="G576" s="44">
        <v>0</v>
      </c>
      <c r="H576" s="44">
        <v>0</v>
      </c>
      <c r="I576" s="44">
        <v>0</v>
      </c>
      <c r="J576" s="44">
        <v>0</v>
      </c>
      <c r="K576" s="123">
        <v>100000</v>
      </c>
      <c r="L576" s="124">
        <f t="shared" si="78"/>
        <v>9</v>
      </c>
      <c r="M576" s="45">
        <f t="shared" si="72"/>
        <v>900000</v>
      </c>
      <c r="N576" s="45">
        <f t="shared" si="79"/>
        <v>900000</v>
      </c>
      <c r="O576" s="45"/>
      <c r="P576" s="45" t="s">
        <v>6075</v>
      </c>
      <c r="Q576" s="45"/>
      <c r="R576" s="45"/>
      <c r="S576" s="45">
        <f t="shared" si="80"/>
        <v>0</v>
      </c>
      <c r="T576" s="44" t="s">
        <v>720</v>
      </c>
      <c r="U576" s="44" t="s">
        <v>721</v>
      </c>
      <c r="V576" s="43" t="s">
        <v>21</v>
      </c>
      <c r="W576" t="str">
        <f>VLOOKUP(C576,'Data_HS t5'!$B$2:$K$412,10,FALSE)</f>
        <v>Tổ dân phố số 20, Phường Ngọc Thụy, Quận Long Biên, Thành phố Hà Nội</v>
      </c>
      <c r="X576" t="str">
        <f>VLOOKUP(C576,'Data_HS t9'!$B$2:$K$454,10,FALSE)</f>
        <v>Tổ dân phố số 20, Phường Ngọc Thụy, Quận Long Biên, Thành phố Hà Nội</v>
      </c>
    </row>
    <row r="577" spans="1:25">
      <c r="A577" s="2">
        <v>567</v>
      </c>
      <c r="B577" s="119">
        <v>202510</v>
      </c>
      <c r="C577" s="44" t="s">
        <v>1144</v>
      </c>
      <c r="D577" s="44" t="s">
        <v>1145</v>
      </c>
      <c r="E577" s="44" t="s">
        <v>1107</v>
      </c>
      <c r="F577" s="44">
        <v>9</v>
      </c>
      <c r="G577" s="44">
        <v>0</v>
      </c>
      <c r="H577" s="44">
        <v>0</v>
      </c>
      <c r="I577" s="44">
        <v>0</v>
      </c>
      <c r="J577" s="44">
        <v>0</v>
      </c>
      <c r="K577" s="123">
        <v>100000</v>
      </c>
      <c r="L577" s="124">
        <f t="shared" si="78"/>
        <v>9</v>
      </c>
      <c r="M577" s="45">
        <f t="shared" ref="M577:M640" si="81">L577*K577</f>
        <v>900000</v>
      </c>
      <c r="N577" s="45">
        <f t="shared" si="79"/>
        <v>900000</v>
      </c>
      <c r="O577" s="45" t="s">
        <v>2312</v>
      </c>
      <c r="P577" s="45"/>
      <c r="Q577" s="45"/>
      <c r="R577" s="45"/>
      <c r="S577" s="45">
        <f t="shared" si="80"/>
        <v>0</v>
      </c>
      <c r="T577" s="44" t="s">
        <v>720</v>
      </c>
      <c r="U577" s="44" t="s">
        <v>721</v>
      </c>
      <c r="V577" s="43" t="s">
        <v>21</v>
      </c>
      <c r="W577" t="str">
        <f>VLOOKUP(C577,'Data_HS t5'!$B$2:$K$412,10,FALSE)</f>
        <v>Tổ dân phố số 34, Phường Ngọc Thụy, Quận Long Biên, Thành phố Hà Nội</v>
      </c>
      <c r="X577" t="str">
        <f>VLOOKUP(C577,'Data_HS t9'!$B$2:$K$454,10,FALSE)</f>
        <v>Tổ dân phố số 34, Phường Ngọc Thụy, Quận Long Biên, Thành phố Hà Nội</v>
      </c>
      <c r="Y577" t="s">
        <v>3151</v>
      </c>
    </row>
    <row r="578" spans="1:25">
      <c r="A578" s="2">
        <v>568</v>
      </c>
      <c r="B578" s="119">
        <v>202510</v>
      </c>
      <c r="C578" s="44" t="s">
        <v>1037</v>
      </c>
      <c r="D578" s="44" t="s">
        <v>1146</v>
      </c>
      <c r="E578" s="44" t="s">
        <v>1107</v>
      </c>
      <c r="F578" s="44">
        <v>0</v>
      </c>
      <c r="G578" s="44">
        <v>0</v>
      </c>
      <c r="H578" s="44">
        <v>0</v>
      </c>
      <c r="I578" s="44">
        <v>0</v>
      </c>
      <c r="J578" s="44">
        <v>9</v>
      </c>
      <c r="K578" s="123">
        <v>100000</v>
      </c>
      <c r="L578" s="124">
        <f t="shared" si="78"/>
        <v>9</v>
      </c>
      <c r="M578" s="45">
        <f t="shared" si="81"/>
        <v>900000</v>
      </c>
      <c r="N578" s="45">
        <f>M578</f>
        <v>900000</v>
      </c>
      <c r="O578" s="45" t="s">
        <v>6134</v>
      </c>
      <c r="P578" s="45"/>
      <c r="Q578" s="45"/>
      <c r="R578" s="45"/>
      <c r="S578" s="45">
        <f t="shared" si="80"/>
        <v>0</v>
      </c>
      <c r="T578" s="44" t="s">
        <v>720</v>
      </c>
      <c r="U578" s="44" t="s">
        <v>721</v>
      </c>
      <c r="V578" s="43" t="s">
        <v>21</v>
      </c>
      <c r="W578" t="str">
        <f>VLOOKUP(C578,'Data_HS t5'!$B$2:$K$412,10,FALSE)</f>
        <v>Tổ 12, Phường Long Biên, Quận Long Biên, Thành phố Hà Nội</v>
      </c>
      <c r="X578" t="str">
        <f>VLOOKUP(C578,'Data_HS t9'!$B$2:$K$454,10,FALSE)</f>
        <v>Tổ 12, Phường Long Biên, Quận Long Biên, Thành phố Hà Nội</v>
      </c>
    </row>
    <row r="579" spans="1:25">
      <c r="A579" s="2">
        <v>569</v>
      </c>
      <c r="B579" s="119">
        <v>202510</v>
      </c>
      <c r="C579" s="68" t="s">
        <v>1147</v>
      </c>
      <c r="D579" s="68" t="s">
        <v>1148</v>
      </c>
      <c r="E579" s="68" t="s">
        <v>1107</v>
      </c>
      <c r="F579" s="68">
        <v>4.5</v>
      </c>
      <c r="G579" s="68">
        <v>0</v>
      </c>
      <c r="H579" s="68">
        <v>0</v>
      </c>
      <c r="I579" s="68">
        <v>0</v>
      </c>
      <c r="J579" s="68">
        <v>4.5</v>
      </c>
      <c r="K579" s="127">
        <v>100000</v>
      </c>
      <c r="L579" s="128">
        <f t="shared" si="78"/>
        <v>9</v>
      </c>
      <c r="M579" s="45">
        <f t="shared" si="81"/>
        <v>900000</v>
      </c>
      <c r="N579" s="65">
        <v>900000</v>
      </c>
      <c r="O579" s="45" t="s">
        <v>2221</v>
      </c>
      <c r="P579" s="45"/>
      <c r="Q579" s="45"/>
      <c r="R579" s="45"/>
      <c r="S579" s="45">
        <f t="shared" si="80"/>
        <v>0</v>
      </c>
      <c r="T579" s="44" t="s">
        <v>720</v>
      </c>
      <c r="U579" s="44" t="s">
        <v>721</v>
      </c>
      <c r="V579" s="43" t="s">
        <v>21</v>
      </c>
      <c r="W579" t="str">
        <f>VLOOKUP(C579,'Data_HS t5'!$B$2:$K$412,10,FALSE)</f>
        <v>Tổ dân phố số 5, Phường Long Biên, Quận Long Biên, Thành phố Hà Nội</v>
      </c>
      <c r="X579" t="str">
        <f>VLOOKUP(C579,'Data_HS t9'!$B$2:$K$454,10,FALSE)</f>
        <v>Tổ dân phố số 5, Phường Long Biên, Quận Long Biên, Thành phố Hà Nội</v>
      </c>
      <c r="Y579" t="s">
        <v>3151</v>
      </c>
    </row>
    <row r="580" spans="1:25">
      <c r="A580" s="2">
        <v>570</v>
      </c>
      <c r="B580" s="119">
        <v>202510</v>
      </c>
      <c r="C580" s="44" t="s">
        <v>1149</v>
      </c>
      <c r="D580" s="44" t="s">
        <v>1150</v>
      </c>
      <c r="E580" s="44" t="s">
        <v>1107</v>
      </c>
      <c r="F580" s="44">
        <v>9</v>
      </c>
      <c r="G580" s="44">
        <v>0</v>
      </c>
      <c r="H580" s="44">
        <v>0</v>
      </c>
      <c r="I580" s="44">
        <v>0</v>
      </c>
      <c r="J580" s="44">
        <v>9</v>
      </c>
      <c r="K580" s="123">
        <v>100000</v>
      </c>
      <c r="L580" s="124">
        <f t="shared" si="78"/>
        <v>18</v>
      </c>
      <c r="M580" s="45">
        <f t="shared" si="81"/>
        <v>1800000</v>
      </c>
      <c r="N580" s="45">
        <f>M580</f>
        <v>1800000</v>
      </c>
      <c r="O580" s="45" t="s">
        <v>2256</v>
      </c>
      <c r="P580" s="45"/>
      <c r="Q580" s="45"/>
      <c r="R580" s="45"/>
      <c r="S580" s="45">
        <f t="shared" si="80"/>
        <v>0</v>
      </c>
      <c r="T580" s="44" t="s">
        <v>720</v>
      </c>
      <c r="U580" s="44" t="s">
        <v>721</v>
      </c>
      <c r="V580" s="43" t="s">
        <v>21</v>
      </c>
      <c r="W580" t="str">
        <f>VLOOKUP(C580,'Data_HS t5'!$B$2:$K$412,10,FALSE)</f>
        <v>Phường Thanh Trì, Quận Hoàng Mai, Thành phố Hà Nội</v>
      </c>
      <c r="X580" t="str">
        <f>VLOOKUP(C580,'Data_HS t9'!$B$2:$K$454,10,FALSE)</f>
        <v>Phường Thanh Trì, Quận Hoàng Mai, Thành phố Hà Nội</v>
      </c>
      <c r="Y580" t="s">
        <v>3151</v>
      </c>
    </row>
    <row r="581" spans="1:25">
      <c r="A581" s="2">
        <v>571</v>
      </c>
      <c r="B581" s="119">
        <v>202510</v>
      </c>
      <c r="C581" s="44" t="s">
        <v>51</v>
      </c>
      <c r="D581" s="44" t="s">
        <v>1151</v>
      </c>
      <c r="E581" s="44" t="s">
        <v>1107</v>
      </c>
      <c r="F581" s="44">
        <v>9</v>
      </c>
      <c r="G581" s="44">
        <v>0</v>
      </c>
      <c r="H581" s="44">
        <v>0</v>
      </c>
      <c r="I581" s="44">
        <v>9</v>
      </c>
      <c r="J581" s="44">
        <v>9</v>
      </c>
      <c r="K581" s="123">
        <v>100000</v>
      </c>
      <c r="L581" s="124">
        <f t="shared" si="78"/>
        <v>27</v>
      </c>
      <c r="M581" s="45">
        <f t="shared" si="81"/>
        <v>2700000</v>
      </c>
      <c r="N581" s="45">
        <f>M581</f>
        <v>2700000</v>
      </c>
      <c r="O581" s="45" t="s">
        <v>2153</v>
      </c>
      <c r="P581" s="45"/>
      <c r="Q581" s="45"/>
      <c r="R581" s="45"/>
      <c r="S581" s="45">
        <f t="shared" si="80"/>
        <v>0</v>
      </c>
      <c r="T581" s="44" t="s">
        <v>720</v>
      </c>
      <c r="U581" s="44" t="s">
        <v>721</v>
      </c>
      <c r="V581" s="43" t="s">
        <v>21</v>
      </c>
      <c r="W581" t="str">
        <f>VLOOKUP(C581,'Data_HS t5'!$B$2:$K$412,10,FALSE)</f>
        <v>Phường Thạch Bàn, Quận Long Biên, Thành phố Hà Nội</v>
      </c>
      <c r="X581" t="str">
        <f>VLOOKUP(C581,'Data_HS t9'!$B$2:$K$454,10,FALSE)</f>
        <v>Phường Thạch Bàn, Quận Long Biên, Thành phố Hà Nội</v>
      </c>
      <c r="Y581" t="s">
        <v>3151</v>
      </c>
    </row>
    <row r="582" spans="1:25">
      <c r="A582" s="2">
        <v>572</v>
      </c>
      <c r="B582" s="119">
        <v>202510</v>
      </c>
      <c r="C582" s="44" t="s">
        <v>1152</v>
      </c>
      <c r="D582" s="44" t="s">
        <v>1153</v>
      </c>
      <c r="E582" s="44" t="s">
        <v>1107</v>
      </c>
      <c r="F582" s="44">
        <v>9</v>
      </c>
      <c r="G582" s="44">
        <v>0</v>
      </c>
      <c r="H582" s="44">
        <v>0</v>
      </c>
      <c r="I582" s="44">
        <v>9</v>
      </c>
      <c r="J582" s="44">
        <v>9</v>
      </c>
      <c r="K582" s="123">
        <v>100000</v>
      </c>
      <c r="L582" s="124">
        <f t="shared" si="78"/>
        <v>27</v>
      </c>
      <c r="M582" s="45">
        <f t="shared" si="81"/>
        <v>2700000</v>
      </c>
      <c r="N582" s="45">
        <f>M582</f>
        <v>2700000</v>
      </c>
      <c r="O582" s="45" t="s">
        <v>1650</v>
      </c>
      <c r="P582" s="45"/>
      <c r="Q582" s="45"/>
      <c r="R582" s="45"/>
      <c r="S582" s="45">
        <f t="shared" si="80"/>
        <v>0</v>
      </c>
      <c r="T582" s="44" t="s">
        <v>720</v>
      </c>
      <c r="U582" s="44" t="s">
        <v>721</v>
      </c>
      <c r="V582" s="43" t="s">
        <v>21</v>
      </c>
      <c r="W582" t="str">
        <f>VLOOKUP(C582,'Data_HS t5'!$B$2:$K$412,10,FALSE)</f>
        <v>Tổ dân phố số 20, Phường Đức Giang, Quận Long Biên, Thành phố Hà Nội</v>
      </c>
      <c r="X582" t="str">
        <f>VLOOKUP(C582,'Data_HS t9'!$B$2:$K$454,10,FALSE)</f>
        <v>Tổ dân phố số 20, Phường Đức Giang, Quận Long Biên, Thành phố Hà Nội</v>
      </c>
      <c r="Y582" t="s">
        <v>3151</v>
      </c>
    </row>
    <row r="583" spans="1:25">
      <c r="A583" s="2">
        <v>573</v>
      </c>
      <c r="B583" s="119">
        <v>202510</v>
      </c>
      <c r="C583" s="44" t="s">
        <v>1154</v>
      </c>
      <c r="D583" s="44" t="s">
        <v>1155</v>
      </c>
      <c r="E583" s="44" t="s">
        <v>1107</v>
      </c>
      <c r="F583" s="44">
        <v>9</v>
      </c>
      <c r="G583" s="44">
        <v>0</v>
      </c>
      <c r="H583" s="44">
        <v>0</v>
      </c>
      <c r="I583" s="44">
        <v>9</v>
      </c>
      <c r="J583" s="44">
        <v>9</v>
      </c>
      <c r="K583" s="123">
        <v>100000</v>
      </c>
      <c r="L583" s="124">
        <f t="shared" si="78"/>
        <v>27</v>
      </c>
      <c r="M583" s="45">
        <f t="shared" si="81"/>
        <v>2700000</v>
      </c>
      <c r="N583" s="45">
        <f>M583</f>
        <v>2700000</v>
      </c>
      <c r="O583" s="45" t="s">
        <v>6382</v>
      </c>
      <c r="P583" s="45"/>
      <c r="Q583" s="45"/>
      <c r="R583" s="45"/>
      <c r="S583" s="45">
        <f t="shared" si="80"/>
        <v>0</v>
      </c>
      <c r="T583" s="44" t="s">
        <v>720</v>
      </c>
      <c r="U583" s="44" t="s">
        <v>721</v>
      </c>
      <c r="V583" s="43" t="s">
        <v>21</v>
      </c>
      <c r="W583" t="str">
        <f>VLOOKUP(C583,'Data_HS t5'!$B$2:$K$412,10,FALSE)</f>
        <v>Phường Thạch Bàn, Quận Long Biên, Thành phố Hà Nội</v>
      </c>
      <c r="X583" t="str">
        <f>VLOOKUP(C583,'Data_HS t9'!$B$2:$K$454,10,FALSE)</f>
        <v>Phường Thạch Bàn, Quận Long Biên, Thành phố Hà Nội</v>
      </c>
    </row>
    <row r="584" spans="1:25">
      <c r="A584" s="2">
        <v>574</v>
      </c>
      <c r="B584" s="119">
        <v>202510</v>
      </c>
      <c r="C584" s="44" t="s">
        <v>1156</v>
      </c>
      <c r="D584" s="44" t="s">
        <v>1157</v>
      </c>
      <c r="E584" s="44" t="s">
        <v>1107</v>
      </c>
      <c r="F584" s="44">
        <v>0</v>
      </c>
      <c r="G584" s="44">
        <v>0</v>
      </c>
      <c r="H584" s="44">
        <v>0</v>
      </c>
      <c r="I584" s="44">
        <v>0</v>
      </c>
      <c r="J584" s="44">
        <v>0</v>
      </c>
      <c r="K584" s="123">
        <v>100000</v>
      </c>
      <c r="L584" s="124">
        <f t="shared" si="78"/>
        <v>0</v>
      </c>
      <c r="M584" s="45">
        <f t="shared" si="81"/>
        <v>0</v>
      </c>
      <c r="N584" s="45"/>
      <c r="O584" s="45"/>
      <c r="P584" s="45"/>
      <c r="Q584" s="45"/>
      <c r="R584" s="45"/>
      <c r="S584" s="45">
        <f t="shared" si="80"/>
        <v>0</v>
      </c>
      <c r="T584" s="44" t="s">
        <v>720</v>
      </c>
      <c r="U584" s="44" t="s">
        <v>721</v>
      </c>
      <c r="V584" s="43" t="s">
        <v>21</v>
      </c>
      <c r="W584" t="e">
        <f>VLOOKUP(C584,'Data_HS t5'!$B$2:$K$412,10,FALSE)</f>
        <v>#N/A</v>
      </c>
      <c r="X584" t="e">
        <f>VLOOKUP(C584,'Data_HS t9'!$B$2:$K$454,10,FALSE)</f>
        <v>#N/A</v>
      </c>
    </row>
    <row r="585" spans="1:25">
      <c r="A585" s="2">
        <v>575</v>
      </c>
      <c r="B585" s="119">
        <v>202510</v>
      </c>
      <c r="C585" s="44" t="s">
        <v>1158</v>
      </c>
      <c r="D585" s="44" t="s">
        <v>1159</v>
      </c>
      <c r="E585" s="44" t="s">
        <v>1160</v>
      </c>
      <c r="F585" s="44">
        <v>9</v>
      </c>
      <c r="G585" s="44">
        <v>0</v>
      </c>
      <c r="H585" s="44">
        <v>0</v>
      </c>
      <c r="I585" s="44">
        <v>9</v>
      </c>
      <c r="J585" s="44">
        <v>0</v>
      </c>
      <c r="K585" s="123">
        <v>100000</v>
      </c>
      <c r="L585" s="124">
        <f t="shared" si="78"/>
        <v>18</v>
      </c>
      <c r="M585" s="45">
        <f t="shared" si="81"/>
        <v>1800000</v>
      </c>
      <c r="N585" s="45">
        <f>M585</f>
        <v>1800000</v>
      </c>
      <c r="O585" s="45" t="s">
        <v>2266</v>
      </c>
      <c r="P585" s="45"/>
      <c r="Q585" s="45"/>
      <c r="R585" s="45"/>
      <c r="S585" s="45">
        <f t="shared" si="80"/>
        <v>0</v>
      </c>
      <c r="T585" s="44" t="s">
        <v>720</v>
      </c>
      <c r="U585" s="44" t="s">
        <v>721</v>
      </c>
      <c r="V585" s="43" t="s">
        <v>21</v>
      </c>
      <c r="W585" t="str">
        <f>VLOOKUP(C585,'Data_HS t5'!$B$2:$K$412,10,FALSE)</f>
        <v>Phường Thạch Bàn, Quận Long Biên, Thành phố Hà Nội</v>
      </c>
      <c r="X585" t="str">
        <f>VLOOKUP(C585,'Data_HS t9'!$B$2:$K$454,10,FALSE)</f>
        <v>Phường Thạch Bàn, Quận Long Biên, Thành phố Hà Nội</v>
      </c>
      <c r="Y585" t="s">
        <v>3151</v>
      </c>
    </row>
    <row r="586" spans="1:25">
      <c r="A586" s="2">
        <v>576</v>
      </c>
      <c r="B586" s="119">
        <v>202510</v>
      </c>
      <c r="C586" s="44" t="s">
        <v>1161</v>
      </c>
      <c r="D586" s="44" t="s">
        <v>1162</v>
      </c>
      <c r="E586" s="44" t="s">
        <v>1160</v>
      </c>
      <c r="F586" s="44">
        <v>9</v>
      </c>
      <c r="G586" s="44">
        <v>0</v>
      </c>
      <c r="H586" s="44">
        <v>0</v>
      </c>
      <c r="I586" s="44">
        <v>9</v>
      </c>
      <c r="J586" s="44">
        <v>0</v>
      </c>
      <c r="K586" s="123">
        <v>100000</v>
      </c>
      <c r="L586" s="124">
        <f t="shared" si="78"/>
        <v>18</v>
      </c>
      <c r="M586" s="45">
        <f t="shared" si="81"/>
        <v>1800000</v>
      </c>
      <c r="N586" s="45">
        <f>M586</f>
        <v>1800000</v>
      </c>
      <c r="O586" s="45" t="s">
        <v>1812</v>
      </c>
      <c r="P586" s="45"/>
      <c r="Q586" s="45"/>
      <c r="R586" s="45"/>
      <c r="S586" s="45">
        <f t="shared" si="80"/>
        <v>0</v>
      </c>
      <c r="T586" s="44" t="s">
        <v>720</v>
      </c>
      <c r="U586" s="44" t="s">
        <v>721</v>
      </c>
      <c r="V586" s="43" t="s">
        <v>21</v>
      </c>
      <c r="W586" t="str">
        <f>VLOOKUP(C586,'Data_HS t5'!$B$2:$K$412,10,FALSE)</f>
        <v>Tổ 9, Phường Thạch Bàn, Quận Long Biên, Thành phố Hà Nội</v>
      </c>
      <c r="X586" t="str">
        <f>VLOOKUP(C586,'Data_HS t9'!$B$2:$K$454,10,FALSE)</f>
        <v>Tổ 9, Phường Thạch Bàn, Quận Long Biên, Thành phố Hà Nội</v>
      </c>
      <c r="Y586" t="s">
        <v>3151</v>
      </c>
    </row>
    <row r="587" spans="1:25">
      <c r="A587" s="2">
        <v>577</v>
      </c>
      <c r="B587" s="119">
        <v>202510</v>
      </c>
      <c r="C587" s="44" t="s">
        <v>1163</v>
      </c>
      <c r="D587" s="44" t="s">
        <v>1164</v>
      </c>
      <c r="E587" s="44" t="s">
        <v>1160</v>
      </c>
      <c r="F587" s="44">
        <v>9</v>
      </c>
      <c r="G587" s="44">
        <v>0</v>
      </c>
      <c r="H587" s="44">
        <v>0</v>
      </c>
      <c r="I587" s="44">
        <v>9</v>
      </c>
      <c r="J587" s="44">
        <v>0</v>
      </c>
      <c r="K587" s="123">
        <v>100000</v>
      </c>
      <c r="L587" s="124">
        <f t="shared" si="78"/>
        <v>18</v>
      </c>
      <c r="M587" s="45">
        <f t="shared" si="81"/>
        <v>1800000</v>
      </c>
      <c r="N587" s="45">
        <f>M587</f>
        <v>1800000</v>
      </c>
      <c r="O587" s="45"/>
      <c r="P587" s="45"/>
      <c r="Q587" s="45" t="s">
        <v>3150</v>
      </c>
      <c r="R587" s="45">
        <v>30000</v>
      </c>
      <c r="S587" s="45">
        <f t="shared" si="80"/>
        <v>0</v>
      </c>
      <c r="T587" s="44" t="s">
        <v>720</v>
      </c>
      <c r="U587" s="44" t="s">
        <v>721</v>
      </c>
      <c r="V587" s="43" t="s">
        <v>21</v>
      </c>
      <c r="W587" t="str">
        <f>VLOOKUP(C587,'Data_HS t5'!$B$2:$K$412,10,FALSE)</f>
        <v>Phường Cự Khối, Quận Long Biên, Thành phố Hà Nội</v>
      </c>
      <c r="X587" t="str">
        <f>VLOOKUP(C587,'Data_HS t9'!$B$2:$K$454,10,FALSE)</f>
        <v>Phường Cự Khối, Quận Long Biên, Thành phố Hà Nội</v>
      </c>
    </row>
    <row r="588" spans="1:25">
      <c r="A588" s="2">
        <v>578</v>
      </c>
      <c r="B588" s="119">
        <v>202510</v>
      </c>
      <c r="C588" s="44" t="s">
        <v>1165</v>
      </c>
      <c r="D588" s="44" t="s">
        <v>1166</v>
      </c>
      <c r="E588" s="44" t="s">
        <v>1160</v>
      </c>
      <c r="F588" s="44">
        <v>0</v>
      </c>
      <c r="G588" s="44">
        <v>0</v>
      </c>
      <c r="H588" s="44">
        <v>0</v>
      </c>
      <c r="I588" s="44">
        <v>9</v>
      </c>
      <c r="J588" s="44">
        <v>0</v>
      </c>
      <c r="K588" s="123">
        <v>100000</v>
      </c>
      <c r="L588" s="124">
        <f t="shared" si="78"/>
        <v>9</v>
      </c>
      <c r="M588" s="45">
        <f t="shared" si="81"/>
        <v>900000</v>
      </c>
      <c r="N588" s="45">
        <f t="shared" ref="N588:N595" si="82">M588</f>
        <v>900000</v>
      </c>
      <c r="O588" s="45"/>
      <c r="P588" s="45"/>
      <c r="Q588" s="45" t="s">
        <v>3150</v>
      </c>
      <c r="R588" s="45">
        <v>15000</v>
      </c>
      <c r="S588" s="45">
        <f t="shared" si="80"/>
        <v>0</v>
      </c>
      <c r="T588" s="44" t="s">
        <v>720</v>
      </c>
      <c r="U588" s="44" t="s">
        <v>721</v>
      </c>
      <c r="V588" s="43" t="s">
        <v>21</v>
      </c>
      <c r="W588" t="str">
        <f>VLOOKUP(C588,'Data_HS t5'!$B$2:$K$412,10,FALSE)</f>
        <v>Tổ dân phố số 27, Phường Ngọc Lâm, Quận Long Biên, Thành phố Hà Nội</v>
      </c>
      <c r="X588" t="str">
        <f>VLOOKUP(C588,'Data_HS t9'!$B$2:$K$454,10,FALSE)</f>
        <v>Tổ dân phố số 27, Phường Ngọc Lâm, Quận Long Biên, Thành phố Hà Nội</v>
      </c>
    </row>
    <row r="589" spans="1:25">
      <c r="A589" s="2">
        <v>579</v>
      </c>
      <c r="B589" s="119">
        <v>202510</v>
      </c>
      <c r="C589" s="44" t="s">
        <v>1167</v>
      </c>
      <c r="D589" s="44" t="s">
        <v>1168</v>
      </c>
      <c r="E589" s="44" t="s">
        <v>1160</v>
      </c>
      <c r="F589" s="44">
        <v>9</v>
      </c>
      <c r="G589" s="44">
        <v>0</v>
      </c>
      <c r="H589" s="44">
        <v>0</v>
      </c>
      <c r="I589" s="44">
        <v>9</v>
      </c>
      <c r="J589" s="44">
        <v>0</v>
      </c>
      <c r="K589" s="123">
        <v>100000</v>
      </c>
      <c r="L589" s="124">
        <f t="shared" si="78"/>
        <v>18</v>
      </c>
      <c r="M589" s="45">
        <f t="shared" si="81"/>
        <v>1800000</v>
      </c>
      <c r="N589" s="45">
        <f t="shared" si="82"/>
        <v>1800000</v>
      </c>
      <c r="O589" s="45" t="s">
        <v>2133</v>
      </c>
      <c r="P589" s="45"/>
      <c r="Q589" s="45"/>
      <c r="R589" s="45"/>
      <c r="S589" s="45">
        <f t="shared" si="80"/>
        <v>0</v>
      </c>
      <c r="T589" s="44" t="s">
        <v>720</v>
      </c>
      <c r="U589" s="44" t="s">
        <v>721</v>
      </c>
      <c r="V589" s="43" t="s">
        <v>21</v>
      </c>
      <c r="W589" t="str">
        <f>VLOOKUP(C589,'Data_HS t5'!$B$2:$K$412,10,FALSE)</f>
        <v>Tổ 6, Phường Thạch Bàn, Quận Long Biên, Thành phố Hà Nội</v>
      </c>
      <c r="X589" t="str">
        <f>VLOOKUP(C589,'Data_HS t9'!$B$2:$K$454,10,FALSE)</f>
        <v>Tổ 6, Phường Thạch Bàn, Quận Long Biên, Thành phố Hà Nội</v>
      </c>
      <c r="Y589" t="s">
        <v>3151</v>
      </c>
    </row>
    <row r="590" spans="1:25">
      <c r="A590" s="2">
        <v>580</v>
      </c>
      <c r="B590" s="119">
        <v>202510</v>
      </c>
      <c r="C590" s="44" t="s">
        <v>1169</v>
      </c>
      <c r="D590" s="44" t="s">
        <v>1170</v>
      </c>
      <c r="E590" s="44" t="s">
        <v>1160</v>
      </c>
      <c r="F590" s="44">
        <v>9</v>
      </c>
      <c r="G590" s="44">
        <v>0</v>
      </c>
      <c r="H590" s="44">
        <v>0</v>
      </c>
      <c r="I590" s="44">
        <v>9</v>
      </c>
      <c r="J590" s="44">
        <v>0</v>
      </c>
      <c r="K590" s="123">
        <v>100000</v>
      </c>
      <c r="L590" s="124">
        <f t="shared" si="78"/>
        <v>18</v>
      </c>
      <c r="M590" s="45">
        <f t="shared" si="81"/>
        <v>1800000</v>
      </c>
      <c r="N590" s="45">
        <f t="shared" si="82"/>
        <v>1800000</v>
      </c>
      <c r="O590" s="45" t="s">
        <v>2350</v>
      </c>
      <c r="P590" s="45"/>
      <c r="Q590" s="45"/>
      <c r="R590" s="45"/>
      <c r="S590" s="45">
        <f t="shared" si="80"/>
        <v>0</v>
      </c>
      <c r="T590" s="44" t="s">
        <v>720</v>
      </c>
      <c r="U590" s="44" t="s">
        <v>721</v>
      </c>
      <c r="V590" s="43" t="s">
        <v>21</v>
      </c>
      <c r="W590" t="str">
        <f>VLOOKUP(C590,'Data_HS t5'!$B$2:$K$412,10,FALSE)</f>
        <v>Tổ dân phố số 10, Phường Giang Biên, Quận Long Biên, Thành phố Hà Nội</v>
      </c>
      <c r="X590" t="str">
        <f>VLOOKUP(C590,'Data_HS t9'!$B$2:$K$454,10,FALSE)</f>
        <v>Tổ dân phố số 10, Phường Giang Biên, Quận Long Biên, Thành phố Hà Nội</v>
      </c>
      <c r="Y590" t="s">
        <v>3151</v>
      </c>
    </row>
    <row r="591" spans="1:25">
      <c r="A591" s="2">
        <v>581</v>
      </c>
      <c r="B591" s="119">
        <v>202510</v>
      </c>
      <c r="C591" s="44" t="s">
        <v>1171</v>
      </c>
      <c r="D591" s="44" t="s">
        <v>1172</v>
      </c>
      <c r="E591" s="44" t="s">
        <v>1160</v>
      </c>
      <c r="F591" s="44">
        <v>9</v>
      </c>
      <c r="G591" s="44">
        <v>0</v>
      </c>
      <c r="H591" s="44">
        <v>0</v>
      </c>
      <c r="I591" s="44">
        <v>9</v>
      </c>
      <c r="J591" s="44">
        <v>0</v>
      </c>
      <c r="K591" s="123">
        <v>100000</v>
      </c>
      <c r="L591" s="124">
        <f t="shared" si="78"/>
        <v>18</v>
      </c>
      <c r="M591" s="45">
        <f t="shared" si="81"/>
        <v>1800000</v>
      </c>
      <c r="N591" s="45">
        <f t="shared" si="82"/>
        <v>1800000</v>
      </c>
      <c r="O591" s="98" t="s">
        <v>6080</v>
      </c>
      <c r="P591" s="45"/>
      <c r="Q591" s="45"/>
      <c r="R591" s="45"/>
      <c r="S591" s="45">
        <f t="shared" si="80"/>
        <v>0</v>
      </c>
      <c r="T591" s="44" t="s">
        <v>720</v>
      </c>
      <c r="U591" s="44" t="s">
        <v>721</v>
      </c>
      <c r="V591" s="43" t="s">
        <v>21</v>
      </c>
      <c r="W591" t="str">
        <f>VLOOKUP(C591,'Data_HS t5'!$B$2:$K$412,10,FALSE)</f>
        <v>Phường Ngọc Thụy, Quận Long Biên, Thành phố Hà Nội</v>
      </c>
      <c r="X591" t="str">
        <f>VLOOKUP(C591,'Data_HS t9'!$B$2:$K$454,10,FALSE)</f>
        <v>Phường Ngọc Thụy, Quận Long Biên, Thành phố Hà Nội</v>
      </c>
      <c r="Y591" t="s">
        <v>3151</v>
      </c>
    </row>
    <row r="592" spans="1:25">
      <c r="A592" s="2">
        <v>582</v>
      </c>
      <c r="B592" s="119">
        <v>202510</v>
      </c>
      <c r="C592" s="44" t="s">
        <v>1173</v>
      </c>
      <c r="D592" s="44" t="s">
        <v>1174</v>
      </c>
      <c r="E592" s="44" t="s">
        <v>1160</v>
      </c>
      <c r="F592" s="44">
        <v>9</v>
      </c>
      <c r="G592" s="44">
        <v>0</v>
      </c>
      <c r="H592" s="44">
        <v>0</v>
      </c>
      <c r="I592" s="44">
        <v>9</v>
      </c>
      <c r="J592" s="44">
        <v>0</v>
      </c>
      <c r="K592" s="123">
        <v>100000</v>
      </c>
      <c r="L592" s="124">
        <f t="shared" si="78"/>
        <v>18</v>
      </c>
      <c r="M592" s="45">
        <f t="shared" si="81"/>
        <v>1800000</v>
      </c>
      <c r="N592" s="45">
        <f t="shared" si="82"/>
        <v>1800000</v>
      </c>
      <c r="O592" s="45" t="s">
        <v>2355</v>
      </c>
      <c r="P592" s="45"/>
      <c r="Q592" s="45"/>
      <c r="R592" s="45"/>
      <c r="S592" s="45">
        <f t="shared" si="80"/>
        <v>0</v>
      </c>
      <c r="T592" s="44" t="s">
        <v>720</v>
      </c>
      <c r="U592" s="44" t="s">
        <v>721</v>
      </c>
      <c r="V592" s="43" t="s">
        <v>21</v>
      </c>
      <c r="W592" t="str">
        <f>VLOOKUP(C592,'Data_HS t5'!$B$2:$K$412,10,FALSE)</f>
        <v>P2308-CC CT2B, Phường Thạch Bàn, Quận Long Biên, Thành phố Hà Nội</v>
      </c>
      <c r="X592" t="str">
        <f>VLOOKUP(C592,'Data_HS t9'!$B$2:$K$454,10,FALSE)</f>
        <v>P2308-CC CT2B, Phường Thạch Bàn, Quận Long Biên, Thành phố Hà Nội</v>
      </c>
      <c r="Y592" t="s">
        <v>3151</v>
      </c>
    </row>
    <row r="593" spans="1:25">
      <c r="A593" s="2">
        <v>583</v>
      </c>
      <c r="B593" s="119">
        <v>202510</v>
      </c>
      <c r="C593" s="44" t="s">
        <v>1175</v>
      </c>
      <c r="D593" s="44" t="s">
        <v>1176</v>
      </c>
      <c r="E593" s="44" t="s">
        <v>1160</v>
      </c>
      <c r="F593" s="44">
        <v>0</v>
      </c>
      <c r="G593" s="44">
        <v>0</v>
      </c>
      <c r="H593" s="44">
        <v>0</v>
      </c>
      <c r="I593" s="44">
        <v>9</v>
      </c>
      <c r="J593" s="44">
        <v>0</v>
      </c>
      <c r="K593" s="123">
        <v>100000</v>
      </c>
      <c r="L593" s="124">
        <f t="shared" si="78"/>
        <v>9</v>
      </c>
      <c r="M593" s="45">
        <f t="shared" si="81"/>
        <v>900000</v>
      </c>
      <c r="N593" s="45">
        <f t="shared" si="82"/>
        <v>900000</v>
      </c>
      <c r="O593" s="45" t="s">
        <v>1625</v>
      </c>
      <c r="P593" s="45"/>
      <c r="Q593" s="45"/>
      <c r="R593" s="45"/>
      <c r="S593" s="45">
        <f t="shared" si="80"/>
        <v>0</v>
      </c>
      <c r="T593" s="44" t="s">
        <v>720</v>
      </c>
      <c r="U593" s="44" t="s">
        <v>721</v>
      </c>
      <c r="V593" s="43" t="s">
        <v>21</v>
      </c>
      <c r="W593" t="str">
        <f>VLOOKUP(C593,'Data_HS t5'!$B$2:$K$412,10,FALSE)</f>
        <v>Tổ dân phố số 1, Phường Long Biên, Quận Long Biên, Thành phố Hà Nội</v>
      </c>
      <c r="X593" t="str">
        <f>VLOOKUP(C593,'Data_HS t9'!$B$2:$K$454,10,FALSE)</f>
        <v>Tổ dân phố số 1, Phường Long Biên, Quận Long Biên, Thành phố Hà Nội</v>
      </c>
      <c r="Y593" t="s">
        <v>3151</v>
      </c>
    </row>
    <row r="594" spans="1:25">
      <c r="A594" s="2">
        <v>584</v>
      </c>
      <c r="B594" s="119">
        <v>202510</v>
      </c>
      <c r="C594" s="44" t="s">
        <v>1177</v>
      </c>
      <c r="D594" s="44" t="s">
        <v>1178</v>
      </c>
      <c r="E594" s="44" t="s">
        <v>1160</v>
      </c>
      <c r="F594" s="44">
        <v>0</v>
      </c>
      <c r="G594" s="44">
        <v>0</v>
      </c>
      <c r="H594" s="44">
        <v>0</v>
      </c>
      <c r="I594" s="44">
        <v>9</v>
      </c>
      <c r="J594" s="44">
        <v>0</v>
      </c>
      <c r="K594" s="123">
        <v>100000</v>
      </c>
      <c r="L594" s="124">
        <f t="shared" si="78"/>
        <v>9</v>
      </c>
      <c r="M594" s="45">
        <f t="shared" si="81"/>
        <v>900000</v>
      </c>
      <c r="N594" s="45">
        <f t="shared" si="82"/>
        <v>900000</v>
      </c>
      <c r="O594" s="45"/>
      <c r="P594" s="45"/>
      <c r="Q594" s="45" t="s">
        <v>3150</v>
      </c>
      <c r="R594" s="45">
        <v>15000</v>
      </c>
      <c r="S594" s="45">
        <f t="shared" si="80"/>
        <v>0</v>
      </c>
      <c r="T594" s="44" t="s">
        <v>720</v>
      </c>
      <c r="U594" s="44" t="s">
        <v>721</v>
      </c>
      <c r="V594" s="43" t="s">
        <v>21</v>
      </c>
      <c r="W594" t="str">
        <f>VLOOKUP(C594,'Data_HS t5'!$B$2:$K$412,10,FALSE)</f>
        <v>Tổ dân phố số 12, Phường Bồ Đề, Quận Long Biên, Thành phố Hà Nội</v>
      </c>
      <c r="X594" t="str">
        <f>VLOOKUP(C594,'Data_HS t9'!$B$2:$K$454,10,FALSE)</f>
        <v>Tổ dân phố số 12, Phường Bồ Đề, Quận Long Biên, Thành phố Hà Nội</v>
      </c>
    </row>
    <row r="595" spans="1:25">
      <c r="A595" s="2">
        <v>585</v>
      </c>
      <c r="B595" s="119">
        <v>202510</v>
      </c>
      <c r="C595" s="44" t="s">
        <v>1179</v>
      </c>
      <c r="D595" s="44" t="s">
        <v>1180</v>
      </c>
      <c r="E595" s="44" t="s">
        <v>1160</v>
      </c>
      <c r="F595" s="44">
        <v>9</v>
      </c>
      <c r="G595" s="44">
        <v>0</v>
      </c>
      <c r="H595" s="44">
        <v>0</v>
      </c>
      <c r="I595" s="44">
        <v>9</v>
      </c>
      <c r="J595" s="44">
        <v>0</v>
      </c>
      <c r="K595" s="123">
        <v>100000</v>
      </c>
      <c r="L595" s="124">
        <f t="shared" si="78"/>
        <v>18</v>
      </c>
      <c r="M595" s="45">
        <f t="shared" si="81"/>
        <v>1800000</v>
      </c>
      <c r="N595" s="45">
        <f t="shared" si="82"/>
        <v>1800000</v>
      </c>
      <c r="O595" s="45" t="s">
        <v>1730</v>
      </c>
      <c r="P595" s="45"/>
      <c r="Q595" s="45"/>
      <c r="R595" s="45"/>
      <c r="S595" s="45">
        <f t="shared" si="80"/>
        <v>0</v>
      </c>
      <c r="T595" s="44" t="s">
        <v>720</v>
      </c>
      <c r="U595" s="44" t="s">
        <v>721</v>
      </c>
      <c r="V595" s="43" t="s">
        <v>21</v>
      </c>
      <c r="W595" t="str">
        <f>VLOOKUP(C595,'Data_HS t5'!$B$2:$K$412,10,FALSE)</f>
        <v>Đội 6, Xóm Giếng, Đào Xuyên,  Đa Tốn, Gia Lâm, Hà Nội</v>
      </c>
      <c r="X595" t="str">
        <f>VLOOKUP(C595,'Data_HS t9'!$B$2:$K$454,10,FALSE)</f>
        <v>Đội 6, Xóm Giếng, Đào Xuyên,  Đa Tốn, Gia Lâm, Hà Nội</v>
      </c>
      <c r="Y595" t="s">
        <v>3151</v>
      </c>
    </row>
    <row r="596" spans="1:25">
      <c r="A596" s="2">
        <v>586</v>
      </c>
      <c r="B596" s="119">
        <v>202510</v>
      </c>
      <c r="C596" s="44" t="s">
        <v>525</v>
      </c>
      <c r="D596" s="44" t="s">
        <v>1181</v>
      </c>
      <c r="E596" s="44" t="s">
        <v>1160</v>
      </c>
      <c r="F596" s="44">
        <v>9</v>
      </c>
      <c r="G596" s="44">
        <v>0</v>
      </c>
      <c r="H596" s="44">
        <v>0</v>
      </c>
      <c r="I596" s="44">
        <v>9</v>
      </c>
      <c r="J596" s="44">
        <v>0</v>
      </c>
      <c r="K596" s="123">
        <v>100000</v>
      </c>
      <c r="L596" s="124">
        <f t="shared" si="78"/>
        <v>18</v>
      </c>
      <c r="M596" s="45">
        <f t="shared" si="81"/>
        <v>1800000</v>
      </c>
      <c r="N596" s="45">
        <f t="shared" ref="N596:N608" si="83">M596</f>
        <v>1800000</v>
      </c>
      <c r="O596" s="45"/>
      <c r="P596" s="45"/>
      <c r="Q596" s="45" t="s">
        <v>3150</v>
      </c>
      <c r="R596" s="45">
        <v>30000</v>
      </c>
      <c r="S596" s="45">
        <f t="shared" si="80"/>
        <v>0</v>
      </c>
      <c r="T596" s="44" t="s">
        <v>720</v>
      </c>
      <c r="U596" s="44" t="s">
        <v>721</v>
      </c>
      <c r="V596" s="43" t="s">
        <v>21</v>
      </c>
      <c r="W596" t="str">
        <f>VLOOKUP(C596,'Data_HS t5'!$B$2:$K$412,10,FALSE)</f>
        <v>Số nhà 18C, ngõ 75 Phố Cầu Đất - Phường Chương Dương - Q. Hoàn Kiếm - Hà Nội</v>
      </c>
      <c r="X596" t="str">
        <f>VLOOKUP(C596,'Data_HS t9'!$B$2:$K$454,10,FALSE)</f>
        <v>Số nhà 18C, ngõ 75 Phố Cầu Đất - Phường Chương Dương - Q. Hoàn Kiếm - Hà Nội</v>
      </c>
    </row>
    <row r="597" spans="1:25">
      <c r="A597" s="2">
        <v>587</v>
      </c>
      <c r="B597" s="119">
        <v>202510</v>
      </c>
      <c r="C597" s="44" t="s">
        <v>1182</v>
      </c>
      <c r="D597" s="44" t="s">
        <v>1183</v>
      </c>
      <c r="E597" s="44" t="s">
        <v>1160</v>
      </c>
      <c r="F597" s="44">
        <v>9</v>
      </c>
      <c r="G597" s="44">
        <v>0</v>
      </c>
      <c r="H597" s="44">
        <v>0</v>
      </c>
      <c r="I597" s="44">
        <v>9</v>
      </c>
      <c r="J597" s="44">
        <v>0</v>
      </c>
      <c r="K597" s="123">
        <v>100000</v>
      </c>
      <c r="L597" s="124">
        <f t="shared" si="78"/>
        <v>18</v>
      </c>
      <c r="M597" s="45">
        <f t="shared" si="81"/>
        <v>1800000</v>
      </c>
      <c r="N597" s="45">
        <f t="shared" si="83"/>
        <v>1800000</v>
      </c>
      <c r="O597" s="45" t="s">
        <v>1635</v>
      </c>
      <c r="P597" s="45"/>
      <c r="Q597" s="45"/>
      <c r="R597" s="45"/>
      <c r="S597" s="45">
        <f t="shared" si="80"/>
        <v>0</v>
      </c>
      <c r="T597" s="44" t="s">
        <v>720</v>
      </c>
      <c r="U597" s="44" t="s">
        <v>721</v>
      </c>
      <c r="V597" s="43" t="s">
        <v>21</v>
      </c>
      <c r="W597" t="str">
        <f>VLOOKUP(C597,'Data_HS t5'!$B$2:$K$412,10,FALSE)</f>
        <v>Phường Thạch Bàn, Quận Long Biên, Thành phố Hà Nội</v>
      </c>
      <c r="X597" t="str">
        <f>VLOOKUP(C597,'Data_HS t9'!$B$2:$K$454,10,FALSE)</f>
        <v>Phường Thạch Bàn, Quận Long Biên, Thành phố Hà Nội</v>
      </c>
      <c r="Y597" t="s">
        <v>3151</v>
      </c>
    </row>
    <row r="598" spans="1:25">
      <c r="A598" s="2">
        <v>588</v>
      </c>
      <c r="B598" s="119">
        <v>202510</v>
      </c>
      <c r="C598" s="44" t="s">
        <v>1184</v>
      </c>
      <c r="D598" s="44" t="s">
        <v>1185</v>
      </c>
      <c r="E598" s="44" t="s">
        <v>1160</v>
      </c>
      <c r="F598" s="44">
        <v>9</v>
      </c>
      <c r="G598" s="44">
        <v>0</v>
      </c>
      <c r="H598" s="44">
        <v>0</v>
      </c>
      <c r="I598" s="44">
        <v>9</v>
      </c>
      <c r="J598" s="44">
        <v>0</v>
      </c>
      <c r="K598" s="123">
        <v>100000</v>
      </c>
      <c r="L598" s="124">
        <f t="shared" si="78"/>
        <v>18</v>
      </c>
      <c r="M598" s="45">
        <f t="shared" si="81"/>
        <v>1800000</v>
      </c>
      <c r="N598" s="45">
        <f t="shared" si="83"/>
        <v>1800000</v>
      </c>
      <c r="O598" s="45" t="s">
        <v>2168</v>
      </c>
      <c r="P598" s="45"/>
      <c r="Q598" s="45"/>
      <c r="R598" s="45"/>
      <c r="S598" s="45">
        <f t="shared" si="80"/>
        <v>0</v>
      </c>
      <c r="T598" s="44" t="s">
        <v>720</v>
      </c>
      <c r="U598" s="44" t="s">
        <v>721</v>
      </c>
      <c r="V598" s="43" t="s">
        <v>21</v>
      </c>
      <c r="W598" t="str">
        <f>VLOOKUP(C598,'Data_HS t5'!$B$2:$K$412,10,FALSE)</f>
        <v>Số 315, ngõ 12, tổ 2, khu TT Thạch Bàn, Quận Long Biên, Thành phố Hà Nội</v>
      </c>
      <c r="X598" t="str">
        <f>VLOOKUP(C598,'Data_HS t9'!$B$2:$K$454,10,FALSE)</f>
        <v>Số 315, ngõ 12, tổ 2, khu TT Thạch Bàn, Quận Long Biên, Thành phố Hà Nội</v>
      </c>
      <c r="Y598" t="s">
        <v>3151</v>
      </c>
    </row>
    <row r="599" spans="1:25">
      <c r="A599" s="2">
        <v>589</v>
      </c>
      <c r="B599" s="119">
        <v>202510</v>
      </c>
      <c r="C599" s="44" t="s">
        <v>1186</v>
      </c>
      <c r="D599" s="44" t="s">
        <v>1187</v>
      </c>
      <c r="E599" s="44" t="s">
        <v>1160</v>
      </c>
      <c r="F599" s="44">
        <v>6</v>
      </c>
      <c r="G599" s="44">
        <v>0</v>
      </c>
      <c r="H599" s="44">
        <v>0</v>
      </c>
      <c r="I599" s="44">
        <v>9</v>
      </c>
      <c r="J599" s="44">
        <v>0</v>
      </c>
      <c r="K599" s="123">
        <v>100000</v>
      </c>
      <c r="L599" s="124">
        <f t="shared" si="78"/>
        <v>15</v>
      </c>
      <c r="M599" s="45">
        <f t="shared" si="81"/>
        <v>1500000</v>
      </c>
      <c r="N599" s="45">
        <f t="shared" si="83"/>
        <v>1500000</v>
      </c>
      <c r="O599" s="45" t="s">
        <v>6129</v>
      </c>
      <c r="P599" s="45"/>
      <c r="Q599" s="45"/>
      <c r="R599" s="45"/>
      <c r="S599" s="45">
        <f t="shared" si="80"/>
        <v>0</v>
      </c>
      <c r="T599" s="44" t="s">
        <v>720</v>
      </c>
      <c r="U599" s="44" t="s">
        <v>721</v>
      </c>
      <c r="V599" s="43" t="s">
        <v>21</v>
      </c>
      <c r="W599" t="str">
        <f>VLOOKUP(C599,'Data_HS t5'!$B$2:$K$412,10,FALSE)</f>
        <v>P1005-CT1B-Phường Thạch Bàn, Quận Long Biên, Thành phố Hà Nội</v>
      </c>
      <c r="X599" t="str">
        <f>VLOOKUP(C599,'Data_HS t9'!$B$2:$K$454,10,FALSE)</f>
        <v>P1005-CT1B-Phường Thạch Bàn, Quận Long Biên, Thành phố Hà Nội</v>
      </c>
    </row>
    <row r="600" spans="1:25">
      <c r="A600" s="2">
        <v>590</v>
      </c>
      <c r="B600" s="119">
        <v>202510</v>
      </c>
      <c r="C600" s="44" t="s">
        <v>1188</v>
      </c>
      <c r="D600" s="44" t="s">
        <v>1189</v>
      </c>
      <c r="E600" s="44" t="s">
        <v>1160</v>
      </c>
      <c r="F600" s="44">
        <v>0</v>
      </c>
      <c r="G600" s="44">
        <v>0</v>
      </c>
      <c r="H600" s="44">
        <v>0</v>
      </c>
      <c r="I600" s="44">
        <v>9</v>
      </c>
      <c r="J600" s="44">
        <v>0</v>
      </c>
      <c r="K600" s="123">
        <v>100000</v>
      </c>
      <c r="L600" s="124">
        <f t="shared" si="78"/>
        <v>9</v>
      </c>
      <c r="M600" s="45">
        <f t="shared" si="81"/>
        <v>900000</v>
      </c>
      <c r="N600" s="45">
        <f t="shared" si="83"/>
        <v>900000</v>
      </c>
      <c r="O600" s="45"/>
      <c r="P600" s="45" t="s">
        <v>3101</v>
      </c>
      <c r="Q600" s="45"/>
      <c r="R600" s="45"/>
      <c r="S600" s="45">
        <f t="shared" si="80"/>
        <v>0</v>
      </c>
      <c r="T600" s="44" t="s">
        <v>720</v>
      </c>
      <c r="U600" s="44" t="s">
        <v>721</v>
      </c>
      <c r="V600" s="43" t="s">
        <v>21</v>
      </c>
      <c r="W600" t="str">
        <f>VLOOKUP(C600,'Data_HS t5'!$B$2:$K$412,10,FALSE)</f>
        <v>Phường Thạch Bàn, Quận Long Biên, Thành phố Hà Nội</v>
      </c>
      <c r="X600" t="str">
        <f>VLOOKUP(C600,'Data_HS t9'!$B$2:$K$454,10,FALSE)</f>
        <v>Phường Thạch Bàn, Quận Long Biên, Thành phố Hà Nội</v>
      </c>
    </row>
    <row r="601" spans="1:25">
      <c r="A601" s="2">
        <v>591</v>
      </c>
      <c r="B601" s="119">
        <v>202510</v>
      </c>
      <c r="C601" s="44" t="s">
        <v>164</v>
      </c>
      <c r="D601" s="44" t="s">
        <v>1190</v>
      </c>
      <c r="E601" s="44" t="s">
        <v>1160</v>
      </c>
      <c r="F601" s="44">
        <v>9</v>
      </c>
      <c r="G601" s="44">
        <v>0</v>
      </c>
      <c r="H601" s="44">
        <v>0</v>
      </c>
      <c r="I601" s="44">
        <v>9</v>
      </c>
      <c r="J601" s="44">
        <v>0</v>
      </c>
      <c r="K601" s="123">
        <v>100000</v>
      </c>
      <c r="L601" s="124">
        <f t="shared" si="78"/>
        <v>18</v>
      </c>
      <c r="M601" s="45">
        <f t="shared" si="81"/>
        <v>1800000</v>
      </c>
      <c r="N601" s="45">
        <f t="shared" si="83"/>
        <v>1800000</v>
      </c>
      <c r="O601" s="45" t="s">
        <v>6943</v>
      </c>
      <c r="P601" s="45"/>
      <c r="Q601" s="45"/>
      <c r="R601" s="45"/>
      <c r="S601" s="45">
        <f t="shared" si="80"/>
        <v>0</v>
      </c>
      <c r="T601" s="44" t="s">
        <v>720</v>
      </c>
      <c r="U601" s="44" t="s">
        <v>721</v>
      </c>
      <c r="V601" s="43" t="s">
        <v>21</v>
      </c>
      <c r="W601" t="str">
        <f>VLOOKUP(C601,'Data_HS t5'!$B$2:$K$412,10,FALSE)</f>
        <v>Tổ dân phố số 8, Phường Việt Hưng, Quận Long Biên, Thành phố Hà Nội</v>
      </c>
      <c r="X601" t="str">
        <f>VLOOKUP(C601,'Data_HS t9'!$B$2:$K$454,10,FALSE)</f>
        <v>Tổ dân phố số 8, Phường Việt Hưng, Quận Long Biên, Thành phố Hà Nội</v>
      </c>
    </row>
    <row r="602" spans="1:25">
      <c r="A602" s="2">
        <v>592</v>
      </c>
      <c r="B602" s="119">
        <v>202510</v>
      </c>
      <c r="C602" s="44" t="s">
        <v>1191</v>
      </c>
      <c r="D602" s="44" t="s">
        <v>1192</v>
      </c>
      <c r="E602" s="44" t="s">
        <v>1160</v>
      </c>
      <c r="F602" s="44">
        <v>9</v>
      </c>
      <c r="G602" s="44">
        <v>0</v>
      </c>
      <c r="H602" s="44">
        <v>0</v>
      </c>
      <c r="I602" s="44">
        <v>9</v>
      </c>
      <c r="J602" s="44">
        <v>0</v>
      </c>
      <c r="K602" s="123">
        <v>100000</v>
      </c>
      <c r="L602" s="124">
        <f t="shared" si="78"/>
        <v>18</v>
      </c>
      <c r="M602" s="45">
        <f t="shared" si="81"/>
        <v>1800000</v>
      </c>
      <c r="N602" s="45">
        <f t="shared" si="83"/>
        <v>1800000</v>
      </c>
      <c r="O602" s="45" t="s">
        <v>6928</v>
      </c>
      <c r="P602" s="45"/>
      <c r="Q602" s="45"/>
      <c r="R602" s="45"/>
      <c r="S602" s="45">
        <f t="shared" si="80"/>
        <v>0</v>
      </c>
      <c r="T602" s="44" t="s">
        <v>720</v>
      </c>
      <c r="U602" s="44" t="s">
        <v>721</v>
      </c>
      <c r="V602" s="43" t="s">
        <v>21</v>
      </c>
      <c r="W602" t="str">
        <f>VLOOKUP(C602,'Data_HS t5'!$B$2:$K$412,10,FALSE)</f>
        <v>Tổ dân phố số 18, Phường Ngọc Thụy, Quận Long Biên, Thành phố Hà Nội</v>
      </c>
      <c r="X602" t="str">
        <f>VLOOKUP(C602,'Data_HS t9'!$B$2:$K$454,10,FALSE)</f>
        <v>Tổ dân phố số 18, Phường Ngọc Thụy, Quận Long Biên, Thành phố Hà Nội</v>
      </c>
    </row>
    <row r="603" spans="1:25">
      <c r="A603" s="2">
        <v>593</v>
      </c>
      <c r="B603" s="119">
        <v>202510</v>
      </c>
      <c r="C603" s="44" t="s">
        <v>1193</v>
      </c>
      <c r="D603" s="44" t="s">
        <v>1194</v>
      </c>
      <c r="E603" s="44" t="s">
        <v>1160</v>
      </c>
      <c r="F603" s="44">
        <v>0</v>
      </c>
      <c r="G603" s="44">
        <v>0</v>
      </c>
      <c r="H603" s="44">
        <v>0</v>
      </c>
      <c r="I603" s="44">
        <v>9</v>
      </c>
      <c r="J603" s="44">
        <v>0</v>
      </c>
      <c r="K603" s="123">
        <v>100000</v>
      </c>
      <c r="L603" s="124">
        <f t="shared" si="78"/>
        <v>9</v>
      </c>
      <c r="M603" s="45">
        <f t="shared" si="81"/>
        <v>900000</v>
      </c>
      <c r="N603" s="45">
        <f t="shared" si="83"/>
        <v>900000</v>
      </c>
      <c r="O603" s="45" t="s">
        <v>2236</v>
      </c>
      <c r="P603" s="45"/>
      <c r="Q603" s="45"/>
      <c r="R603" s="45"/>
      <c r="S603" s="45">
        <f t="shared" si="80"/>
        <v>0</v>
      </c>
      <c r="T603" s="44" t="s">
        <v>720</v>
      </c>
      <c r="U603" s="44" t="s">
        <v>721</v>
      </c>
      <c r="V603" s="43" t="s">
        <v>21</v>
      </c>
      <c r="W603" t="e">
        <f>VLOOKUP(C603,'Data_HS t5'!$B$2:$K$412,10,FALSE)</f>
        <v>#N/A</v>
      </c>
      <c r="X603" t="e">
        <f>VLOOKUP(C603,'Data_HS t9'!$B$2:$K$454,10,FALSE)</f>
        <v>#N/A</v>
      </c>
      <c r="Y603" t="s">
        <v>3151</v>
      </c>
    </row>
    <row r="604" spans="1:25">
      <c r="A604" s="2">
        <v>594</v>
      </c>
      <c r="B604" s="119">
        <v>202510</v>
      </c>
      <c r="C604" s="44" t="s">
        <v>1195</v>
      </c>
      <c r="D604" s="44" t="s">
        <v>1196</v>
      </c>
      <c r="E604" s="44" t="s">
        <v>1160</v>
      </c>
      <c r="F604" s="44">
        <v>9</v>
      </c>
      <c r="G604" s="44">
        <v>0</v>
      </c>
      <c r="H604" s="44">
        <v>0</v>
      </c>
      <c r="I604" s="44">
        <v>0</v>
      </c>
      <c r="J604" s="44">
        <v>0</v>
      </c>
      <c r="K604" s="123">
        <v>100000</v>
      </c>
      <c r="L604" s="124">
        <f t="shared" si="78"/>
        <v>9</v>
      </c>
      <c r="M604" s="45">
        <f t="shared" si="81"/>
        <v>900000</v>
      </c>
      <c r="N604" s="45">
        <f t="shared" si="83"/>
        <v>900000</v>
      </c>
      <c r="O604" s="45" t="s">
        <v>2216</v>
      </c>
      <c r="P604" s="45"/>
      <c r="Q604" s="45"/>
      <c r="R604" s="45"/>
      <c r="S604" s="45">
        <f t="shared" si="80"/>
        <v>0</v>
      </c>
      <c r="T604" s="44" t="s">
        <v>720</v>
      </c>
      <c r="U604" s="44" t="s">
        <v>721</v>
      </c>
      <c r="V604" s="43" t="s">
        <v>21</v>
      </c>
      <c r="W604" t="str">
        <f>VLOOKUP(C604,'Data_HS t5'!$B$2:$K$412,10,FALSE)</f>
        <v>Phường Thạch Bàn, Quận Long Biên, Thành phố Hà Nội</v>
      </c>
      <c r="X604" t="str">
        <f>VLOOKUP(C604,'Data_HS t9'!$B$2:$K$454,10,FALSE)</f>
        <v>Phường Thạch Bàn, Quận Long Biên, Thành phố Hà Nội</v>
      </c>
      <c r="Y604" t="s">
        <v>3151</v>
      </c>
    </row>
    <row r="605" spans="1:25">
      <c r="A605" s="2">
        <v>595</v>
      </c>
      <c r="B605" s="119">
        <v>202510</v>
      </c>
      <c r="C605" s="44" t="s">
        <v>1197</v>
      </c>
      <c r="D605" s="44" t="s">
        <v>1198</v>
      </c>
      <c r="E605" s="44" t="s">
        <v>1160</v>
      </c>
      <c r="F605" s="44">
        <v>9</v>
      </c>
      <c r="G605" s="44">
        <v>0</v>
      </c>
      <c r="H605" s="44">
        <v>0</v>
      </c>
      <c r="I605" s="44">
        <v>0</v>
      </c>
      <c r="J605" s="44">
        <v>0</v>
      </c>
      <c r="K605" s="123">
        <v>100000</v>
      </c>
      <c r="L605" s="124">
        <f t="shared" si="78"/>
        <v>9</v>
      </c>
      <c r="M605" s="45">
        <f t="shared" si="81"/>
        <v>900000</v>
      </c>
      <c r="N605" s="45">
        <f t="shared" si="83"/>
        <v>900000</v>
      </c>
      <c r="O605" s="45" t="s">
        <v>6938</v>
      </c>
      <c r="P605" s="45"/>
      <c r="Q605" s="45"/>
      <c r="R605" s="45"/>
      <c r="S605" s="45">
        <f t="shared" si="80"/>
        <v>0</v>
      </c>
      <c r="T605" s="44" t="s">
        <v>720</v>
      </c>
      <c r="U605" s="44" t="s">
        <v>721</v>
      </c>
      <c r="V605" s="43" t="s">
        <v>21</v>
      </c>
      <c r="W605" t="str">
        <f>VLOOKUP(C605,'Data_HS t5'!$B$2:$K$412,10,FALSE)</f>
        <v>Tổ 10, Ngọc Thụy, Long Biên, Hà Nội</v>
      </c>
      <c r="X605" t="str">
        <f>VLOOKUP(C605,'Data_HS t9'!$B$2:$K$454,10,FALSE)</f>
        <v>Tổ 10, Ngọc Thụy, Long Biên, Hà Nội</v>
      </c>
    </row>
    <row r="606" spans="1:25">
      <c r="A606" s="2">
        <v>596</v>
      </c>
      <c r="B606" s="119">
        <v>202510</v>
      </c>
      <c r="C606" s="44" t="s">
        <v>1199</v>
      </c>
      <c r="D606" s="44" t="s">
        <v>1200</v>
      </c>
      <c r="E606" s="44" t="s">
        <v>1160</v>
      </c>
      <c r="F606" s="44">
        <v>9</v>
      </c>
      <c r="G606" s="44">
        <v>0</v>
      </c>
      <c r="H606" s="44">
        <v>0</v>
      </c>
      <c r="I606" s="44">
        <v>0</v>
      </c>
      <c r="J606" s="44">
        <v>0</v>
      </c>
      <c r="K606" s="123">
        <v>100000</v>
      </c>
      <c r="L606" s="124">
        <f t="shared" si="78"/>
        <v>9</v>
      </c>
      <c r="M606" s="45">
        <f t="shared" si="81"/>
        <v>900000</v>
      </c>
      <c r="N606" s="45">
        <f t="shared" si="83"/>
        <v>900000</v>
      </c>
      <c r="O606" s="45" t="s">
        <v>3175</v>
      </c>
      <c r="P606" s="45"/>
      <c r="Q606" s="45"/>
      <c r="R606" s="45"/>
      <c r="S606" s="45">
        <f t="shared" si="80"/>
        <v>0</v>
      </c>
      <c r="T606" s="44" t="s">
        <v>720</v>
      </c>
      <c r="U606" s="44" t="s">
        <v>721</v>
      </c>
      <c r="V606" s="43" t="s">
        <v>21</v>
      </c>
      <c r="W606" t="str">
        <f>VLOOKUP(C606,'Data_HS t5'!$B$2:$K$412,10,FALSE)</f>
        <v>Phường Thạch Bàn, Quận Long Biên, Thành phố Hà Nội</v>
      </c>
      <c r="X606" t="str">
        <f>VLOOKUP(C606,'Data_HS t9'!$B$2:$K$454,10,FALSE)</f>
        <v>Phường Thạch Bàn, Quận Long Biên, Thành phố Hà Nội</v>
      </c>
      <c r="Y606" t="s">
        <v>3151</v>
      </c>
    </row>
    <row r="607" spans="1:25">
      <c r="A607" s="2">
        <v>597</v>
      </c>
      <c r="B607" s="119">
        <v>202510</v>
      </c>
      <c r="C607" s="44" t="s">
        <v>1201</v>
      </c>
      <c r="D607" s="44" t="s">
        <v>1202</v>
      </c>
      <c r="E607" s="44" t="s">
        <v>1160</v>
      </c>
      <c r="F607" s="44">
        <v>9</v>
      </c>
      <c r="G607" s="44">
        <v>0</v>
      </c>
      <c r="H607" s="44">
        <v>0</v>
      </c>
      <c r="I607" s="44">
        <v>9</v>
      </c>
      <c r="J607" s="44">
        <v>0</v>
      </c>
      <c r="K607" s="123">
        <v>100000</v>
      </c>
      <c r="L607" s="124">
        <f t="shared" si="78"/>
        <v>18</v>
      </c>
      <c r="M607" s="45">
        <f t="shared" si="81"/>
        <v>1800000</v>
      </c>
      <c r="N607" s="45">
        <f t="shared" si="83"/>
        <v>1800000</v>
      </c>
      <c r="O607" s="45" t="s">
        <v>1776</v>
      </c>
      <c r="P607" s="45"/>
      <c r="Q607" s="45"/>
      <c r="R607" s="45"/>
      <c r="S607" s="45">
        <f t="shared" si="80"/>
        <v>0</v>
      </c>
      <c r="T607" s="44" t="s">
        <v>720</v>
      </c>
      <c r="U607" s="44" t="s">
        <v>721</v>
      </c>
      <c r="V607" s="43" t="s">
        <v>21</v>
      </c>
      <c r="W607" t="str">
        <f>VLOOKUP(C607,'Data_HS t5'!$B$2:$K$412,10,FALSE)</f>
        <v>Tổ dân phố số 12, Phường Long Biên, Quận Long Biên, Thành phố Hà Nội</v>
      </c>
      <c r="X607" t="str">
        <f>VLOOKUP(C607,'Data_HS t9'!$B$2:$K$454,10,FALSE)</f>
        <v>Tổ dân phố số 12, Phường Long Biên, Quận Long Biên, Thành phố Hà Nội</v>
      </c>
      <c r="Y607" t="s">
        <v>3151</v>
      </c>
    </row>
    <row r="608" spans="1:25">
      <c r="A608" s="2">
        <v>598</v>
      </c>
      <c r="B608" s="119">
        <v>202510</v>
      </c>
      <c r="C608" s="44" t="s">
        <v>1203</v>
      </c>
      <c r="D608" s="44" t="s">
        <v>1204</v>
      </c>
      <c r="E608" s="44" t="s">
        <v>1160</v>
      </c>
      <c r="F608" s="44">
        <v>9</v>
      </c>
      <c r="G608" s="44">
        <v>0</v>
      </c>
      <c r="H608" s="44">
        <v>0</v>
      </c>
      <c r="I608" s="44">
        <v>0</v>
      </c>
      <c r="J608" s="44">
        <v>0</v>
      </c>
      <c r="K608" s="123">
        <v>100000</v>
      </c>
      <c r="L608" s="124">
        <f t="shared" si="78"/>
        <v>9</v>
      </c>
      <c r="M608" s="45">
        <f t="shared" si="81"/>
        <v>900000</v>
      </c>
      <c r="N608" s="45">
        <f t="shared" si="83"/>
        <v>900000</v>
      </c>
      <c r="O608" s="45"/>
      <c r="P608" s="45"/>
      <c r="Q608" s="45" t="s">
        <v>3150</v>
      </c>
      <c r="R608" s="45">
        <v>15000</v>
      </c>
      <c r="S608" s="45">
        <f t="shared" si="80"/>
        <v>0</v>
      </c>
      <c r="T608" s="44" t="s">
        <v>720</v>
      </c>
      <c r="U608" s="44" t="s">
        <v>721</v>
      </c>
      <c r="V608" s="43" t="s">
        <v>21</v>
      </c>
      <c r="W608" t="str">
        <f>VLOOKUP(C608,'Data_HS t5'!$B$2:$K$412,10,FALSE)</f>
        <v>Phường Thạch Bàn, Quận Long Biên, Thành phố Hà Nội</v>
      </c>
      <c r="X608" t="str">
        <f>VLOOKUP(C608,'Data_HS t9'!$B$2:$K$454,10,FALSE)</f>
        <v>Phường Thạch Bàn, Quận Long Biên, Thành phố Hà Nội</v>
      </c>
    </row>
    <row r="609" spans="1:25">
      <c r="A609" s="2">
        <v>599</v>
      </c>
      <c r="B609" s="119">
        <v>202510</v>
      </c>
      <c r="C609" s="44" t="s">
        <v>1205</v>
      </c>
      <c r="D609" s="44" t="s">
        <v>1206</v>
      </c>
      <c r="E609" s="44" t="s">
        <v>1160</v>
      </c>
      <c r="F609" s="44">
        <v>9</v>
      </c>
      <c r="G609" s="44">
        <v>0</v>
      </c>
      <c r="H609" s="44">
        <v>0</v>
      </c>
      <c r="I609" s="44">
        <v>0</v>
      </c>
      <c r="J609" s="44">
        <v>0</v>
      </c>
      <c r="K609" s="123">
        <v>100000</v>
      </c>
      <c r="L609" s="124">
        <f t="shared" si="78"/>
        <v>9</v>
      </c>
      <c r="M609" s="45">
        <f t="shared" si="81"/>
        <v>900000</v>
      </c>
      <c r="N609" s="45">
        <f>M609</f>
        <v>900000</v>
      </c>
      <c r="O609" s="45" t="s">
        <v>7185</v>
      </c>
      <c r="P609" s="45"/>
      <c r="Q609" s="45"/>
      <c r="R609" s="45"/>
      <c r="S609" s="45">
        <f t="shared" si="80"/>
        <v>0</v>
      </c>
      <c r="T609" s="44" t="s">
        <v>720</v>
      </c>
      <c r="U609" s="44" t="s">
        <v>721</v>
      </c>
      <c r="V609" s="43" t="s">
        <v>21</v>
      </c>
      <c r="W609" t="str">
        <f>VLOOKUP(C609,'Data_HS t5'!$B$2:$K$412,10,FALSE)</f>
        <v>Tổ dân phố số 7, Phường Long Biên, Quận Long Biên, Thành phố Hà Nội</v>
      </c>
      <c r="X609" t="e">
        <f>VLOOKUP(C609,'Data_HS t9'!$B$2:$K$454,10,FALSE)</f>
        <v>#N/A</v>
      </c>
    </row>
    <row r="610" spans="1:25">
      <c r="A610" s="2">
        <v>600</v>
      </c>
      <c r="B610" s="119">
        <v>202510</v>
      </c>
      <c r="C610" s="44" t="s">
        <v>1207</v>
      </c>
      <c r="D610" s="44" t="s">
        <v>1208</v>
      </c>
      <c r="E610" s="44" t="s">
        <v>1160</v>
      </c>
      <c r="F610" s="44">
        <v>9</v>
      </c>
      <c r="G610" s="44">
        <v>0</v>
      </c>
      <c r="H610" s="44">
        <v>0</v>
      </c>
      <c r="I610" s="44">
        <v>0</v>
      </c>
      <c r="J610" s="44">
        <v>0</v>
      </c>
      <c r="K610" s="123">
        <v>100000</v>
      </c>
      <c r="L610" s="124">
        <f t="shared" si="78"/>
        <v>9</v>
      </c>
      <c r="M610" s="45">
        <f t="shared" si="81"/>
        <v>900000</v>
      </c>
      <c r="N610" s="63">
        <f>M610</f>
        <v>900000</v>
      </c>
      <c r="O610" s="63" t="s">
        <v>6403</v>
      </c>
      <c r="P610" s="45"/>
      <c r="Q610" s="45"/>
      <c r="R610" s="45"/>
      <c r="S610" s="45">
        <f t="shared" si="80"/>
        <v>0</v>
      </c>
      <c r="T610" s="44" t="s">
        <v>720</v>
      </c>
      <c r="U610" s="44" t="s">
        <v>721</v>
      </c>
      <c r="V610" s="43" t="s">
        <v>21</v>
      </c>
      <c r="W610" t="str">
        <f>VLOOKUP(C610,'Data_HS t5'!$B$2:$K$412,10,FALSE)</f>
        <v>P708A, chung cư Bình Minh Garden, 93 Đức Giang, Quận Long Biên, Thành phố Hà Nội</v>
      </c>
      <c r="X610" t="str">
        <f>VLOOKUP(C610,'Data_HS t9'!$B$2:$K$454,10,FALSE)</f>
        <v>P708A, chung cư Bình Minh Garden, 93 Đức Giang, Quận Long Biên, Thành phố Hà Nội</v>
      </c>
    </row>
    <row r="611" spans="1:25" ht="9.6" customHeight="1">
      <c r="A611" s="2">
        <v>601</v>
      </c>
      <c r="B611" s="119">
        <v>202510</v>
      </c>
      <c r="C611" s="44" t="s">
        <v>1209</v>
      </c>
      <c r="D611" s="44" t="s">
        <v>1210</v>
      </c>
      <c r="E611" s="44" t="s">
        <v>1160</v>
      </c>
      <c r="F611" s="44">
        <v>9</v>
      </c>
      <c r="G611" s="44">
        <v>0</v>
      </c>
      <c r="H611" s="44">
        <v>0</v>
      </c>
      <c r="I611" s="44">
        <v>0</v>
      </c>
      <c r="J611" s="44">
        <v>0</v>
      </c>
      <c r="K611" s="123">
        <v>100000</v>
      </c>
      <c r="L611" s="124">
        <f t="shared" si="78"/>
        <v>9</v>
      </c>
      <c r="M611" s="45">
        <f t="shared" si="81"/>
        <v>900000</v>
      </c>
      <c r="N611" s="45">
        <f>M611</f>
        <v>900000</v>
      </c>
      <c r="O611" s="45" t="s">
        <v>2296</v>
      </c>
      <c r="P611" s="45"/>
      <c r="Q611" s="45"/>
      <c r="R611" s="45"/>
      <c r="S611" s="45">
        <f t="shared" si="80"/>
        <v>0</v>
      </c>
      <c r="T611" s="44" t="s">
        <v>720</v>
      </c>
      <c r="U611" s="44" t="s">
        <v>721</v>
      </c>
      <c r="V611" s="43" t="s">
        <v>21</v>
      </c>
      <c r="W611" t="str">
        <f>VLOOKUP(C611,'Data_HS t5'!$B$2:$K$412,10,FALSE)</f>
        <v>Tổ dân phố số 16, Phường Bồ Đề, Quận Long Biên, Thành phố Hà Nội</v>
      </c>
      <c r="X611" t="str">
        <f>VLOOKUP(C611,'Data_HS t9'!$B$2:$K$454,10,FALSE)</f>
        <v>Tổ dân phố số 16, Phường Bồ Đề, Quận Long Biên, Thành phố Hà Nội</v>
      </c>
    </row>
    <row r="612" spans="1:25">
      <c r="A612" s="2">
        <v>602</v>
      </c>
      <c r="B612" s="129">
        <v>202510</v>
      </c>
      <c r="C612" s="64" t="s">
        <v>1211</v>
      </c>
      <c r="D612" s="64" t="s">
        <v>1212</v>
      </c>
      <c r="E612" s="64" t="s">
        <v>1160</v>
      </c>
      <c r="F612" s="64">
        <v>9</v>
      </c>
      <c r="G612" s="64">
        <v>0</v>
      </c>
      <c r="H612" s="64">
        <v>0</v>
      </c>
      <c r="I612" s="64">
        <v>0</v>
      </c>
      <c r="J612" s="64">
        <v>0</v>
      </c>
      <c r="K612" s="126">
        <v>100000</v>
      </c>
      <c r="L612" s="134">
        <f t="shared" si="78"/>
        <v>9</v>
      </c>
      <c r="M612" s="62">
        <f t="shared" si="81"/>
        <v>900000</v>
      </c>
      <c r="N612" s="45"/>
      <c r="O612" s="45"/>
      <c r="P612" s="45"/>
      <c r="Q612" s="45"/>
      <c r="R612" s="62" t="s">
        <v>7195</v>
      </c>
      <c r="S612" s="45">
        <f t="shared" si="80"/>
        <v>900000</v>
      </c>
      <c r="T612" s="44" t="s">
        <v>720</v>
      </c>
      <c r="U612" s="44" t="s">
        <v>721</v>
      </c>
      <c r="V612" s="43" t="s">
        <v>21</v>
      </c>
      <c r="W612" t="str">
        <f>VLOOKUP(C612,'Data_HS t5'!$B$2:$K$412,10,FALSE)</f>
        <v>Phường Sài Đồng, Quận Long Biên, Thành phố Hà Nội</v>
      </c>
      <c r="X612" t="str">
        <f>VLOOKUP(C612,'Data_HS t9'!$B$2:$K$454,10,FALSE)</f>
        <v>Phường Sài Đồng, Quận Long Biên, Thành phố Hà Nội</v>
      </c>
    </row>
    <row r="613" spans="1:25">
      <c r="A613" s="2">
        <v>603</v>
      </c>
      <c r="B613" s="119">
        <v>202510</v>
      </c>
      <c r="C613" s="44" t="s">
        <v>1213</v>
      </c>
      <c r="D613" s="44" t="s">
        <v>1214</v>
      </c>
      <c r="E613" s="44" t="s">
        <v>1160</v>
      </c>
      <c r="F613" s="44">
        <v>9</v>
      </c>
      <c r="G613" s="44">
        <v>0</v>
      </c>
      <c r="H613" s="44">
        <v>0</v>
      </c>
      <c r="I613" s="44">
        <v>0</v>
      </c>
      <c r="J613" s="44">
        <v>0</v>
      </c>
      <c r="K613" s="123">
        <v>100000</v>
      </c>
      <c r="L613" s="124">
        <f t="shared" si="78"/>
        <v>9</v>
      </c>
      <c r="M613" s="45">
        <f t="shared" si="81"/>
        <v>900000</v>
      </c>
      <c r="N613" s="45">
        <f t="shared" ref="N613:N621" si="84">M613</f>
        <v>900000</v>
      </c>
      <c r="O613" s="45" t="s">
        <v>6933</v>
      </c>
      <c r="P613" s="45"/>
      <c r="Q613" s="45"/>
      <c r="R613" s="45"/>
      <c r="S613" s="45">
        <f t="shared" si="80"/>
        <v>0</v>
      </c>
      <c r="T613" s="44" t="s">
        <v>720</v>
      </c>
      <c r="U613" s="44" t="s">
        <v>721</v>
      </c>
      <c r="V613" s="43" t="s">
        <v>21</v>
      </c>
      <c r="W613" t="e">
        <f>VLOOKUP(C613,'Data_HS t5'!$B$2:$K$412,10,FALSE)</f>
        <v>#N/A</v>
      </c>
      <c r="X613" t="str">
        <f>VLOOKUP(C613,'Data_HS t9'!$B$2:$K$454,10,FALSE)</f>
        <v>Tổ dân phố số 14, Phường Việt Hưng, Quận Long Biên, Thành phố Hà Nội</v>
      </c>
    </row>
    <row r="614" spans="1:25">
      <c r="A614" s="2">
        <v>604</v>
      </c>
      <c r="B614" s="119">
        <v>202510</v>
      </c>
      <c r="C614" s="44" t="s">
        <v>1215</v>
      </c>
      <c r="D614" s="44" t="s">
        <v>1216</v>
      </c>
      <c r="E614" s="44" t="s">
        <v>1160</v>
      </c>
      <c r="F614" s="44">
        <v>9</v>
      </c>
      <c r="G614" s="44">
        <v>0</v>
      </c>
      <c r="H614" s="44">
        <v>0</v>
      </c>
      <c r="I614" s="44">
        <v>0</v>
      </c>
      <c r="J614" s="44">
        <v>0</v>
      </c>
      <c r="K614" s="123">
        <v>100000</v>
      </c>
      <c r="L614" s="124">
        <f t="shared" si="78"/>
        <v>9</v>
      </c>
      <c r="M614" s="45">
        <f t="shared" si="81"/>
        <v>900000</v>
      </c>
      <c r="N614" s="45">
        <f t="shared" si="84"/>
        <v>900000</v>
      </c>
      <c r="O614" s="45" t="s">
        <v>1786</v>
      </c>
      <c r="P614" s="45"/>
      <c r="Q614" s="45"/>
      <c r="R614" s="45"/>
      <c r="S614" s="45">
        <f t="shared" si="80"/>
        <v>0</v>
      </c>
      <c r="T614" s="44" t="s">
        <v>720</v>
      </c>
      <c r="U614" s="44" t="s">
        <v>721</v>
      </c>
      <c r="V614" s="43" t="s">
        <v>21</v>
      </c>
      <c r="W614" t="e">
        <f>VLOOKUP(C614,'Data_HS t5'!$B$2:$K$412,10,FALSE)</f>
        <v>#N/A</v>
      </c>
      <c r="X614" t="str">
        <f>VLOOKUP(C614,'Data_HS t9'!$B$2:$K$454,10,FALSE)</f>
        <v>702-CT2 KĐT Đặng Xá - Gia Lâm - Hà Nội</v>
      </c>
      <c r="Y614" t="s">
        <v>3151</v>
      </c>
    </row>
    <row r="615" spans="1:25">
      <c r="A615" s="2">
        <v>605</v>
      </c>
      <c r="B615" s="119">
        <v>202510</v>
      </c>
      <c r="C615" s="44" t="s">
        <v>1217</v>
      </c>
      <c r="D615" s="44" t="s">
        <v>1218</v>
      </c>
      <c r="E615" s="44" t="s">
        <v>1160</v>
      </c>
      <c r="F615" s="44">
        <v>9</v>
      </c>
      <c r="G615" s="44">
        <v>0</v>
      </c>
      <c r="H615" s="44">
        <v>0</v>
      </c>
      <c r="I615" s="44">
        <v>0</v>
      </c>
      <c r="J615" s="44">
        <v>0</v>
      </c>
      <c r="K615" s="123">
        <v>100000</v>
      </c>
      <c r="L615" s="124">
        <f t="shared" si="78"/>
        <v>9</v>
      </c>
      <c r="M615" s="45">
        <f t="shared" si="81"/>
        <v>900000</v>
      </c>
      <c r="N615" s="45">
        <f t="shared" si="84"/>
        <v>900000</v>
      </c>
      <c r="O615" s="45" t="s">
        <v>6948</v>
      </c>
      <c r="P615" s="45"/>
      <c r="Q615" s="45"/>
      <c r="R615" s="45"/>
      <c r="S615" s="45">
        <f t="shared" si="80"/>
        <v>0</v>
      </c>
      <c r="T615" s="44" t="s">
        <v>720</v>
      </c>
      <c r="U615" s="44" t="s">
        <v>721</v>
      </c>
      <c r="V615" s="43" t="s">
        <v>21</v>
      </c>
      <c r="W615" t="e">
        <f>VLOOKUP(C615,'Data_HS t5'!$B$2:$K$412,10,FALSE)</f>
        <v>#N/A</v>
      </c>
      <c r="X615" t="e">
        <f>VLOOKUP(C615,'Data_HS t9'!$B$2:$K$454,10,FALSE)</f>
        <v>#N/A</v>
      </c>
    </row>
    <row r="616" spans="1:25">
      <c r="A616" s="2">
        <v>606</v>
      </c>
      <c r="B616" s="119">
        <v>202510</v>
      </c>
      <c r="C616" s="44" t="s">
        <v>1219</v>
      </c>
      <c r="D616" s="44" t="s">
        <v>1220</v>
      </c>
      <c r="E616" s="44" t="s">
        <v>1160</v>
      </c>
      <c r="F616" s="44">
        <v>0</v>
      </c>
      <c r="G616" s="44">
        <v>0</v>
      </c>
      <c r="H616" s="44">
        <v>0</v>
      </c>
      <c r="I616" s="44">
        <v>9</v>
      </c>
      <c r="J616" s="44">
        <v>0</v>
      </c>
      <c r="K616" s="123">
        <v>100000</v>
      </c>
      <c r="L616" s="124">
        <f t="shared" si="78"/>
        <v>9</v>
      </c>
      <c r="M616" s="45">
        <f t="shared" si="81"/>
        <v>900000</v>
      </c>
      <c r="N616" s="45">
        <f t="shared" si="84"/>
        <v>900000</v>
      </c>
      <c r="O616" s="45" t="s">
        <v>6123</v>
      </c>
      <c r="P616" s="45"/>
      <c r="Q616" s="45"/>
      <c r="R616" s="45"/>
      <c r="S616" s="45">
        <f t="shared" si="80"/>
        <v>0</v>
      </c>
      <c r="T616" s="44" t="s">
        <v>720</v>
      </c>
      <c r="U616" s="44" t="s">
        <v>721</v>
      </c>
      <c r="V616" s="43" t="s">
        <v>21</v>
      </c>
      <c r="W616" t="str">
        <f>VLOOKUP(C616,'Data_HS t5'!$B$2:$K$412,10,FALSE)</f>
        <v>Phường Ngọc Lâm, Quận Long Biên, Thành phố Hà Nội</v>
      </c>
      <c r="X616" t="str">
        <f>VLOOKUP(C616,'Data_HS t9'!$B$2:$K$454,10,FALSE)</f>
        <v>Phường Ngọc Lâm, Quận Long Biên, Thành phố Hà Nội</v>
      </c>
    </row>
    <row r="617" spans="1:25">
      <c r="A617" s="2">
        <v>607</v>
      </c>
      <c r="B617" s="119">
        <v>202510</v>
      </c>
      <c r="C617" s="44" t="s">
        <v>1221</v>
      </c>
      <c r="D617" s="44" t="s">
        <v>1222</v>
      </c>
      <c r="E617" s="44" t="s">
        <v>1160</v>
      </c>
      <c r="F617" s="44">
        <v>9</v>
      </c>
      <c r="G617" s="44">
        <v>0</v>
      </c>
      <c r="H617" s="44">
        <v>0</v>
      </c>
      <c r="I617" s="44">
        <v>9</v>
      </c>
      <c r="J617" s="44">
        <v>0</v>
      </c>
      <c r="K617" s="123">
        <v>100000</v>
      </c>
      <c r="L617" s="124">
        <f t="shared" si="78"/>
        <v>18</v>
      </c>
      <c r="M617" s="45">
        <f t="shared" si="81"/>
        <v>1800000</v>
      </c>
      <c r="N617" s="45">
        <f t="shared" si="84"/>
        <v>1800000</v>
      </c>
      <c r="O617" s="45"/>
      <c r="P617" s="45"/>
      <c r="Q617" s="45" t="s">
        <v>3150</v>
      </c>
      <c r="R617" s="45">
        <v>30000</v>
      </c>
      <c r="S617" s="45">
        <f t="shared" si="80"/>
        <v>0</v>
      </c>
      <c r="T617" s="44" t="s">
        <v>720</v>
      </c>
      <c r="U617" s="44" t="s">
        <v>721</v>
      </c>
      <c r="V617" s="43" t="s">
        <v>21</v>
      </c>
      <c r="W617" t="str">
        <f>VLOOKUP(C617,'Data_HS t5'!$B$2:$K$412,10,FALSE)</f>
        <v>Số 9, ngách 541/40 Bát Khối, Tổ 8, P.Thạch Bàn, Q.Long Biên, Hà Nội</v>
      </c>
      <c r="X617" t="str">
        <f>VLOOKUP(C617,'Data_HS t9'!$B$2:$K$454,10,FALSE)</f>
        <v>Số 9, ngách 541/40 Bát Khối, Tổ 8, P.Thạch Bàn, Q.Long Biên, Hà Nội</v>
      </c>
    </row>
    <row r="618" spans="1:25">
      <c r="A618" s="2">
        <v>608</v>
      </c>
      <c r="B618" s="119">
        <v>202510</v>
      </c>
      <c r="C618" s="44" t="s">
        <v>1223</v>
      </c>
      <c r="D618" s="44" t="s">
        <v>1224</v>
      </c>
      <c r="E618" s="44" t="s">
        <v>1160</v>
      </c>
      <c r="F618" s="44">
        <v>9</v>
      </c>
      <c r="G618" s="44">
        <v>0</v>
      </c>
      <c r="H618" s="44">
        <v>0</v>
      </c>
      <c r="I618" s="44">
        <v>9</v>
      </c>
      <c r="J618" s="44">
        <v>0</v>
      </c>
      <c r="K618" s="123">
        <v>100000</v>
      </c>
      <c r="L618" s="124">
        <f t="shared" si="78"/>
        <v>18</v>
      </c>
      <c r="M618" s="45">
        <f t="shared" si="81"/>
        <v>1800000</v>
      </c>
      <c r="N618" s="45">
        <f t="shared" si="84"/>
        <v>1800000</v>
      </c>
      <c r="O618" s="45"/>
      <c r="P618" s="45" t="s">
        <v>6581</v>
      </c>
      <c r="Q618" s="45"/>
      <c r="R618" s="45"/>
      <c r="S618" s="45">
        <f t="shared" si="80"/>
        <v>0</v>
      </c>
      <c r="T618" s="44" t="s">
        <v>720</v>
      </c>
      <c r="U618" s="44" t="s">
        <v>721</v>
      </c>
      <c r="V618" s="43" t="s">
        <v>21</v>
      </c>
      <c r="W618" t="str">
        <f>VLOOKUP(C618,'Data_HS t5'!$B$2:$K$412,10,FALSE)</f>
        <v>Phường Thạch Bàn, Quận Long Biên, Thành phố Hà Nội</v>
      </c>
      <c r="X618" t="str">
        <f>VLOOKUP(C618,'Data_HS t9'!$B$2:$K$454,10,FALSE)</f>
        <v>Phường Thạch Bàn, Quận Long Biên, Thành phố Hà Nội</v>
      </c>
    </row>
    <row r="619" spans="1:25">
      <c r="A619" s="2">
        <v>609</v>
      </c>
      <c r="B619" s="119">
        <v>202510</v>
      </c>
      <c r="C619" s="44" t="s">
        <v>1225</v>
      </c>
      <c r="D619" s="44" t="s">
        <v>1226</v>
      </c>
      <c r="E619" s="44" t="s">
        <v>1160</v>
      </c>
      <c r="F619" s="44">
        <v>0</v>
      </c>
      <c r="G619" s="44">
        <v>0</v>
      </c>
      <c r="H619" s="44">
        <v>0</v>
      </c>
      <c r="I619" s="44">
        <v>9</v>
      </c>
      <c r="J619" s="44">
        <v>0</v>
      </c>
      <c r="K619" s="123">
        <v>100000</v>
      </c>
      <c r="L619" s="124">
        <f t="shared" si="78"/>
        <v>9</v>
      </c>
      <c r="M619" s="45">
        <f t="shared" si="81"/>
        <v>900000</v>
      </c>
      <c r="N619" s="45">
        <f t="shared" si="84"/>
        <v>900000</v>
      </c>
      <c r="O619" s="45" t="s">
        <v>6923</v>
      </c>
      <c r="P619" s="45"/>
      <c r="Q619" s="45"/>
      <c r="R619" s="45"/>
      <c r="S619" s="45">
        <f t="shared" si="80"/>
        <v>0</v>
      </c>
      <c r="T619" s="44" t="s">
        <v>720</v>
      </c>
      <c r="U619" s="44" t="s">
        <v>721</v>
      </c>
      <c r="V619" s="43" t="s">
        <v>21</v>
      </c>
      <c r="W619" t="str">
        <f>VLOOKUP(C619,'Data_HS t5'!$B$2:$K$412,10,FALSE)</f>
        <v>Tòa CT2B Tổ 17, Phường Thạch Bàn, Quận Long Biên, Thành phố Hà Nội</v>
      </c>
      <c r="X619" t="str">
        <f>VLOOKUP(C619,'Data_HS t9'!$B$2:$K$454,10,FALSE)</f>
        <v>Tòa CT2B Tổ 17, Phường Thạch Bàn, Quận Long Biên, Thành phố Hà Nội</v>
      </c>
    </row>
    <row r="620" spans="1:25">
      <c r="A620" s="2">
        <v>610</v>
      </c>
      <c r="B620" s="119">
        <v>202510</v>
      </c>
      <c r="C620" s="44" t="s">
        <v>1227</v>
      </c>
      <c r="D620" s="44" t="s">
        <v>1228</v>
      </c>
      <c r="E620" s="44" t="s">
        <v>1160</v>
      </c>
      <c r="F620" s="44">
        <v>9</v>
      </c>
      <c r="G620" s="44">
        <v>0</v>
      </c>
      <c r="H620" s="44">
        <v>0</v>
      </c>
      <c r="I620" s="44">
        <v>9</v>
      </c>
      <c r="J620" s="44">
        <v>0</v>
      </c>
      <c r="K620" s="123">
        <v>100000</v>
      </c>
      <c r="L620" s="124">
        <f t="shared" si="78"/>
        <v>18</v>
      </c>
      <c r="M620" s="45">
        <f t="shared" si="81"/>
        <v>1800000</v>
      </c>
      <c r="N620" s="45">
        <f t="shared" si="84"/>
        <v>1800000</v>
      </c>
      <c r="O620" s="45" t="s">
        <v>2276</v>
      </c>
      <c r="P620" s="45"/>
      <c r="Q620" s="45"/>
      <c r="R620" s="45"/>
      <c r="S620" s="45">
        <f t="shared" si="80"/>
        <v>0</v>
      </c>
      <c r="T620" s="44" t="s">
        <v>720</v>
      </c>
      <c r="U620" s="44" t="s">
        <v>721</v>
      </c>
      <c r="V620" s="43" t="s">
        <v>21</v>
      </c>
      <c r="W620" t="str">
        <f>VLOOKUP(C620,'Data_HS t5'!$B$2:$K$412,10,FALSE)</f>
        <v>Tổ dân phố số 7, Phường Ngọc Lâm, Quận Long Biên, Thành phố Hà Nội</v>
      </c>
      <c r="X620" t="str">
        <f>VLOOKUP(C620,'Data_HS t9'!$B$2:$K$454,10,FALSE)</f>
        <v>Tổ dân phố số 7, Phường Ngọc Lâm, Quận Long Biên, Thành phố Hà Nội</v>
      </c>
      <c r="Y620" t="s">
        <v>3151</v>
      </c>
    </row>
    <row r="621" spans="1:25">
      <c r="A621" s="2">
        <v>611</v>
      </c>
      <c r="B621" s="119">
        <v>202510</v>
      </c>
      <c r="C621" s="44" t="s">
        <v>1229</v>
      </c>
      <c r="D621" s="44" t="s">
        <v>1230</v>
      </c>
      <c r="E621" s="44" t="s">
        <v>1160</v>
      </c>
      <c r="F621" s="44">
        <v>9</v>
      </c>
      <c r="G621" s="44">
        <v>0</v>
      </c>
      <c r="H621" s="44">
        <v>0</v>
      </c>
      <c r="I621" s="44">
        <v>9</v>
      </c>
      <c r="J621" s="44">
        <v>0</v>
      </c>
      <c r="K621" s="123">
        <v>100000</v>
      </c>
      <c r="L621" s="124">
        <f t="shared" si="78"/>
        <v>18</v>
      </c>
      <c r="M621" s="45">
        <f t="shared" si="81"/>
        <v>1800000</v>
      </c>
      <c r="N621" s="45">
        <f t="shared" si="84"/>
        <v>1800000</v>
      </c>
      <c r="O621" s="45" t="s">
        <v>6150</v>
      </c>
      <c r="P621" s="45"/>
      <c r="Q621" s="45"/>
      <c r="R621" s="45"/>
      <c r="S621" s="45">
        <f t="shared" si="80"/>
        <v>0</v>
      </c>
      <c r="T621" s="44" t="s">
        <v>720</v>
      </c>
      <c r="U621" s="44" t="s">
        <v>721</v>
      </c>
      <c r="V621" s="43" t="s">
        <v>21</v>
      </c>
      <c r="W621" t="str">
        <f>VLOOKUP(C621,'Data_HS t5'!$B$2:$K$412,10,FALSE)</f>
        <v>Phường Chương Dương, Quận Hoàn Kiếm, Thành phố Hà Nội</v>
      </c>
      <c r="X621" t="str">
        <f>VLOOKUP(C621,'Data_HS t9'!$B$2:$K$454,10,FALSE)</f>
        <v>Phường Chương Dương, Quận Hoàn Kiếm, Thành phố Hà Nội</v>
      </c>
    </row>
    <row r="622" spans="1:25">
      <c r="A622" s="2">
        <v>612</v>
      </c>
      <c r="B622" s="119">
        <v>202510</v>
      </c>
      <c r="C622" s="68" t="s">
        <v>1231</v>
      </c>
      <c r="D622" s="68" t="s">
        <v>1232</v>
      </c>
      <c r="E622" s="68" t="s">
        <v>1233</v>
      </c>
      <c r="F622" s="68">
        <v>0</v>
      </c>
      <c r="G622" s="68">
        <v>0</v>
      </c>
      <c r="H622" s="68">
        <v>6</v>
      </c>
      <c r="I622" s="68">
        <v>0</v>
      </c>
      <c r="J622" s="68">
        <v>8</v>
      </c>
      <c r="K622" s="127">
        <v>100000</v>
      </c>
      <c r="L622" s="128">
        <f t="shared" si="78"/>
        <v>14</v>
      </c>
      <c r="M622" s="65">
        <f t="shared" si="81"/>
        <v>1400000</v>
      </c>
      <c r="N622" s="45">
        <f>M622</f>
        <v>1400000</v>
      </c>
      <c r="O622" s="45" t="s">
        <v>7191</v>
      </c>
      <c r="P622" s="45"/>
      <c r="Q622" s="45"/>
      <c r="R622" s="61"/>
      <c r="S622" s="45">
        <f t="shared" si="80"/>
        <v>0</v>
      </c>
      <c r="T622" s="44" t="s">
        <v>720</v>
      </c>
      <c r="U622" s="44" t="s">
        <v>721</v>
      </c>
      <c r="V622" s="43" t="s">
        <v>21</v>
      </c>
      <c r="W622" t="str">
        <f>VLOOKUP(C622,'Data_HS t5'!$B$2:$K$412,10,FALSE)</f>
        <v>Thôn Phù Dực 2, Xã Phù Đổng, Huyện Gia Lâm, Thành phố Hà Nội</v>
      </c>
      <c r="X622" t="str">
        <f>VLOOKUP(C622,'Data_HS t9'!$B$2:$K$454,10,FALSE)</f>
        <v>Thôn Phù Dực 2, Xã Phù Đổng, Huyện Gia Lâm, Thành phố Hà Nội</v>
      </c>
    </row>
    <row r="623" spans="1:25">
      <c r="A623" s="2">
        <v>613</v>
      </c>
      <c r="B623" s="119">
        <v>202510</v>
      </c>
      <c r="C623" s="44" t="s">
        <v>1234</v>
      </c>
      <c r="D623" s="44" t="s">
        <v>1235</v>
      </c>
      <c r="E623" s="44" t="s">
        <v>1233</v>
      </c>
      <c r="F623" s="44">
        <v>8</v>
      </c>
      <c r="G623" s="44">
        <v>0</v>
      </c>
      <c r="H623" s="44">
        <v>6</v>
      </c>
      <c r="I623" s="44">
        <v>0</v>
      </c>
      <c r="J623" s="44">
        <v>8</v>
      </c>
      <c r="K623" s="123">
        <v>100000</v>
      </c>
      <c r="L623" s="124">
        <f t="shared" si="78"/>
        <v>22</v>
      </c>
      <c r="M623" s="45">
        <f t="shared" si="81"/>
        <v>2200000</v>
      </c>
      <c r="N623" s="45">
        <f t="shared" ref="N623:N628" si="85">M623</f>
        <v>2200000</v>
      </c>
      <c r="O623" s="45" t="s">
        <v>1755</v>
      </c>
      <c r="P623" s="45"/>
      <c r="Q623" s="45"/>
      <c r="R623" s="45"/>
      <c r="S623" s="45">
        <f t="shared" si="80"/>
        <v>0</v>
      </c>
      <c r="T623" s="44" t="s">
        <v>720</v>
      </c>
      <c r="U623" s="44" t="s">
        <v>721</v>
      </c>
      <c r="V623" s="43" t="s">
        <v>21</v>
      </c>
      <c r="W623" t="str">
        <f>VLOOKUP(C623,'Data_HS t5'!$B$2:$K$412,10,FALSE)</f>
        <v>101/99/2 Nguyễn Sơn, Phường Gia Thuỵ, Quận Long Biên,Thành phố Hà Nội.</v>
      </c>
      <c r="X623" t="str">
        <f>VLOOKUP(C623,'Data_HS t9'!$B$2:$K$454,10,FALSE)</f>
        <v>101/99/2 Nguyễn Sơn, Phường Gia Thuỵ, Quận Long Biên,Thành phố Hà Nội.</v>
      </c>
      <c r="Y623" t="s">
        <v>3151</v>
      </c>
    </row>
    <row r="624" spans="1:25">
      <c r="A624" s="2">
        <v>614</v>
      </c>
      <c r="B624" s="119">
        <v>202510</v>
      </c>
      <c r="C624" s="44" t="s">
        <v>1236</v>
      </c>
      <c r="D624" s="44" t="s">
        <v>1237</v>
      </c>
      <c r="E624" s="44" t="s">
        <v>1233</v>
      </c>
      <c r="F624" s="44">
        <v>0</v>
      </c>
      <c r="G624" s="44">
        <v>0</v>
      </c>
      <c r="H624" s="44">
        <v>0</v>
      </c>
      <c r="I624" s="44">
        <v>0</v>
      </c>
      <c r="J624" s="44">
        <v>8</v>
      </c>
      <c r="K624" s="123">
        <v>100000</v>
      </c>
      <c r="L624" s="124">
        <f t="shared" si="78"/>
        <v>8</v>
      </c>
      <c r="M624" s="45">
        <f t="shared" si="81"/>
        <v>800000</v>
      </c>
      <c r="N624" s="45">
        <f t="shared" si="85"/>
        <v>800000</v>
      </c>
      <c r="O624" s="45" t="s">
        <v>2346</v>
      </c>
      <c r="P624" s="45"/>
      <c r="Q624" s="45"/>
      <c r="R624" s="45"/>
      <c r="S624" s="45">
        <f t="shared" si="80"/>
        <v>0</v>
      </c>
      <c r="T624" s="44" t="s">
        <v>720</v>
      </c>
      <c r="U624" s="44" t="s">
        <v>721</v>
      </c>
      <c r="V624" s="43" t="s">
        <v>21</v>
      </c>
      <c r="W624" t="str">
        <f>VLOOKUP(C624,'Data_HS t5'!$B$2:$K$412,10,FALSE)</f>
        <v>Phường Thạch Bàn, Quận Long Biên, Thành phố Hà Nội</v>
      </c>
      <c r="X624" t="str">
        <f>VLOOKUP(C624,'Data_HS t9'!$B$2:$K$454,10,FALSE)</f>
        <v>Phường Thạch Bàn, Quận Long Biên, Thành phố Hà Nội</v>
      </c>
      <c r="Y624" t="s">
        <v>3151</v>
      </c>
    </row>
    <row r="625" spans="1:25">
      <c r="A625" s="2">
        <v>615</v>
      </c>
      <c r="B625" s="119">
        <v>202510</v>
      </c>
      <c r="C625" s="44" t="s">
        <v>1238</v>
      </c>
      <c r="D625" s="44" t="s">
        <v>1239</v>
      </c>
      <c r="E625" s="44" t="s">
        <v>1233</v>
      </c>
      <c r="F625" s="44">
        <v>8</v>
      </c>
      <c r="G625" s="44">
        <v>0</v>
      </c>
      <c r="H625" s="44">
        <v>0</v>
      </c>
      <c r="I625" s="44">
        <v>9</v>
      </c>
      <c r="J625" s="44">
        <v>9</v>
      </c>
      <c r="K625" s="123">
        <v>100000</v>
      </c>
      <c r="L625" s="124">
        <f t="shared" si="78"/>
        <v>26</v>
      </c>
      <c r="M625" s="45">
        <f t="shared" si="81"/>
        <v>2600000</v>
      </c>
      <c r="N625" s="45">
        <f t="shared" si="85"/>
        <v>2600000</v>
      </c>
      <c r="O625" s="45"/>
      <c r="P625" s="45"/>
      <c r="Q625" s="45" t="s">
        <v>3150</v>
      </c>
      <c r="R625" s="45">
        <v>40000</v>
      </c>
      <c r="S625" s="45">
        <f t="shared" si="80"/>
        <v>0</v>
      </c>
      <c r="T625" s="44" t="s">
        <v>720</v>
      </c>
      <c r="U625" s="44" t="s">
        <v>721</v>
      </c>
      <c r="V625" s="43" t="s">
        <v>21</v>
      </c>
      <c r="W625" t="str">
        <f>VLOOKUP(C625,'Data_HS t5'!$B$2:$K$412,10,FALSE)</f>
        <v>Phường Phúc Đồng, Quận Long Biên, Thành phố Hà Nội</v>
      </c>
      <c r="X625" t="str">
        <f>VLOOKUP(C625,'Data_HS t9'!$B$2:$K$454,10,FALSE)</f>
        <v>Phường Phúc Đồng, Quận Long Biên, Thành phố Hà Nội</v>
      </c>
    </row>
    <row r="626" spans="1:25">
      <c r="A626" s="2">
        <v>616</v>
      </c>
      <c r="B626" s="119">
        <v>202510</v>
      </c>
      <c r="C626" s="44" t="s">
        <v>1240</v>
      </c>
      <c r="D626" s="44" t="s">
        <v>1241</v>
      </c>
      <c r="E626" s="44" t="s">
        <v>1233</v>
      </c>
      <c r="F626" s="44">
        <v>8</v>
      </c>
      <c r="G626" s="44">
        <v>0</v>
      </c>
      <c r="H626" s="44">
        <v>0</v>
      </c>
      <c r="I626" s="44">
        <v>0</v>
      </c>
      <c r="J626" s="44">
        <v>8</v>
      </c>
      <c r="K626" s="123">
        <v>100000</v>
      </c>
      <c r="L626" s="124">
        <f t="shared" si="78"/>
        <v>16</v>
      </c>
      <c r="M626" s="45">
        <f t="shared" si="81"/>
        <v>1600000</v>
      </c>
      <c r="N626" s="45">
        <f t="shared" si="85"/>
        <v>1600000</v>
      </c>
      <c r="O626" s="45" t="s">
        <v>6764</v>
      </c>
      <c r="P626" s="45"/>
      <c r="Q626" s="45"/>
      <c r="R626" s="45"/>
      <c r="S626" s="45">
        <f t="shared" si="80"/>
        <v>0</v>
      </c>
      <c r="T626" s="44" t="s">
        <v>720</v>
      </c>
      <c r="U626" s="44" t="s">
        <v>721</v>
      </c>
      <c r="V626" s="43" t="s">
        <v>21</v>
      </c>
      <c r="W626" t="str">
        <f>VLOOKUP(C626,'Data_HS t5'!$B$2:$K$412,10,FALSE)</f>
        <v>Tổ dân phố số 14, Phường Gia Thụy, Quận Long Biên, Thành phố Hà Nội</v>
      </c>
      <c r="X626" t="str">
        <f>VLOOKUP(C626,'Data_HS t9'!$B$2:$K$454,10,FALSE)</f>
        <v>Tổ dân phố số 14, Phường Gia Thụy, Quận Long Biên, Thành phố Hà Nội</v>
      </c>
    </row>
    <row r="627" spans="1:25">
      <c r="A627" s="2">
        <v>617</v>
      </c>
      <c r="B627" s="119">
        <v>202510</v>
      </c>
      <c r="C627" s="44" t="s">
        <v>1242</v>
      </c>
      <c r="D627" s="44" t="s">
        <v>1243</v>
      </c>
      <c r="E627" s="44" t="s">
        <v>1233</v>
      </c>
      <c r="F627" s="44">
        <v>8</v>
      </c>
      <c r="G627" s="44">
        <v>0</v>
      </c>
      <c r="H627" s="44">
        <v>0</v>
      </c>
      <c r="I627" s="44">
        <v>9</v>
      </c>
      <c r="J627" s="44">
        <v>8</v>
      </c>
      <c r="K627" s="123">
        <v>100000</v>
      </c>
      <c r="L627" s="124">
        <f t="shared" si="78"/>
        <v>25</v>
      </c>
      <c r="M627" s="45">
        <f t="shared" si="81"/>
        <v>2500000</v>
      </c>
      <c r="N627" s="45">
        <f t="shared" si="85"/>
        <v>2500000</v>
      </c>
      <c r="O627" s="45" t="s">
        <v>2148</v>
      </c>
      <c r="P627" s="45"/>
      <c r="Q627" s="45"/>
      <c r="R627" s="45"/>
      <c r="S627" s="45">
        <f t="shared" si="80"/>
        <v>0</v>
      </c>
      <c r="T627" s="44" t="s">
        <v>720</v>
      </c>
      <c r="U627" s="44" t="s">
        <v>721</v>
      </c>
      <c r="V627" s="43" t="s">
        <v>21</v>
      </c>
      <c r="W627" t="str">
        <f>VLOOKUP(C627,'Data_HS t5'!$B$2:$K$412,10,FALSE)</f>
        <v>Tổ dân phố số 18, Phường Thượng Thanh, Quận Long Biên, Thành phố Hà Nội</v>
      </c>
      <c r="X627" t="str">
        <f>VLOOKUP(C627,'Data_HS t9'!$B$2:$K$454,10,FALSE)</f>
        <v>Tổ dân phố số 18, Phường Thượng Thanh, Quận Long Biên, Thành phố Hà Nội</v>
      </c>
      <c r="Y627" t="s">
        <v>3151</v>
      </c>
    </row>
    <row r="628" spans="1:25">
      <c r="A628" s="2">
        <v>618</v>
      </c>
      <c r="B628" s="119">
        <v>202510</v>
      </c>
      <c r="C628" s="44" t="s">
        <v>1244</v>
      </c>
      <c r="D628" s="44" t="s">
        <v>1245</v>
      </c>
      <c r="E628" s="44" t="s">
        <v>1233</v>
      </c>
      <c r="F628" s="44">
        <v>8</v>
      </c>
      <c r="G628" s="44">
        <v>0</v>
      </c>
      <c r="H628" s="44">
        <v>0</v>
      </c>
      <c r="I628" s="44">
        <v>9</v>
      </c>
      <c r="J628" s="44">
        <v>8</v>
      </c>
      <c r="K628" s="123">
        <v>100000</v>
      </c>
      <c r="L628" s="124">
        <f t="shared" si="78"/>
        <v>25</v>
      </c>
      <c r="M628" s="45">
        <f t="shared" si="81"/>
        <v>2500000</v>
      </c>
      <c r="N628" s="45">
        <f t="shared" si="85"/>
        <v>2500000</v>
      </c>
      <c r="O628" s="45"/>
      <c r="P628" s="45"/>
      <c r="Q628" s="45" t="s">
        <v>3150</v>
      </c>
      <c r="R628" s="45">
        <v>50000</v>
      </c>
      <c r="S628" s="45">
        <f t="shared" si="80"/>
        <v>0</v>
      </c>
      <c r="T628" s="44" t="s">
        <v>720</v>
      </c>
      <c r="U628" s="44" t="s">
        <v>721</v>
      </c>
      <c r="V628" s="43" t="s">
        <v>21</v>
      </c>
      <c r="W628" t="str">
        <f>VLOOKUP(C628,'Data_HS t5'!$B$2:$K$412,10,FALSE)</f>
        <v>Phường Thạch Bàn, Quận Long Biên, Thành phố Hà Nội</v>
      </c>
      <c r="X628" t="str">
        <f>VLOOKUP(C628,'Data_HS t9'!$B$2:$K$454,10,FALSE)</f>
        <v>Phường Thạch Bàn, Quận Long Biên, Thành phố Hà Nội</v>
      </c>
    </row>
    <row r="629" spans="1:25">
      <c r="A629" s="2">
        <v>619</v>
      </c>
      <c r="B629" s="119">
        <v>202510</v>
      </c>
      <c r="C629" s="44" t="s">
        <v>1246</v>
      </c>
      <c r="D629" s="44" t="s">
        <v>1247</v>
      </c>
      <c r="E629" s="44" t="s">
        <v>1233</v>
      </c>
      <c r="F629" s="44">
        <v>0</v>
      </c>
      <c r="G629" s="44">
        <v>0</v>
      </c>
      <c r="H629" s="44">
        <v>0</v>
      </c>
      <c r="I629" s="44">
        <v>9</v>
      </c>
      <c r="J629" s="44">
        <v>8</v>
      </c>
      <c r="K629" s="123">
        <v>100000</v>
      </c>
      <c r="L629" s="124">
        <f t="shared" si="78"/>
        <v>17</v>
      </c>
      <c r="M629" s="45">
        <f t="shared" si="81"/>
        <v>1700000</v>
      </c>
      <c r="N629" s="45">
        <f>M629</f>
        <v>1700000</v>
      </c>
      <c r="O629" s="45" t="s">
        <v>6953</v>
      </c>
      <c r="P629" s="45"/>
      <c r="Q629" s="45"/>
      <c r="R629" s="45"/>
      <c r="S629" s="45">
        <f t="shared" si="80"/>
        <v>0</v>
      </c>
      <c r="T629" s="44" t="s">
        <v>720</v>
      </c>
      <c r="U629" s="44" t="s">
        <v>721</v>
      </c>
      <c r="V629" s="43" t="s">
        <v>21</v>
      </c>
      <c r="W629" t="str">
        <f>VLOOKUP(C629,'Data_HS t5'!$B$2:$K$412,10,FALSE)</f>
        <v>Tổ dân phố số 1, Phường Lê Đại Hành, Quận Hai Bà Trưng, Thành phố Hà Nội</v>
      </c>
      <c r="X629" t="str">
        <f>VLOOKUP(C629,'Data_HS t9'!$B$2:$K$454,10,FALSE)</f>
        <v>Tổ dân phố số 1, Phường Lê Đại Hành, Quận Hai Bà Trưng, Thành phố Hà Nội</v>
      </c>
    </row>
    <row r="630" spans="1:25">
      <c r="A630" s="2">
        <v>620</v>
      </c>
      <c r="B630" s="119">
        <v>202510</v>
      </c>
      <c r="C630" s="44" t="s">
        <v>1248</v>
      </c>
      <c r="D630" s="44" t="s">
        <v>1249</v>
      </c>
      <c r="E630" s="44" t="s">
        <v>1233</v>
      </c>
      <c r="F630" s="44">
        <v>8</v>
      </c>
      <c r="G630" s="44">
        <v>0</v>
      </c>
      <c r="H630" s="44">
        <v>0</v>
      </c>
      <c r="I630" s="44">
        <v>0</v>
      </c>
      <c r="J630" s="44">
        <v>8</v>
      </c>
      <c r="K630" s="123">
        <v>100000</v>
      </c>
      <c r="L630" s="124">
        <f t="shared" si="78"/>
        <v>16</v>
      </c>
      <c r="M630" s="45">
        <f t="shared" si="81"/>
        <v>1600000</v>
      </c>
      <c r="N630" s="45">
        <f t="shared" ref="N630:N635" si="86">M630</f>
        <v>1600000</v>
      </c>
      <c r="O630" s="45" t="s">
        <v>6708</v>
      </c>
      <c r="P630" s="45"/>
      <c r="Q630" s="45"/>
      <c r="R630" s="45"/>
      <c r="S630" s="45">
        <f t="shared" si="80"/>
        <v>0</v>
      </c>
      <c r="T630" s="44" t="s">
        <v>720</v>
      </c>
      <c r="U630" s="44" t="s">
        <v>721</v>
      </c>
      <c r="V630" s="43" t="s">
        <v>21</v>
      </c>
      <c r="W630" t="str">
        <f>VLOOKUP(C630,'Data_HS t5'!$B$2:$K$412,10,FALSE)</f>
        <v>Phường Thạch Bàn, Quận Long Biên, Thành phố Hà Nội</v>
      </c>
      <c r="X630" t="str">
        <f>VLOOKUP(C630,'Data_HS t9'!$B$2:$K$454,10,FALSE)</f>
        <v>Phường Thạch Bàn, Quận Long Biên, Thành phố Hà Nội</v>
      </c>
    </row>
    <row r="631" spans="1:25">
      <c r="A631" s="2">
        <v>621</v>
      </c>
      <c r="B631" s="119">
        <v>202510</v>
      </c>
      <c r="C631" s="44" t="s">
        <v>1250</v>
      </c>
      <c r="D631" s="44" t="s">
        <v>1251</v>
      </c>
      <c r="E631" s="44" t="s">
        <v>1233</v>
      </c>
      <c r="F631" s="44">
        <v>8</v>
      </c>
      <c r="G631" s="44">
        <v>0</v>
      </c>
      <c r="H631" s="44">
        <v>0</v>
      </c>
      <c r="I631" s="44">
        <v>9</v>
      </c>
      <c r="J631" s="44">
        <v>8</v>
      </c>
      <c r="K631" s="123">
        <v>100000</v>
      </c>
      <c r="L631" s="124">
        <f t="shared" si="78"/>
        <v>25</v>
      </c>
      <c r="M631" s="45">
        <f t="shared" si="81"/>
        <v>2500000</v>
      </c>
      <c r="N631" s="45">
        <f t="shared" si="86"/>
        <v>2500000</v>
      </c>
      <c r="O631" s="45" t="s">
        <v>1660</v>
      </c>
      <c r="P631" s="45"/>
      <c r="Q631" s="45"/>
      <c r="R631" s="45"/>
      <c r="S631" s="45">
        <f t="shared" si="80"/>
        <v>0</v>
      </c>
      <c r="T631" s="44" t="s">
        <v>720</v>
      </c>
      <c r="U631" s="44" t="s">
        <v>721</v>
      </c>
      <c r="V631" s="43" t="s">
        <v>21</v>
      </c>
      <c r="W631" t="str">
        <f>VLOOKUP(C631,'Data_HS t5'!$B$2:$K$412,10,FALSE)</f>
        <v>Tổ dân phố số 34, Phường Ngọc Thụy, Quận Long Biên, Thành phố Hà Nội</v>
      </c>
      <c r="X631" t="str">
        <f>VLOOKUP(C631,'Data_HS t9'!$B$2:$K$454,10,FALSE)</f>
        <v>Tổ dân phố số 34, Phường Ngọc Thụy, Quận Long Biên, Thành phố Hà Nội</v>
      </c>
      <c r="Y631" t="s">
        <v>3151</v>
      </c>
    </row>
    <row r="632" spans="1:25">
      <c r="A632" s="2">
        <v>622</v>
      </c>
      <c r="B632" s="119">
        <v>202510</v>
      </c>
      <c r="C632" s="44" t="s">
        <v>1252</v>
      </c>
      <c r="D632" s="44" t="s">
        <v>1253</v>
      </c>
      <c r="E632" s="44" t="s">
        <v>1233</v>
      </c>
      <c r="F632" s="44">
        <v>0</v>
      </c>
      <c r="G632" s="44">
        <v>0</v>
      </c>
      <c r="H632" s="44">
        <v>0</v>
      </c>
      <c r="I632" s="44">
        <v>0</v>
      </c>
      <c r="J632" s="44">
        <v>8</v>
      </c>
      <c r="K632" s="123">
        <v>100000</v>
      </c>
      <c r="L632" s="124">
        <f t="shared" si="78"/>
        <v>8</v>
      </c>
      <c r="M632" s="45">
        <f t="shared" si="81"/>
        <v>800000</v>
      </c>
      <c r="N632" s="45">
        <f t="shared" si="86"/>
        <v>800000</v>
      </c>
      <c r="O632" s="45" t="s">
        <v>6398</v>
      </c>
      <c r="P632" s="45"/>
      <c r="Q632" s="45"/>
      <c r="R632" s="45"/>
      <c r="S632" s="45">
        <f t="shared" si="80"/>
        <v>0</v>
      </c>
      <c r="T632" s="44" t="s">
        <v>720</v>
      </c>
      <c r="U632" s="44" t="s">
        <v>721</v>
      </c>
      <c r="V632" s="43" t="s">
        <v>21</v>
      </c>
      <c r="W632" t="e">
        <f>VLOOKUP(C632,'Data_HS t5'!$B$2:$K$412,10,FALSE)</f>
        <v>#N/A</v>
      </c>
      <c r="X632" t="str">
        <f>VLOOKUP(C632,'Data_HS t9'!$B$2:$K$454,10,FALSE)</f>
        <v>Tổ dân phố số 9, Phường Long Biên, Quận Long Biên, Thành phố Hà Nội</v>
      </c>
    </row>
    <row r="633" spans="1:25">
      <c r="A633" s="2">
        <v>623</v>
      </c>
      <c r="B633" s="119">
        <v>202510</v>
      </c>
      <c r="C633" s="44" t="s">
        <v>1254</v>
      </c>
      <c r="D633" s="44" t="s">
        <v>1255</v>
      </c>
      <c r="E633" s="44" t="s">
        <v>1233</v>
      </c>
      <c r="F633" s="44">
        <v>8</v>
      </c>
      <c r="G633" s="44">
        <v>0</v>
      </c>
      <c r="H633" s="44">
        <v>7</v>
      </c>
      <c r="I633" s="44">
        <v>0</v>
      </c>
      <c r="J633" s="44">
        <v>9</v>
      </c>
      <c r="K633" s="123">
        <v>100000</v>
      </c>
      <c r="L633" s="124">
        <f t="shared" si="78"/>
        <v>24</v>
      </c>
      <c r="M633" s="45">
        <f t="shared" si="81"/>
        <v>2400000</v>
      </c>
      <c r="N633" s="45">
        <f t="shared" si="86"/>
        <v>2400000</v>
      </c>
      <c r="O633" s="45" t="s">
        <v>6665</v>
      </c>
      <c r="P633" s="45"/>
      <c r="Q633" s="45"/>
      <c r="R633" s="45"/>
      <c r="S633" s="45">
        <f t="shared" si="80"/>
        <v>0</v>
      </c>
      <c r="T633" s="44" t="s">
        <v>720</v>
      </c>
      <c r="U633" s="44" t="s">
        <v>721</v>
      </c>
      <c r="V633" s="43" t="s">
        <v>21</v>
      </c>
      <c r="W633" t="str">
        <f>VLOOKUP(C633,'Data_HS t5'!$B$2:$K$412,10,FALSE)</f>
        <v>Tổ dân phố số 7, Phường Ngọc Thụy, Quận Long Biên, Thành phố Hà Nội</v>
      </c>
      <c r="X633" t="str">
        <f>VLOOKUP(C633,'Data_HS t9'!$B$2:$K$454,10,FALSE)</f>
        <v>Tổ dân phố số 7, Phường Ngọc Thụy, Quận Long Biên, Thành phố Hà Nội</v>
      </c>
    </row>
    <row r="634" spans="1:25">
      <c r="A634" s="2">
        <v>624</v>
      </c>
      <c r="B634" s="119">
        <v>202510</v>
      </c>
      <c r="C634" s="44" t="s">
        <v>1256</v>
      </c>
      <c r="D634" s="44" t="s">
        <v>1257</v>
      </c>
      <c r="E634" s="44" t="s">
        <v>1233</v>
      </c>
      <c r="F634" s="44">
        <v>8</v>
      </c>
      <c r="G634" s="44">
        <v>0</v>
      </c>
      <c r="H634" s="44">
        <v>0</v>
      </c>
      <c r="I634" s="44">
        <v>9</v>
      </c>
      <c r="J634" s="44">
        <v>8</v>
      </c>
      <c r="K634" s="123">
        <v>100000</v>
      </c>
      <c r="L634" s="124">
        <f t="shared" ref="L634:L697" si="87">SUM(F634:J634)</f>
        <v>25</v>
      </c>
      <c r="M634" s="45">
        <f t="shared" si="81"/>
        <v>2500000</v>
      </c>
      <c r="N634" s="45">
        <f t="shared" si="86"/>
        <v>2500000</v>
      </c>
      <c r="O634" s="45" t="s">
        <v>2331</v>
      </c>
      <c r="P634" s="45"/>
      <c r="Q634" s="45"/>
      <c r="R634" s="45"/>
      <c r="S634" s="45">
        <f t="shared" si="80"/>
        <v>0</v>
      </c>
      <c r="T634" s="44" t="s">
        <v>720</v>
      </c>
      <c r="U634" s="44" t="s">
        <v>721</v>
      </c>
      <c r="V634" s="43" t="s">
        <v>21</v>
      </c>
      <c r="W634" t="str">
        <f>VLOOKUP(C634,'Data_HS t5'!$B$2:$K$412,10,FALSE)</f>
        <v>Tổ dân phố số 7, Phường Ngọc Thụy, Quận Long Biên, Thành phố Hà Nội</v>
      </c>
      <c r="X634" t="str">
        <f>VLOOKUP(C634,'Data_HS t9'!$B$2:$K$454,10,FALSE)</f>
        <v>Tổ dân phố số 7, Phường Ngọc Thụy, Quận Long Biên, Thành phố Hà Nội</v>
      </c>
      <c r="Y634" t="s">
        <v>3151</v>
      </c>
    </row>
    <row r="635" spans="1:25">
      <c r="A635" s="2">
        <v>625</v>
      </c>
      <c r="B635" s="119">
        <v>202510</v>
      </c>
      <c r="C635" s="44" t="s">
        <v>507</v>
      </c>
      <c r="D635" s="44" t="s">
        <v>1258</v>
      </c>
      <c r="E635" s="44" t="s">
        <v>1233</v>
      </c>
      <c r="F635" s="44">
        <v>8</v>
      </c>
      <c r="G635" s="44">
        <v>0</v>
      </c>
      <c r="H635" s="44">
        <v>0</v>
      </c>
      <c r="I635" s="44">
        <v>9</v>
      </c>
      <c r="J635" s="44">
        <v>8</v>
      </c>
      <c r="K635" s="123">
        <v>100000</v>
      </c>
      <c r="L635" s="124">
        <f t="shared" si="87"/>
        <v>25</v>
      </c>
      <c r="M635" s="45">
        <f t="shared" si="81"/>
        <v>2500000</v>
      </c>
      <c r="N635" s="45">
        <f t="shared" si="86"/>
        <v>2500000</v>
      </c>
      <c r="O635" s="45" t="s">
        <v>1610</v>
      </c>
      <c r="P635" s="45"/>
      <c r="Q635" s="45"/>
      <c r="R635" s="45"/>
      <c r="S635" s="45">
        <f t="shared" si="80"/>
        <v>0</v>
      </c>
      <c r="T635" s="44" t="s">
        <v>720</v>
      </c>
      <c r="U635" s="44" t="s">
        <v>721</v>
      </c>
      <c r="V635" s="43" t="s">
        <v>21</v>
      </c>
      <c r="W635" t="str">
        <f>VLOOKUP(C635,'Data_HS t5'!$B$2:$K$412,10,FALSE)</f>
        <v>Tổ dân phố 4, Phường Phúc Xá, Quận Ba Đình, Thành phố Hà Nội</v>
      </c>
      <c r="X635" t="str">
        <f>VLOOKUP(C635,'Data_HS t9'!$B$2:$K$454,10,FALSE)</f>
        <v>Tổ dân phố 4, Phường Phúc Xá, Quận Ba Đình, Thành phố Hà Nội</v>
      </c>
      <c r="Y635" t="s">
        <v>3151</v>
      </c>
    </row>
    <row r="636" spans="1:25" s="175" customFormat="1">
      <c r="A636" s="4">
        <v>626</v>
      </c>
      <c r="B636" s="130">
        <v>202510</v>
      </c>
      <c r="C636" s="68" t="s">
        <v>1259</v>
      </c>
      <c r="D636" s="68" t="s">
        <v>1260</v>
      </c>
      <c r="E636" s="68" t="s">
        <v>1233</v>
      </c>
      <c r="F636" s="68">
        <v>1</v>
      </c>
      <c r="G636" s="68">
        <v>0</v>
      </c>
      <c r="H636" s="68">
        <v>0</v>
      </c>
      <c r="I636" s="68">
        <v>0</v>
      </c>
      <c r="J636" s="68">
        <v>8</v>
      </c>
      <c r="K636" s="127">
        <v>100000</v>
      </c>
      <c r="L636" s="128">
        <f t="shared" si="87"/>
        <v>9</v>
      </c>
      <c r="M636" s="65">
        <f t="shared" si="81"/>
        <v>900000</v>
      </c>
      <c r="N636" s="65">
        <v>900000</v>
      </c>
      <c r="O636" s="65" t="s">
        <v>2307</v>
      </c>
      <c r="P636" s="65"/>
      <c r="Q636" s="65"/>
      <c r="R636" s="65"/>
      <c r="S636" s="173">
        <f t="shared" ref="S636:S699" si="88">M636-N636</f>
        <v>0</v>
      </c>
      <c r="T636" s="68" t="s">
        <v>720</v>
      </c>
      <c r="U636" s="68" t="s">
        <v>721</v>
      </c>
      <c r="V636" s="174" t="s">
        <v>21</v>
      </c>
      <c r="W636" s="175" t="str">
        <f>VLOOKUP(C636,'Data_HS t5'!$B$2:$K$412,10,FALSE)</f>
        <v>Phòng 2604, chung cư CT2B, phường Thạch Bàn, quận Long Biên, Hà Nội</v>
      </c>
      <c r="X636" s="175" t="str">
        <f>VLOOKUP(C636,'Data_HS t9'!$B$2:$K$454,10,FALSE)</f>
        <v>Phòng 2604, chung cư CT2B, phường Thạch Bàn, quận Long Biên, Hà Nội</v>
      </c>
      <c r="Y636" s="175" t="s">
        <v>3151</v>
      </c>
    </row>
    <row r="637" spans="1:25">
      <c r="A637" s="2">
        <v>627</v>
      </c>
      <c r="B637" s="119">
        <v>202510</v>
      </c>
      <c r="C637" s="44" t="s">
        <v>1261</v>
      </c>
      <c r="D637" s="44" t="s">
        <v>1262</v>
      </c>
      <c r="E637" s="44" t="s">
        <v>1233</v>
      </c>
      <c r="F637" s="44">
        <v>8</v>
      </c>
      <c r="G637" s="44">
        <v>0</v>
      </c>
      <c r="H637" s="44">
        <v>0</v>
      </c>
      <c r="I637" s="44">
        <v>9</v>
      </c>
      <c r="J637" s="44">
        <v>8</v>
      </c>
      <c r="K637" s="123">
        <v>100000</v>
      </c>
      <c r="L637" s="124">
        <f t="shared" si="87"/>
        <v>25</v>
      </c>
      <c r="M637" s="45">
        <f t="shared" si="81"/>
        <v>2500000</v>
      </c>
      <c r="N637" s="45">
        <f t="shared" ref="N637:N642" si="89">M637</f>
        <v>2500000</v>
      </c>
      <c r="O637" s="45" t="s">
        <v>2226</v>
      </c>
      <c r="P637" s="45"/>
      <c r="Q637" s="45"/>
      <c r="R637" s="45"/>
      <c r="S637" s="45">
        <f t="shared" si="88"/>
        <v>0</v>
      </c>
      <c r="T637" s="44" t="s">
        <v>720</v>
      </c>
      <c r="U637" s="44" t="s">
        <v>721</v>
      </c>
      <c r="V637" s="43" t="s">
        <v>21</v>
      </c>
      <c r="W637" t="str">
        <f>VLOOKUP(C637,'Data_HS t5'!$B$2:$K$412,10,FALSE)</f>
        <v>Tổ dân phố số 6, Phường Đức Giang, Quận Long Biên, Thành phố Hà Nội</v>
      </c>
      <c r="X637" t="str">
        <f>VLOOKUP(C637,'Data_HS t9'!$B$2:$K$454,10,FALSE)</f>
        <v>Tổ dân phố số 6, Phường Đức Giang, Quận Long Biên, Thành phố Hà Nội</v>
      </c>
      <c r="Y637" t="s">
        <v>3151</v>
      </c>
    </row>
    <row r="638" spans="1:25">
      <c r="A638" s="2">
        <v>628</v>
      </c>
      <c r="B638" s="119">
        <v>202510</v>
      </c>
      <c r="C638" s="44" t="s">
        <v>1263</v>
      </c>
      <c r="D638" s="44" t="s">
        <v>1264</v>
      </c>
      <c r="E638" s="44" t="s">
        <v>1233</v>
      </c>
      <c r="F638" s="44">
        <v>8</v>
      </c>
      <c r="G638" s="44">
        <v>0</v>
      </c>
      <c r="H638" s="44">
        <v>0</v>
      </c>
      <c r="I638" s="44">
        <v>9</v>
      </c>
      <c r="J638" s="44">
        <v>8</v>
      </c>
      <c r="K638" s="123">
        <v>100000</v>
      </c>
      <c r="L638" s="124">
        <f t="shared" si="87"/>
        <v>25</v>
      </c>
      <c r="M638" s="45">
        <f t="shared" si="81"/>
        <v>2500000</v>
      </c>
      <c r="N638" s="45">
        <f t="shared" si="89"/>
        <v>2500000</v>
      </c>
      <c r="O638" s="45" t="s">
        <v>3161</v>
      </c>
      <c r="P638" s="45"/>
      <c r="Q638" s="45"/>
      <c r="R638" s="45"/>
      <c r="S638" s="45">
        <f t="shared" si="88"/>
        <v>0</v>
      </c>
      <c r="T638" s="44" t="s">
        <v>720</v>
      </c>
      <c r="U638" s="44" t="s">
        <v>721</v>
      </c>
      <c r="V638" s="43" t="s">
        <v>21</v>
      </c>
      <c r="W638" t="str">
        <f>VLOOKUP(C638,'Data_HS t5'!$B$2:$K$412,10,FALSE)</f>
        <v>Tổ dân phố số 12, Phường Thạch Bàn, Quận Long Biên, Thành phố Hà Nội</v>
      </c>
      <c r="X638" t="str">
        <f>VLOOKUP(C638,'Data_HS t9'!$B$2:$K$454,10,FALSE)</f>
        <v>Tổ dân phố số 12, Phường Thạch Bàn, Quận Long Biên, Thành phố Hà Nội</v>
      </c>
      <c r="Y638" t="s">
        <v>3151</v>
      </c>
    </row>
    <row r="639" spans="1:25">
      <c r="A639" s="2">
        <v>629</v>
      </c>
      <c r="B639" s="119">
        <v>202510</v>
      </c>
      <c r="C639" s="44" t="s">
        <v>1265</v>
      </c>
      <c r="D639" s="44" t="s">
        <v>1266</v>
      </c>
      <c r="E639" s="44" t="s">
        <v>1233</v>
      </c>
      <c r="F639" s="44">
        <v>8</v>
      </c>
      <c r="G639" s="44">
        <v>0</v>
      </c>
      <c r="H639" s="44">
        <v>0</v>
      </c>
      <c r="I639" s="44">
        <v>9</v>
      </c>
      <c r="J639" s="44">
        <v>8</v>
      </c>
      <c r="K639" s="123">
        <v>100000</v>
      </c>
      <c r="L639" s="124">
        <f t="shared" si="87"/>
        <v>25</v>
      </c>
      <c r="M639" s="45">
        <f t="shared" si="81"/>
        <v>2500000</v>
      </c>
      <c r="N639" s="45">
        <f t="shared" si="89"/>
        <v>2500000</v>
      </c>
      <c r="O639" s="45" t="s">
        <v>2847</v>
      </c>
      <c r="P639" s="45"/>
      <c r="Q639" s="45"/>
      <c r="R639" s="45"/>
      <c r="S639" s="45">
        <f t="shared" si="88"/>
        <v>0</v>
      </c>
      <c r="T639" s="44" t="s">
        <v>720</v>
      </c>
      <c r="U639" s="44" t="s">
        <v>721</v>
      </c>
      <c r="V639" s="43" t="s">
        <v>21</v>
      </c>
      <c r="W639" t="str">
        <f>VLOOKUP(C639,'Data_HS t5'!$B$2:$K$412,10,FALSE)</f>
        <v>Phường Liễu Giai, Quận Ba Đình, Thành phố Hà Nội</v>
      </c>
      <c r="X639" t="str">
        <f>VLOOKUP(C639,'Data_HS t9'!$B$2:$K$454,10,FALSE)</f>
        <v>Phường Liễu Giai, Quận Ba Đình, Thành phố Hà Nội</v>
      </c>
      <c r="Y639" t="s">
        <v>3151</v>
      </c>
    </row>
    <row r="640" spans="1:25">
      <c r="A640" s="2">
        <v>630</v>
      </c>
      <c r="B640" s="119">
        <v>202510</v>
      </c>
      <c r="C640" s="44" t="s">
        <v>1267</v>
      </c>
      <c r="D640" s="44" t="s">
        <v>1268</v>
      </c>
      <c r="E640" s="44" t="s">
        <v>1233</v>
      </c>
      <c r="F640" s="44">
        <v>8</v>
      </c>
      <c r="G640" s="44">
        <v>0</v>
      </c>
      <c r="H640" s="44">
        <v>0</v>
      </c>
      <c r="I640" s="44">
        <v>9</v>
      </c>
      <c r="J640" s="44">
        <v>9</v>
      </c>
      <c r="K640" s="123">
        <v>100000</v>
      </c>
      <c r="L640" s="124">
        <f t="shared" si="87"/>
        <v>26</v>
      </c>
      <c r="M640" s="45">
        <f t="shared" si="81"/>
        <v>2600000</v>
      </c>
      <c r="N640" s="45">
        <f t="shared" si="89"/>
        <v>2600000</v>
      </c>
      <c r="O640" s="45"/>
      <c r="P640" s="45"/>
      <c r="Q640" s="45" t="s">
        <v>3150</v>
      </c>
      <c r="R640" s="45">
        <v>35000</v>
      </c>
      <c r="S640" s="45">
        <f t="shared" si="88"/>
        <v>0</v>
      </c>
      <c r="T640" s="44" t="s">
        <v>720</v>
      </c>
      <c r="U640" s="44" t="s">
        <v>721</v>
      </c>
      <c r="V640" s="43" t="s">
        <v>21</v>
      </c>
      <c r="W640" t="str">
        <f>VLOOKUP(C640,'Data_HS t5'!$B$2:$K$412,10,FALSE)</f>
        <v>Phường Phúc Đồng, Quận Long Biên, Thành phố Hà Nội</v>
      </c>
      <c r="X640" t="str">
        <f>VLOOKUP(C640,'Data_HS t9'!$B$2:$K$454,10,FALSE)</f>
        <v>Phường Phúc Đồng, Quận Long Biên, Thành phố Hà Nội</v>
      </c>
    </row>
    <row r="641" spans="1:25">
      <c r="A641" s="2">
        <v>631</v>
      </c>
      <c r="B641" s="119">
        <v>202510</v>
      </c>
      <c r="C641" s="44" t="s">
        <v>1269</v>
      </c>
      <c r="D641" s="44" t="s">
        <v>1270</v>
      </c>
      <c r="E641" s="44" t="s">
        <v>1233</v>
      </c>
      <c r="F641" s="44">
        <v>8</v>
      </c>
      <c r="G641" s="44">
        <v>0</v>
      </c>
      <c r="H641" s="44">
        <v>0</v>
      </c>
      <c r="I641" s="44">
        <v>9</v>
      </c>
      <c r="J641" s="44">
        <v>9</v>
      </c>
      <c r="K641" s="123">
        <v>100000</v>
      </c>
      <c r="L641" s="124">
        <f t="shared" si="87"/>
        <v>26</v>
      </c>
      <c r="M641" s="45">
        <f t="shared" ref="M641:M704" si="90">L641*K641</f>
        <v>2600000</v>
      </c>
      <c r="N641" s="45">
        <f t="shared" si="89"/>
        <v>2600000</v>
      </c>
      <c r="O641" s="45"/>
      <c r="P641" s="45"/>
      <c r="Q641" s="45" t="s">
        <v>3150</v>
      </c>
      <c r="R641" s="45">
        <v>35000</v>
      </c>
      <c r="S641" s="45">
        <f t="shared" si="88"/>
        <v>0</v>
      </c>
      <c r="T641" s="44" t="s">
        <v>720</v>
      </c>
      <c r="U641" s="44" t="s">
        <v>721</v>
      </c>
      <c r="V641" s="43" t="s">
        <v>21</v>
      </c>
      <c r="W641" t="str">
        <f>VLOOKUP(C641,'Data_HS t5'!$B$2:$K$412,10,FALSE)</f>
        <v>Phường Phúc Đồng, Quận Long Biên, Thành phố Hà Nội</v>
      </c>
      <c r="X641" t="str">
        <f>VLOOKUP(C641,'Data_HS t9'!$B$2:$K$454,10,FALSE)</f>
        <v>Phường Phúc Đồng, Quận Long Biên, Thành phố Hà Nội</v>
      </c>
    </row>
    <row r="642" spans="1:25">
      <c r="A642" s="2">
        <v>632</v>
      </c>
      <c r="B642" s="119">
        <v>202510</v>
      </c>
      <c r="C642" s="44" t="s">
        <v>1271</v>
      </c>
      <c r="D642" s="44" t="s">
        <v>1272</v>
      </c>
      <c r="E642" s="44" t="s">
        <v>1233</v>
      </c>
      <c r="F642" s="44">
        <v>0</v>
      </c>
      <c r="G642" s="44">
        <v>0</v>
      </c>
      <c r="H642" s="44">
        <v>0</v>
      </c>
      <c r="I642" s="44">
        <v>9</v>
      </c>
      <c r="J642" s="44">
        <v>9</v>
      </c>
      <c r="K642" s="123">
        <v>100000</v>
      </c>
      <c r="L642" s="124">
        <f t="shared" si="87"/>
        <v>18</v>
      </c>
      <c r="M642" s="45">
        <f t="shared" si="90"/>
        <v>1800000</v>
      </c>
      <c r="N642" s="45">
        <f t="shared" si="89"/>
        <v>1800000</v>
      </c>
      <c r="O642" s="45" t="s">
        <v>2192</v>
      </c>
      <c r="P642" s="45"/>
      <c r="Q642" s="45"/>
      <c r="R642" s="45"/>
      <c r="S642" s="45">
        <f t="shared" si="88"/>
        <v>0</v>
      </c>
      <c r="T642" s="44" t="s">
        <v>720</v>
      </c>
      <c r="U642" s="44" t="s">
        <v>721</v>
      </c>
      <c r="V642" s="43" t="s">
        <v>21</v>
      </c>
      <c r="W642" t="str">
        <f>VLOOKUP(C642,'Data_HS t5'!$B$2:$K$412,10,FALSE)</f>
        <v>Tổ dân phố số 18, Phường Đức Giang, Quận Long Biên, Thành phố Hà Nội</v>
      </c>
      <c r="X642" t="str">
        <f>VLOOKUP(C642,'Data_HS t9'!$B$2:$K$454,10,FALSE)</f>
        <v>Tổ dân phố số 18, Phường Đức Giang, Quận Long Biên, Thành phố Hà Nội</v>
      </c>
      <c r="Y642" t="s">
        <v>3151</v>
      </c>
    </row>
    <row r="643" spans="1:25">
      <c r="A643" s="2">
        <v>633</v>
      </c>
      <c r="B643" s="119">
        <v>202510</v>
      </c>
      <c r="C643" s="44" t="s">
        <v>1273</v>
      </c>
      <c r="D643" s="44" t="s">
        <v>1274</v>
      </c>
      <c r="E643" s="44" t="s">
        <v>1233</v>
      </c>
      <c r="F643" s="44">
        <v>8</v>
      </c>
      <c r="G643" s="44">
        <v>0</v>
      </c>
      <c r="H643" s="44">
        <v>0</v>
      </c>
      <c r="I643" s="44">
        <v>9</v>
      </c>
      <c r="J643" s="44">
        <v>9</v>
      </c>
      <c r="K643" s="123">
        <v>100000</v>
      </c>
      <c r="L643" s="124">
        <f t="shared" si="87"/>
        <v>26</v>
      </c>
      <c r="M643" s="45">
        <f t="shared" si="90"/>
        <v>2600000</v>
      </c>
      <c r="N643" s="45">
        <f t="shared" ref="N643:N649" si="91">M643</f>
        <v>2600000</v>
      </c>
      <c r="O643" s="45" t="s">
        <v>1781</v>
      </c>
      <c r="P643" s="45"/>
      <c r="Q643" s="45"/>
      <c r="R643" s="45"/>
      <c r="S643" s="45">
        <f t="shared" si="88"/>
        <v>0</v>
      </c>
      <c r="T643" s="44" t="s">
        <v>720</v>
      </c>
      <c r="U643" s="44" t="s">
        <v>721</v>
      </c>
      <c r="V643" s="43" t="s">
        <v>21</v>
      </c>
      <c r="W643" t="str">
        <f>VLOOKUP(C643,'Data_HS t5'!$B$2:$K$412,10,FALSE)</f>
        <v>Tổ dân phố số 11, Phường Bồ Đề, Quận Long Biên, Thành phố Hà Nội</v>
      </c>
      <c r="X643" t="str">
        <f>VLOOKUP(C643,'Data_HS t9'!$B$2:$K$454,10,FALSE)</f>
        <v>Tổ dân phố số 11, Phường Bồ Đề, Quận Long Biên, Thành phố Hà Nội</v>
      </c>
      <c r="Y643" t="s">
        <v>3151</v>
      </c>
    </row>
    <row r="644" spans="1:25">
      <c r="A644" s="2">
        <v>634</v>
      </c>
      <c r="B644" s="119">
        <v>202510</v>
      </c>
      <c r="C644" s="44" t="s">
        <v>1275</v>
      </c>
      <c r="D644" s="44" t="s">
        <v>1276</v>
      </c>
      <c r="E644" s="44" t="s">
        <v>1233</v>
      </c>
      <c r="F644" s="44">
        <v>7</v>
      </c>
      <c r="G644" s="44">
        <v>0</v>
      </c>
      <c r="H644" s="44">
        <v>6</v>
      </c>
      <c r="I644" s="44">
        <v>9</v>
      </c>
      <c r="J644" s="44">
        <v>0</v>
      </c>
      <c r="K644" s="123">
        <v>100000</v>
      </c>
      <c r="L644" s="124">
        <f t="shared" si="87"/>
        <v>22</v>
      </c>
      <c r="M644" s="45">
        <f t="shared" si="90"/>
        <v>2200000</v>
      </c>
      <c r="N644" s="45">
        <f t="shared" si="91"/>
        <v>2200000</v>
      </c>
      <c r="O644" s="45" t="s">
        <v>1705</v>
      </c>
      <c r="P644" s="45"/>
      <c r="Q644" s="45"/>
      <c r="R644" s="45"/>
      <c r="S644" s="45">
        <f t="shared" si="88"/>
        <v>0</v>
      </c>
      <c r="T644" s="44" t="s">
        <v>720</v>
      </c>
      <c r="U644" s="44" t="s">
        <v>721</v>
      </c>
      <c r="V644" s="43" t="s">
        <v>21</v>
      </c>
      <c r="W644" t="str">
        <f>VLOOKUP(C644,'Data_HS t5'!$B$2:$K$412,10,FALSE)</f>
        <v>Phường Thạch Bàn, Quận Long Biên, Thành phố Hà Nội</v>
      </c>
      <c r="X644" t="str">
        <f>VLOOKUP(C644,'Data_HS t9'!$B$2:$K$454,10,FALSE)</f>
        <v>Phường Thạch Bàn, Quận Long Biên, Thành phố Hà Nội</v>
      </c>
      <c r="Y644" t="s">
        <v>3151</v>
      </c>
    </row>
    <row r="645" spans="1:25">
      <c r="A645" s="2">
        <v>635</v>
      </c>
      <c r="B645" s="119">
        <v>202510</v>
      </c>
      <c r="C645" s="44" t="s">
        <v>1277</v>
      </c>
      <c r="D645" s="44" t="s">
        <v>1278</v>
      </c>
      <c r="E645" s="44" t="s">
        <v>1233</v>
      </c>
      <c r="F645" s="44">
        <v>8</v>
      </c>
      <c r="G645" s="44">
        <v>0</v>
      </c>
      <c r="H645" s="44">
        <v>0</v>
      </c>
      <c r="I645" s="44">
        <v>9</v>
      </c>
      <c r="J645" s="44">
        <v>9</v>
      </c>
      <c r="K645" s="123">
        <v>100000</v>
      </c>
      <c r="L645" s="124">
        <f t="shared" si="87"/>
        <v>26</v>
      </c>
      <c r="M645" s="45">
        <f t="shared" si="90"/>
        <v>2600000</v>
      </c>
      <c r="N645" s="45">
        <f t="shared" si="91"/>
        <v>2600000</v>
      </c>
      <c r="O645" s="45"/>
      <c r="P645" s="45"/>
      <c r="Q645" s="45" t="s">
        <v>3148</v>
      </c>
      <c r="R645" s="45"/>
      <c r="S645" s="45">
        <f t="shared" si="88"/>
        <v>0</v>
      </c>
      <c r="T645" s="44" t="s">
        <v>720</v>
      </c>
      <c r="U645" s="44" t="s">
        <v>721</v>
      </c>
      <c r="V645" s="43" t="s">
        <v>21</v>
      </c>
      <c r="W645" t="str">
        <f>VLOOKUP(C645,'Data_HS t5'!$B$2:$K$412,10,FALSE)</f>
        <v>Tổ dân phố Chính Trung, Thị trấn Trâu Quỳ, Huyện Gia Lâm, Thành phố Hà Nội</v>
      </c>
      <c r="X645" t="str">
        <f>VLOOKUP(C645,'Data_HS t9'!$B$2:$K$454,10,FALSE)</f>
        <v>Tổ dân phố Chính Trung, Thị trấn Trâu Quỳ, Huyện Gia Lâm, Thành phố Hà Nội</v>
      </c>
    </row>
    <row r="646" spans="1:25" ht="26.4">
      <c r="A646" s="2">
        <v>636</v>
      </c>
      <c r="B646" s="119">
        <v>202510</v>
      </c>
      <c r="C646" s="44" t="s">
        <v>1279</v>
      </c>
      <c r="D646" s="44" t="s">
        <v>1280</v>
      </c>
      <c r="E646" s="44" t="s">
        <v>1233</v>
      </c>
      <c r="F646" s="44">
        <v>4</v>
      </c>
      <c r="G646" s="44">
        <v>0</v>
      </c>
      <c r="H646" s="44">
        <v>0</v>
      </c>
      <c r="I646" s="44">
        <v>4</v>
      </c>
      <c r="J646" s="44">
        <v>9</v>
      </c>
      <c r="K646" s="123">
        <v>100000</v>
      </c>
      <c r="L646" s="124">
        <f t="shared" si="87"/>
        <v>17</v>
      </c>
      <c r="M646" s="45">
        <f t="shared" si="90"/>
        <v>1700000</v>
      </c>
      <c r="N646" s="45">
        <f t="shared" si="91"/>
        <v>1700000</v>
      </c>
      <c r="O646" s="61" t="s">
        <v>6777</v>
      </c>
      <c r="P646" s="45"/>
      <c r="Q646" s="45"/>
      <c r="R646" s="45"/>
      <c r="S646" s="45">
        <f t="shared" si="88"/>
        <v>0</v>
      </c>
      <c r="T646" s="44" t="s">
        <v>720</v>
      </c>
      <c r="U646" s="44" t="s">
        <v>721</v>
      </c>
      <c r="V646" s="43" t="s">
        <v>21</v>
      </c>
      <c r="W646" t="str">
        <f>VLOOKUP(C646,'Data_HS t5'!$B$2:$K$412,10,FALSE)</f>
        <v>Tổ dân phố số 3, Phường Thượng Thanh, Quận Long Biên, Thành phố Hà Nội</v>
      </c>
      <c r="X646" t="str">
        <f>VLOOKUP(C646,'Data_HS t9'!$B$2:$K$454,10,FALSE)</f>
        <v>Tổ dân phố số 3, Phường Thượng Thanh, Quận Long Biên, Thành phố Hà Nội</v>
      </c>
    </row>
    <row r="647" spans="1:25">
      <c r="A647" s="2">
        <v>637</v>
      </c>
      <c r="B647" s="119">
        <v>202510</v>
      </c>
      <c r="C647" s="44" t="s">
        <v>1281</v>
      </c>
      <c r="D647" s="44" t="s">
        <v>1282</v>
      </c>
      <c r="E647" s="44" t="s">
        <v>1233</v>
      </c>
      <c r="F647" s="44">
        <v>8</v>
      </c>
      <c r="G647" s="44">
        <v>0</v>
      </c>
      <c r="H647" s="44">
        <v>0</v>
      </c>
      <c r="I647" s="44">
        <v>9</v>
      </c>
      <c r="J647" s="44">
        <v>9</v>
      </c>
      <c r="K647" s="123">
        <v>100000</v>
      </c>
      <c r="L647" s="124">
        <f t="shared" si="87"/>
        <v>26</v>
      </c>
      <c r="M647" s="45">
        <f t="shared" si="90"/>
        <v>2600000</v>
      </c>
      <c r="N647" s="45">
        <f t="shared" si="91"/>
        <v>2600000</v>
      </c>
      <c r="O647" s="45" t="s">
        <v>1710</v>
      </c>
      <c r="P647" s="45"/>
      <c r="Q647" s="45"/>
      <c r="R647" s="45"/>
      <c r="S647" s="45">
        <f t="shared" si="88"/>
        <v>0</v>
      </c>
      <c r="T647" s="44" t="s">
        <v>720</v>
      </c>
      <c r="U647" s="44" t="s">
        <v>721</v>
      </c>
      <c r="V647" s="43" t="s">
        <v>21</v>
      </c>
      <c r="W647" t="str">
        <f>VLOOKUP(C647,'Data_HS t5'!$B$2:$K$412,10,FALSE)</f>
        <v>Tổ dân phố số 36, Phường Ngọc Thụy, Quận Long Biên, Thành phố Hà Nội</v>
      </c>
      <c r="X647" t="str">
        <f>VLOOKUP(C647,'Data_HS t9'!$B$2:$K$454,10,FALSE)</f>
        <v>Tổ dân phố số 36, Phường Ngọc Thụy, Quận Long Biên, Thành phố Hà Nội</v>
      </c>
      <c r="Y647" t="s">
        <v>3151</v>
      </c>
    </row>
    <row r="648" spans="1:25">
      <c r="A648" s="2">
        <v>638</v>
      </c>
      <c r="B648" s="119">
        <v>202510</v>
      </c>
      <c r="C648" s="44" t="s">
        <v>1283</v>
      </c>
      <c r="D648" s="44" t="s">
        <v>1284</v>
      </c>
      <c r="E648" s="44" t="s">
        <v>1233</v>
      </c>
      <c r="F648" s="44">
        <v>4</v>
      </c>
      <c r="G648" s="44">
        <v>0</v>
      </c>
      <c r="H648" s="44">
        <v>0</v>
      </c>
      <c r="I648" s="44">
        <v>0</v>
      </c>
      <c r="J648" s="44">
        <v>9</v>
      </c>
      <c r="K648" s="123">
        <v>100000</v>
      </c>
      <c r="L648" s="124">
        <f t="shared" si="87"/>
        <v>13</v>
      </c>
      <c r="M648" s="45">
        <f t="shared" si="90"/>
        <v>1300000</v>
      </c>
      <c r="N648" s="45">
        <f t="shared" si="91"/>
        <v>1300000</v>
      </c>
      <c r="O648" s="45" t="s">
        <v>3170</v>
      </c>
      <c r="P648" s="45"/>
      <c r="Q648" s="45"/>
      <c r="R648" s="45"/>
      <c r="S648" s="45">
        <f t="shared" si="88"/>
        <v>0</v>
      </c>
      <c r="T648" s="44" t="s">
        <v>720</v>
      </c>
      <c r="U648" s="44" t="s">
        <v>721</v>
      </c>
      <c r="V648" s="43" t="s">
        <v>21</v>
      </c>
      <c r="W648" t="str">
        <f>VLOOKUP(C648,'Data_HS t5'!$B$2:$K$412,10,FALSE)</f>
        <v>Tổ dân phố số 10, Phường Thạch Bàn, Quận Long Biên, Thành phố Hà Nội</v>
      </c>
      <c r="X648" t="str">
        <f>VLOOKUP(C648,'Data_HS t9'!$B$2:$K$454,10,FALSE)</f>
        <v>Tổ dân phố số 10, Phường Thạch Bàn, Quận Long Biên, Thành phố Hà Nội</v>
      </c>
      <c r="Y648" t="s">
        <v>3151</v>
      </c>
    </row>
    <row r="649" spans="1:25">
      <c r="A649" s="2">
        <v>639</v>
      </c>
      <c r="B649" s="119">
        <v>202510</v>
      </c>
      <c r="C649" s="44" t="s">
        <v>1285</v>
      </c>
      <c r="D649" s="44" t="s">
        <v>1286</v>
      </c>
      <c r="E649" s="44" t="s">
        <v>1233</v>
      </c>
      <c r="F649" s="44">
        <v>8</v>
      </c>
      <c r="G649" s="44">
        <v>0</v>
      </c>
      <c r="H649" s="44">
        <v>0</v>
      </c>
      <c r="I649" s="44">
        <v>9</v>
      </c>
      <c r="J649" s="44">
        <v>9</v>
      </c>
      <c r="K649" s="123">
        <v>100000</v>
      </c>
      <c r="L649" s="124">
        <f t="shared" si="87"/>
        <v>26</v>
      </c>
      <c r="M649" s="45">
        <f t="shared" si="90"/>
        <v>2600000</v>
      </c>
      <c r="N649" s="45">
        <f t="shared" si="91"/>
        <v>2600000</v>
      </c>
      <c r="O649" s="45" t="s">
        <v>7158</v>
      </c>
      <c r="P649" s="45"/>
      <c r="Q649" s="45"/>
      <c r="R649" s="45"/>
      <c r="S649" s="45">
        <f t="shared" si="88"/>
        <v>0</v>
      </c>
      <c r="T649" s="44" t="s">
        <v>720</v>
      </c>
      <c r="U649" s="44" t="s">
        <v>721</v>
      </c>
      <c r="V649" s="43" t="s">
        <v>21</v>
      </c>
      <c r="W649" t="str">
        <f>VLOOKUP(C649,'Data_HS t5'!$B$2:$K$412,10,FALSE)</f>
        <v>Tổ dân phố số 1A, Phường Thanh Nhàn, Quận Hai Bà Trưng, Thành phố Hà Nội</v>
      </c>
      <c r="X649" t="str">
        <f>VLOOKUP(C649,'Data_HS t9'!$B$2:$K$454,10,FALSE)</f>
        <v>Tổ dân phố số 1A, Phường Thanh Nhàn, Quận Hai Bà Trưng, Thành phố Hà Nội</v>
      </c>
    </row>
    <row r="650" spans="1:25">
      <c r="A650" s="2">
        <v>640</v>
      </c>
      <c r="B650" s="119">
        <v>202510</v>
      </c>
      <c r="C650" s="44" t="s">
        <v>1287</v>
      </c>
      <c r="D650" s="44" t="s">
        <v>1288</v>
      </c>
      <c r="E650" s="44" t="s">
        <v>1233</v>
      </c>
      <c r="F650" s="44">
        <v>8</v>
      </c>
      <c r="G650" s="44">
        <v>0</v>
      </c>
      <c r="H650" s="44">
        <v>0</v>
      </c>
      <c r="I650" s="44">
        <v>9</v>
      </c>
      <c r="J650" s="44">
        <v>9</v>
      </c>
      <c r="K650" s="123">
        <v>100000</v>
      </c>
      <c r="L650" s="124">
        <f t="shared" si="87"/>
        <v>26</v>
      </c>
      <c r="M650" s="45">
        <f t="shared" si="90"/>
        <v>2600000</v>
      </c>
      <c r="N650" s="45">
        <f t="shared" ref="N650:N655" si="92">M650</f>
        <v>2600000</v>
      </c>
      <c r="O650" s="45"/>
      <c r="P650" s="45"/>
      <c r="Q650" s="45" t="s">
        <v>3148</v>
      </c>
      <c r="R650" s="45">
        <v>40000</v>
      </c>
      <c r="S650" s="45">
        <f t="shared" si="88"/>
        <v>0</v>
      </c>
      <c r="T650" s="44" t="s">
        <v>720</v>
      </c>
      <c r="U650" s="44" t="s">
        <v>721</v>
      </c>
      <c r="V650" s="43" t="s">
        <v>21</v>
      </c>
      <c r="W650" t="str">
        <f>VLOOKUP(C650,'Data_HS t5'!$B$2:$K$412,10,FALSE)</f>
        <v>Tổ dân phố Bình Minh, Thị trấn Trâu Quỳ, Huyện Gia Lâm, Thành phố Hà Nội</v>
      </c>
      <c r="X650" t="str">
        <f>VLOOKUP(C650,'Data_HS t9'!$B$2:$K$454,10,FALSE)</f>
        <v>Tổ dân phố Bình Minh, Thị trấn Trâu Quỳ, Huyện Gia Lâm, Thành phố Hà Nội</v>
      </c>
    </row>
    <row r="651" spans="1:25">
      <c r="A651" s="2">
        <v>641</v>
      </c>
      <c r="B651" s="119">
        <v>202510</v>
      </c>
      <c r="C651" s="44" t="s">
        <v>1289</v>
      </c>
      <c r="D651" s="44" t="s">
        <v>1290</v>
      </c>
      <c r="E651" s="44" t="s">
        <v>1233</v>
      </c>
      <c r="F651" s="44">
        <v>8</v>
      </c>
      <c r="G651" s="44">
        <v>0</v>
      </c>
      <c r="H651" s="44">
        <v>0</v>
      </c>
      <c r="I651" s="44">
        <v>9</v>
      </c>
      <c r="J651" s="44">
        <v>9</v>
      </c>
      <c r="K651" s="123">
        <v>100000</v>
      </c>
      <c r="L651" s="124">
        <f t="shared" si="87"/>
        <v>26</v>
      </c>
      <c r="M651" s="45">
        <f t="shared" si="90"/>
        <v>2600000</v>
      </c>
      <c r="N651" s="45">
        <f t="shared" si="92"/>
        <v>2600000</v>
      </c>
      <c r="O651" s="45" t="s">
        <v>2341</v>
      </c>
      <c r="P651" s="45"/>
      <c r="Q651" s="45"/>
      <c r="R651" s="45"/>
      <c r="S651" s="45">
        <f t="shared" si="88"/>
        <v>0</v>
      </c>
      <c r="T651" s="44" t="s">
        <v>720</v>
      </c>
      <c r="U651" s="44" t="s">
        <v>721</v>
      </c>
      <c r="V651" s="43" t="s">
        <v>21</v>
      </c>
      <c r="W651" t="str">
        <f>VLOOKUP(C651,'Data_HS t5'!$B$2:$K$412,10,FALSE)</f>
        <v>Tổ dân phố 5, Phường Phúc Xá, Quận Ba Đình, Thành phố Hà Nội</v>
      </c>
      <c r="X651" t="str">
        <f>VLOOKUP(C651,'Data_HS t9'!$B$2:$K$454,10,FALSE)</f>
        <v>Tổ dân phố 5, Phường Phúc Xá, Quận Ba Đình, Thành phố Hà Nội</v>
      </c>
      <c r="Y651" t="s">
        <v>3151</v>
      </c>
    </row>
    <row r="652" spans="1:25">
      <c r="A652" s="2">
        <v>642</v>
      </c>
      <c r="B652" s="119">
        <v>202510</v>
      </c>
      <c r="C652" s="44" t="s">
        <v>1291</v>
      </c>
      <c r="D652" s="44" t="s">
        <v>1292</v>
      </c>
      <c r="E652" s="44" t="s">
        <v>1233</v>
      </c>
      <c r="F652" s="44">
        <v>0</v>
      </c>
      <c r="G652" s="44">
        <v>0</v>
      </c>
      <c r="H652" s="44">
        <v>0</v>
      </c>
      <c r="I652" s="44">
        <v>9</v>
      </c>
      <c r="J652" s="44">
        <v>0</v>
      </c>
      <c r="K652" s="123">
        <v>100000</v>
      </c>
      <c r="L652" s="124">
        <f t="shared" si="87"/>
        <v>9</v>
      </c>
      <c r="M652" s="45">
        <f t="shared" si="90"/>
        <v>900000</v>
      </c>
      <c r="N652" s="45">
        <f t="shared" si="92"/>
        <v>900000</v>
      </c>
      <c r="O652" s="45" t="s">
        <v>1867</v>
      </c>
      <c r="P652" s="45"/>
      <c r="Q652" s="45"/>
      <c r="R652" s="45"/>
      <c r="S652" s="45">
        <f t="shared" si="88"/>
        <v>0</v>
      </c>
      <c r="T652" s="44" t="s">
        <v>720</v>
      </c>
      <c r="U652" s="44" t="s">
        <v>721</v>
      </c>
      <c r="V652" s="43" t="s">
        <v>21</v>
      </c>
      <c r="W652" t="e">
        <f>VLOOKUP(C652,'Data_HS t5'!$B$2:$K$412,10,FALSE)</f>
        <v>#N/A</v>
      </c>
      <c r="X652" t="str">
        <f>VLOOKUP(C652,'Data_HS t9'!$B$2:$K$454,10,FALSE)</f>
        <v>Tổ dân phố số 20, Phường Thượng Thanh, Quận Long Biên, Thành phố Hà Nội</v>
      </c>
      <c r="Y652" t="s">
        <v>3151</v>
      </c>
    </row>
    <row r="653" spans="1:25">
      <c r="A653" s="2">
        <v>643</v>
      </c>
      <c r="B653" s="119">
        <v>202510</v>
      </c>
      <c r="C653" s="44" t="s">
        <v>1293</v>
      </c>
      <c r="D653" s="44" t="s">
        <v>1294</v>
      </c>
      <c r="E653" s="44" t="s">
        <v>1233</v>
      </c>
      <c r="F653" s="44">
        <v>8</v>
      </c>
      <c r="G653" s="44">
        <v>0</v>
      </c>
      <c r="H653" s="44">
        <v>7</v>
      </c>
      <c r="I653" s="44">
        <v>0</v>
      </c>
      <c r="J653" s="44">
        <v>8</v>
      </c>
      <c r="K653" s="123">
        <v>100000</v>
      </c>
      <c r="L653" s="124">
        <f t="shared" si="87"/>
        <v>23</v>
      </c>
      <c r="M653" s="45">
        <f t="shared" si="90"/>
        <v>2300000</v>
      </c>
      <c r="N653" s="45">
        <f t="shared" si="92"/>
        <v>2300000</v>
      </c>
      <c r="O653" s="45" t="s">
        <v>2241</v>
      </c>
      <c r="P653" s="45"/>
      <c r="Q653" s="45"/>
      <c r="R653" s="45"/>
      <c r="S653" s="45">
        <f t="shared" si="88"/>
        <v>0</v>
      </c>
      <c r="T653" s="44" t="s">
        <v>720</v>
      </c>
      <c r="U653" s="44" t="s">
        <v>721</v>
      </c>
      <c r="V653" s="43" t="s">
        <v>21</v>
      </c>
      <c r="W653" t="str">
        <f>VLOOKUP(C653,'Data_HS t5'!$B$2:$K$412,10,FALSE)</f>
        <v>Tổ dân phố số 18, Phường Gia Thụy, Quận Long Biên, Thành phố Hà Nội</v>
      </c>
      <c r="X653" t="str">
        <f>VLOOKUP(C653,'Data_HS t9'!$B$2:$K$454,10,FALSE)</f>
        <v>Tổ dân phố số 18, Phường Gia Thụy, Quận Long Biên, Thành phố Hà Nội</v>
      </c>
      <c r="Y653" t="s">
        <v>3151</v>
      </c>
    </row>
    <row r="654" spans="1:25">
      <c r="A654" s="2">
        <v>644</v>
      </c>
      <c r="B654" s="119">
        <v>202510</v>
      </c>
      <c r="C654" s="44" t="s">
        <v>1295</v>
      </c>
      <c r="D654" s="44" t="s">
        <v>1296</v>
      </c>
      <c r="E654" s="44" t="s">
        <v>1233</v>
      </c>
      <c r="F654" s="44">
        <v>8</v>
      </c>
      <c r="G654" s="44">
        <v>0</v>
      </c>
      <c r="H654" s="44">
        <v>6</v>
      </c>
      <c r="I654" s="44">
        <v>0</v>
      </c>
      <c r="J654" s="44">
        <v>9</v>
      </c>
      <c r="K654" s="123">
        <v>100000</v>
      </c>
      <c r="L654" s="124">
        <f t="shared" si="87"/>
        <v>23</v>
      </c>
      <c r="M654" s="45">
        <f t="shared" si="90"/>
        <v>2300000</v>
      </c>
      <c r="N654" s="45">
        <f t="shared" si="92"/>
        <v>2300000</v>
      </c>
      <c r="O654" s="45" t="s">
        <v>2852</v>
      </c>
      <c r="P654" s="45"/>
      <c r="Q654" s="45"/>
      <c r="R654" s="45"/>
      <c r="S654" s="45">
        <f t="shared" si="88"/>
        <v>0</v>
      </c>
      <c r="T654" s="44" t="s">
        <v>720</v>
      </c>
      <c r="U654" s="44" t="s">
        <v>721</v>
      </c>
      <c r="V654" s="43" t="s">
        <v>21</v>
      </c>
      <c r="W654" t="str">
        <f>VLOOKUP(C654,'Data_HS t5'!$B$2:$K$412,10,FALSE)</f>
        <v>Tổ dân phố số 10, Phường Ngọc Thụy, Quận Long Biên, Thành phố Hà Nội</v>
      </c>
      <c r="X654" t="str">
        <f>VLOOKUP(C654,'Data_HS t9'!$B$2:$K$454,10,FALSE)</f>
        <v>Tổ dân phố số 10, Phường Ngọc Thụy, Quận Long Biên, Thành phố Hà Nội</v>
      </c>
      <c r="Y654" t="s">
        <v>3151</v>
      </c>
    </row>
    <row r="655" spans="1:25">
      <c r="A655" s="2">
        <v>645</v>
      </c>
      <c r="B655" s="119">
        <v>202510</v>
      </c>
      <c r="C655" s="44" t="s">
        <v>1297</v>
      </c>
      <c r="D655" s="44" t="s">
        <v>1298</v>
      </c>
      <c r="E655" s="44" t="s">
        <v>1233</v>
      </c>
      <c r="F655" s="44">
        <v>8</v>
      </c>
      <c r="G655" s="44">
        <v>0</v>
      </c>
      <c r="H655" s="44">
        <v>7</v>
      </c>
      <c r="I655" s="44">
        <v>0</v>
      </c>
      <c r="J655" s="44">
        <v>8</v>
      </c>
      <c r="K655" s="123">
        <v>100000</v>
      </c>
      <c r="L655" s="124">
        <f t="shared" si="87"/>
        <v>23</v>
      </c>
      <c r="M655" s="45">
        <f t="shared" si="90"/>
        <v>2300000</v>
      </c>
      <c r="N655" s="45">
        <f t="shared" si="92"/>
        <v>2300000</v>
      </c>
      <c r="O655" s="45" t="s">
        <v>1842</v>
      </c>
      <c r="P655" s="45"/>
      <c r="Q655" s="45"/>
      <c r="R655" s="45"/>
      <c r="S655" s="45">
        <f t="shared" si="88"/>
        <v>0</v>
      </c>
      <c r="T655" s="44" t="s">
        <v>720</v>
      </c>
      <c r="U655" s="44" t="s">
        <v>721</v>
      </c>
      <c r="V655" s="43" t="s">
        <v>21</v>
      </c>
      <c r="W655" t="str">
        <f>VLOOKUP(C655,'Data_HS t5'!$B$2:$K$412,10,FALSE)</f>
        <v>Tổ dân phố số 3, Phường Gia Thụy, Quận Long Biên, Thành phố Hà Nội</v>
      </c>
      <c r="X655" t="str">
        <f>VLOOKUP(C655,'Data_HS t9'!$B$2:$K$454,10,FALSE)</f>
        <v>Tổ dân phố số 3, Phường Gia Thụy, Quận Long Biên, Thành phố Hà Nội</v>
      </c>
      <c r="Y655" t="s">
        <v>3151</v>
      </c>
    </row>
    <row r="656" spans="1:25">
      <c r="A656" s="2">
        <v>646</v>
      </c>
      <c r="B656" s="119">
        <v>202510</v>
      </c>
      <c r="C656" s="44" t="s">
        <v>1299</v>
      </c>
      <c r="D656" s="44" t="s">
        <v>1300</v>
      </c>
      <c r="E656" s="44" t="s">
        <v>1233</v>
      </c>
      <c r="F656" s="44">
        <v>0</v>
      </c>
      <c r="G656" s="44">
        <v>0</v>
      </c>
      <c r="H656" s="44">
        <v>0</v>
      </c>
      <c r="I656" s="44">
        <v>0</v>
      </c>
      <c r="J656" s="44">
        <v>0</v>
      </c>
      <c r="K656" s="123">
        <v>100000</v>
      </c>
      <c r="L656" s="124">
        <f t="shared" si="87"/>
        <v>0</v>
      </c>
      <c r="M656" s="45">
        <f t="shared" si="90"/>
        <v>0</v>
      </c>
      <c r="N656" s="45"/>
      <c r="O656" s="45"/>
      <c r="P656" s="45"/>
      <c r="Q656" s="45"/>
      <c r="R656" s="45"/>
      <c r="S656" s="45">
        <f t="shared" si="88"/>
        <v>0</v>
      </c>
      <c r="T656" s="44" t="s">
        <v>720</v>
      </c>
      <c r="U656" s="44" t="s">
        <v>721</v>
      </c>
      <c r="V656" s="43" t="s">
        <v>21</v>
      </c>
      <c r="W656" t="e">
        <f>VLOOKUP(C656,'Data_HS t5'!$B$2:$K$412,10,FALSE)</f>
        <v>#N/A</v>
      </c>
      <c r="X656" t="e">
        <f>VLOOKUP(C656,'Data_HS t9'!$B$2:$K$454,10,FALSE)</f>
        <v>#N/A</v>
      </c>
    </row>
    <row r="657" spans="1:25">
      <c r="A657" s="2">
        <v>647</v>
      </c>
      <c r="B657" s="119">
        <v>202510</v>
      </c>
      <c r="C657" s="44" t="s">
        <v>1301</v>
      </c>
      <c r="D657" s="44" t="s">
        <v>1302</v>
      </c>
      <c r="E657" s="44" t="s">
        <v>1233</v>
      </c>
      <c r="F657" s="44">
        <v>8</v>
      </c>
      <c r="G657" s="44">
        <v>0</v>
      </c>
      <c r="H657" s="44">
        <v>6</v>
      </c>
      <c r="I657" s="44">
        <v>9</v>
      </c>
      <c r="J657" s="44">
        <v>8</v>
      </c>
      <c r="K657" s="123">
        <v>100000</v>
      </c>
      <c r="L657" s="124">
        <f t="shared" si="87"/>
        <v>31</v>
      </c>
      <c r="M657" s="45">
        <f t="shared" si="90"/>
        <v>3100000</v>
      </c>
      <c r="N657" s="45">
        <f>M657</f>
        <v>3100000</v>
      </c>
      <c r="O657" s="45"/>
      <c r="P657" s="45" t="s">
        <v>6577</v>
      </c>
      <c r="Q657" s="45"/>
      <c r="R657" s="45"/>
      <c r="S657" s="45">
        <f t="shared" si="88"/>
        <v>0</v>
      </c>
      <c r="T657" s="44" t="s">
        <v>720</v>
      </c>
      <c r="U657" s="44" t="s">
        <v>721</v>
      </c>
      <c r="V657" s="43" t="s">
        <v>21</v>
      </c>
      <c r="W657" t="str">
        <f>VLOOKUP(C657,'Data_HS t5'!$B$2:$K$412,10,FALSE)</f>
        <v>Tổ dân phố Vườn Dâu, Thị trấn Trâu Quỳ, Huyện Gia Lâm, Thành phố Hà Nội</v>
      </c>
      <c r="X657" t="str">
        <f>VLOOKUP(C657,'Data_HS t9'!$B$2:$K$454,10,FALSE)</f>
        <v>Tổ dân phố Vườn Dâu, Thị trấn Trâu Quỳ, Huyện Gia Lâm, Thành phố Hà Nội</v>
      </c>
    </row>
    <row r="658" spans="1:25">
      <c r="A658" s="2">
        <v>648</v>
      </c>
      <c r="B658" s="119">
        <v>202510</v>
      </c>
      <c r="C658" s="44" t="s">
        <v>1303</v>
      </c>
      <c r="D658" s="44" t="s">
        <v>1304</v>
      </c>
      <c r="E658" s="44" t="s">
        <v>1233</v>
      </c>
      <c r="F658" s="44">
        <v>8</v>
      </c>
      <c r="G658" s="44">
        <v>0</v>
      </c>
      <c r="H658" s="44">
        <v>7</v>
      </c>
      <c r="I658" s="44">
        <v>9</v>
      </c>
      <c r="J658" s="44">
        <v>8</v>
      </c>
      <c r="K658" s="123">
        <v>100000</v>
      </c>
      <c r="L658" s="124">
        <f t="shared" si="87"/>
        <v>32</v>
      </c>
      <c r="M658" s="45">
        <f t="shared" si="90"/>
        <v>3200000</v>
      </c>
      <c r="N658" s="45">
        <f t="shared" ref="N658:N668" si="93">M658</f>
        <v>3200000</v>
      </c>
      <c r="O658" s="45" t="s">
        <v>1745</v>
      </c>
      <c r="P658" s="45"/>
      <c r="Q658" s="45"/>
      <c r="R658" s="45"/>
      <c r="S658" s="45">
        <f t="shared" si="88"/>
        <v>0</v>
      </c>
      <c r="T658" s="44" t="s">
        <v>720</v>
      </c>
      <c r="U658" s="44" t="s">
        <v>721</v>
      </c>
      <c r="V658" s="43" t="s">
        <v>21</v>
      </c>
      <c r="W658" t="str">
        <f>VLOOKUP(C658,'Data_HS t5'!$B$2:$K$412,10,FALSE)</f>
        <v>Phường Phúc Lợi, Quận Long Biên, Thành phố Hà Nội</v>
      </c>
      <c r="X658" t="str">
        <f>VLOOKUP(C658,'Data_HS t9'!$B$2:$K$454,10,FALSE)</f>
        <v>Phường Phúc Lợi, Quận Long Biên, Thành phố Hà Nội</v>
      </c>
      <c r="Y658" t="s">
        <v>3151</v>
      </c>
    </row>
    <row r="659" spans="1:25" ht="26.4">
      <c r="A659" s="2">
        <v>649</v>
      </c>
      <c r="B659" s="119">
        <v>202510</v>
      </c>
      <c r="C659" s="44" t="s">
        <v>1305</v>
      </c>
      <c r="D659" s="44" t="s">
        <v>1306</v>
      </c>
      <c r="E659" s="44" t="s">
        <v>1307</v>
      </c>
      <c r="F659" s="44">
        <v>8</v>
      </c>
      <c r="G659" s="44">
        <v>0</v>
      </c>
      <c r="H659" s="44">
        <v>7</v>
      </c>
      <c r="I659" s="44">
        <v>0</v>
      </c>
      <c r="J659" s="44">
        <v>0</v>
      </c>
      <c r="K659" s="123">
        <v>100000</v>
      </c>
      <c r="L659" s="124">
        <f t="shared" si="87"/>
        <v>15</v>
      </c>
      <c r="M659" s="45">
        <f t="shared" si="90"/>
        <v>1500000</v>
      </c>
      <c r="N659" s="45">
        <f t="shared" si="93"/>
        <v>1500000</v>
      </c>
      <c r="O659" s="45"/>
      <c r="P659" s="61" t="s">
        <v>2744</v>
      </c>
      <c r="Q659" s="45"/>
      <c r="R659" s="45"/>
      <c r="S659" s="45">
        <f t="shared" si="88"/>
        <v>0</v>
      </c>
      <c r="T659" s="44" t="s">
        <v>19</v>
      </c>
      <c r="U659" s="44" t="s">
        <v>20</v>
      </c>
      <c r="V659" s="43" t="s">
        <v>21</v>
      </c>
      <c r="W659">
        <f>VLOOKUP(C659,'Data_HS t5'!$B$2:$K$412,10,TRUE)</f>
        <v>0</v>
      </c>
      <c r="X659" t="str">
        <f>VLOOKUP(C659,'Data_HS t9'!$B$2:$K$454,10,TRUE)</f>
        <v>Tổ 13, Khu Đô thị Việt Hưng, Phường Giang Biên, Quận Long Biên.</v>
      </c>
    </row>
    <row r="660" spans="1:25">
      <c r="A660" s="2">
        <v>650</v>
      </c>
      <c r="B660" s="119">
        <v>202510</v>
      </c>
      <c r="C660" s="44" t="s">
        <v>1308</v>
      </c>
      <c r="D660" s="44" t="s">
        <v>1309</v>
      </c>
      <c r="E660" s="44" t="s">
        <v>1307</v>
      </c>
      <c r="F660" s="44">
        <v>0</v>
      </c>
      <c r="G660" s="44">
        <v>0</v>
      </c>
      <c r="H660" s="44">
        <v>0</v>
      </c>
      <c r="I660" s="44">
        <v>0</v>
      </c>
      <c r="J660" s="44">
        <v>9</v>
      </c>
      <c r="K660" s="123">
        <v>100000</v>
      </c>
      <c r="L660" s="124">
        <f t="shared" si="87"/>
        <v>9</v>
      </c>
      <c r="M660" s="45">
        <f t="shared" si="90"/>
        <v>900000</v>
      </c>
      <c r="N660" s="45">
        <f t="shared" si="93"/>
        <v>900000</v>
      </c>
      <c r="O660" s="45"/>
      <c r="P660" s="45" t="s">
        <v>2738</v>
      </c>
      <c r="Q660" s="45"/>
      <c r="R660" s="45"/>
      <c r="S660" s="45">
        <f t="shared" si="88"/>
        <v>0</v>
      </c>
      <c r="T660" s="44" t="s">
        <v>19</v>
      </c>
      <c r="U660" s="44" t="s">
        <v>20</v>
      </c>
      <c r="V660" s="43" t="s">
        <v>21</v>
      </c>
      <c r="W660">
        <f>VLOOKUP(C660,'Data_HS t5'!$B$2:$K$412,10,TRUE)</f>
        <v>0</v>
      </c>
      <c r="X660" t="str">
        <f>VLOOKUP(C660,'Data_HS t9'!$B$2:$K$454,10,TRUE)</f>
        <v>Tổ dân phố số 11, Phường Sài Đồng, Quận Long Biên, Thành phố Hà Nội</v>
      </c>
    </row>
    <row r="661" spans="1:25">
      <c r="A661" s="2">
        <v>651</v>
      </c>
      <c r="B661" s="119">
        <v>202510</v>
      </c>
      <c r="C661" s="44" t="s">
        <v>1310</v>
      </c>
      <c r="D661" s="44" t="s">
        <v>1311</v>
      </c>
      <c r="E661" s="44" t="s">
        <v>1307</v>
      </c>
      <c r="F661" s="44">
        <v>0</v>
      </c>
      <c r="G661" s="44">
        <v>0</v>
      </c>
      <c r="H661" s="44">
        <v>0</v>
      </c>
      <c r="I661" s="44">
        <v>0</v>
      </c>
      <c r="J661" s="44">
        <v>9</v>
      </c>
      <c r="K661" s="123">
        <v>100000</v>
      </c>
      <c r="L661" s="124">
        <f t="shared" si="87"/>
        <v>9</v>
      </c>
      <c r="M661" s="45">
        <f t="shared" si="90"/>
        <v>900000</v>
      </c>
      <c r="N661" s="45">
        <f t="shared" si="93"/>
        <v>900000</v>
      </c>
      <c r="O661" s="45"/>
      <c r="P661" s="45" t="s">
        <v>2804</v>
      </c>
      <c r="Q661" s="45"/>
      <c r="R661" s="45"/>
      <c r="S661" s="45">
        <f t="shared" si="88"/>
        <v>0</v>
      </c>
      <c r="T661" s="44" t="s">
        <v>19</v>
      </c>
      <c r="U661" s="44" t="s">
        <v>20</v>
      </c>
      <c r="V661" s="43" t="s">
        <v>21</v>
      </c>
      <c r="W661" t="str">
        <f>VLOOKUP(C661,'Data_HS t5'!$B$2:$K$412,10,TRUE)</f>
        <v>Phường Thạch Bàn, Quận Long Biên, Thành phố Hà Nội</v>
      </c>
      <c r="X661" t="str">
        <f>VLOOKUP(C661,'Data_HS t9'!$B$2:$K$454,10,TRUE)</f>
        <v>Tổ dân phố số 36, Phường Ngọc Thụy, Quận Long Biên, Thành phố Hà Nội</v>
      </c>
    </row>
    <row r="662" spans="1:25">
      <c r="A662" s="2">
        <v>652</v>
      </c>
      <c r="B662" s="119">
        <v>202510</v>
      </c>
      <c r="C662" s="44" t="s">
        <v>1312</v>
      </c>
      <c r="D662" s="44" t="s">
        <v>1313</v>
      </c>
      <c r="E662" s="44" t="s">
        <v>1307</v>
      </c>
      <c r="F662" s="44">
        <v>0</v>
      </c>
      <c r="G662" s="44">
        <v>0</v>
      </c>
      <c r="H662" s="44">
        <v>0</v>
      </c>
      <c r="I662" s="44">
        <v>0</v>
      </c>
      <c r="J662" s="44">
        <v>9</v>
      </c>
      <c r="K662" s="123">
        <v>100000</v>
      </c>
      <c r="L662" s="124">
        <f t="shared" si="87"/>
        <v>9</v>
      </c>
      <c r="M662" s="45">
        <f t="shared" si="90"/>
        <v>900000</v>
      </c>
      <c r="N662" s="45">
        <f t="shared" si="93"/>
        <v>900000</v>
      </c>
      <c r="O662" s="45"/>
      <c r="P662" s="45" t="s">
        <v>2771</v>
      </c>
      <c r="Q662" s="45"/>
      <c r="R662" s="45"/>
      <c r="S662" s="45">
        <f t="shared" si="88"/>
        <v>0</v>
      </c>
      <c r="T662" s="44" t="s">
        <v>19</v>
      </c>
      <c r="U662" s="44" t="s">
        <v>20</v>
      </c>
      <c r="V662" s="43" t="s">
        <v>21</v>
      </c>
      <c r="W662" t="str">
        <f>VLOOKUP(C662,'Data_HS t5'!$B$2:$K$412,10,TRUE)</f>
        <v>Tổ dân phố số 13, Phường Thạch Bàn, Quận Long Biên, Thành phố Hà Nội</v>
      </c>
      <c r="X662" t="str">
        <f>VLOOKUP(C662,'Data_HS t9'!$B$2:$K$454,10,TRUE)</f>
        <v>Tổ dân phố số 1, Phường Cự Khối, Quận Long Biên, Thành phố Hà Nội</v>
      </c>
    </row>
    <row r="663" spans="1:25">
      <c r="A663" s="2">
        <v>653</v>
      </c>
      <c r="B663" s="119">
        <v>202510</v>
      </c>
      <c r="C663" s="44" t="s">
        <v>1314</v>
      </c>
      <c r="D663" s="44" t="s">
        <v>1315</v>
      </c>
      <c r="E663" s="44" t="s">
        <v>1307</v>
      </c>
      <c r="F663" s="44">
        <v>0</v>
      </c>
      <c r="G663" s="44">
        <v>0</v>
      </c>
      <c r="H663" s="44">
        <v>0</v>
      </c>
      <c r="I663" s="44">
        <v>0</v>
      </c>
      <c r="J663" s="44">
        <v>9</v>
      </c>
      <c r="K663" s="123">
        <v>100000</v>
      </c>
      <c r="L663" s="124">
        <f t="shared" si="87"/>
        <v>9</v>
      </c>
      <c r="M663" s="45">
        <f t="shared" si="90"/>
        <v>900000</v>
      </c>
      <c r="N663" s="45">
        <f t="shared" si="93"/>
        <v>900000</v>
      </c>
      <c r="O663" s="45"/>
      <c r="P663" s="45" t="s">
        <v>2748</v>
      </c>
      <c r="Q663" s="45"/>
      <c r="R663" s="45"/>
      <c r="S663" s="45">
        <f t="shared" si="88"/>
        <v>0</v>
      </c>
      <c r="T663" s="44" t="s">
        <v>19</v>
      </c>
      <c r="U663" s="44" t="s">
        <v>20</v>
      </c>
      <c r="V663" s="43" t="s">
        <v>21</v>
      </c>
      <c r="W663" t="str">
        <f>VLOOKUP(C663,'Data_HS t5'!$B$2:$K$412,10,TRUE)</f>
        <v>Tổ dân phố 21, Phường Phúc Xá, Quận Ba Đình, Thành phố Hà Nội</v>
      </c>
      <c r="X663" t="str">
        <f>VLOOKUP(C663,'Data_HS t9'!$B$2:$K$454,10,TRUE)</f>
        <v>Phường Thạch Bàn, Quận Long Biên, Thành phố Hà Nội</v>
      </c>
    </row>
    <row r="664" spans="1:25">
      <c r="A664" s="2">
        <v>654</v>
      </c>
      <c r="B664" s="119">
        <v>202510</v>
      </c>
      <c r="C664" s="44" t="s">
        <v>1316</v>
      </c>
      <c r="D664" s="44" t="s">
        <v>1317</v>
      </c>
      <c r="E664" s="44" t="s">
        <v>1307</v>
      </c>
      <c r="F664" s="44">
        <v>0</v>
      </c>
      <c r="G664" s="44">
        <v>0</v>
      </c>
      <c r="H664" s="44">
        <v>0</v>
      </c>
      <c r="I664" s="44">
        <v>0</v>
      </c>
      <c r="J664" s="44">
        <v>9</v>
      </c>
      <c r="K664" s="123">
        <v>100000</v>
      </c>
      <c r="L664" s="124">
        <f t="shared" si="87"/>
        <v>9</v>
      </c>
      <c r="M664" s="45">
        <f t="shared" si="90"/>
        <v>900000</v>
      </c>
      <c r="N664" s="45">
        <f t="shared" si="93"/>
        <v>900000</v>
      </c>
      <c r="O664" s="45"/>
      <c r="P664" s="45" t="s">
        <v>2789</v>
      </c>
      <c r="Q664" s="45"/>
      <c r="R664" s="45"/>
      <c r="S664" s="45">
        <f t="shared" si="88"/>
        <v>0</v>
      </c>
      <c r="T664" s="44" t="s">
        <v>19</v>
      </c>
      <c r="U664" s="44" t="s">
        <v>20</v>
      </c>
      <c r="V664" s="43" t="s">
        <v>21</v>
      </c>
      <c r="W664" t="str">
        <f>VLOOKUP(C664,'Data_HS t5'!$B$2:$K$412,10,TRUE)</f>
        <v>Phường Thạch Bàn, Quận Long Biên, Thành phố Hà Nội</v>
      </c>
      <c r="X664" t="str">
        <f>VLOOKUP(C664,'Data_HS t9'!$B$2:$K$454,10,TRUE)</f>
        <v>Tổ dân phố số 36, Phường Ngọc Thụy, Quận Long Biên, Thành phố Hà Nội</v>
      </c>
    </row>
    <row r="665" spans="1:25">
      <c r="A665" s="2">
        <v>655</v>
      </c>
      <c r="B665" s="119">
        <v>202510</v>
      </c>
      <c r="C665" s="44" t="s">
        <v>1318</v>
      </c>
      <c r="D665" s="44" t="s">
        <v>1319</v>
      </c>
      <c r="E665" s="44" t="s">
        <v>1307</v>
      </c>
      <c r="F665" s="44">
        <v>0</v>
      </c>
      <c r="G665" s="44">
        <v>0</v>
      </c>
      <c r="H665" s="44">
        <v>0</v>
      </c>
      <c r="I665" s="44">
        <v>0</v>
      </c>
      <c r="J665" s="44">
        <v>9</v>
      </c>
      <c r="K665" s="123">
        <v>100000</v>
      </c>
      <c r="L665" s="124">
        <f t="shared" si="87"/>
        <v>9</v>
      </c>
      <c r="M665" s="45">
        <f t="shared" si="90"/>
        <v>900000</v>
      </c>
      <c r="N665" s="45">
        <f t="shared" si="93"/>
        <v>900000</v>
      </c>
      <c r="O665" s="45"/>
      <c r="P665" s="45" t="s">
        <v>2830</v>
      </c>
      <c r="Q665" s="45"/>
      <c r="R665" s="45"/>
      <c r="S665" s="45">
        <f t="shared" si="88"/>
        <v>0</v>
      </c>
      <c r="T665" s="44" t="s">
        <v>19</v>
      </c>
      <c r="U665" s="44" t="s">
        <v>20</v>
      </c>
      <c r="V665" s="43" t="s">
        <v>21</v>
      </c>
      <c r="W665" t="e">
        <f>VLOOKUP(C665,'Data_HS t5'!$B$2:$K$412,10,TRUE)</f>
        <v>#N/A</v>
      </c>
      <c r="X665" t="str">
        <f>VLOOKUP(C665,'Data_HS t9'!$B$2:$K$454,10,TRUE)</f>
        <v>Tổ dân phố số 36, Phường Ngọc Thụy, Quận Long Biên, Thành phố Hà Nội</v>
      </c>
    </row>
    <row r="666" spans="1:25">
      <c r="A666" s="2">
        <v>656</v>
      </c>
      <c r="B666" s="119">
        <v>202510</v>
      </c>
      <c r="C666" s="44" t="s">
        <v>1320</v>
      </c>
      <c r="D666" s="44" t="s">
        <v>1321</v>
      </c>
      <c r="E666" s="44" t="s">
        <v>1307</v>
      </c>
      <c r="F666" s="44">
        <v>8</v>
      </c>
      <c r="G666" s="44">
        <v>0</v>
      </c>
      <c r="H666" s="44">
        <v>0</v>
      </c>
      <c r="I666" s="44">
        <v>0</v>
      </c>
      <c r="J666" s="44">
        <v>9</v>
      </c>
      <c r="K666" s="123">
        <v>100000</v>
      </c>
      <c r="L666" s="124">
        <f t="shared" si="87"/>
        <v>17</v>
      </c>
      <c r="M666" s="45">
        <f t="shared" si="90"/>
        <v>1700000</v>
      </c>
      <c r="N666" s="45">
        <f t="shared" si="93"/>
        <v>1700000</v>
      </c>
      <c r="O666" s="45"/>
      <c r="P666" s="45" t="s">
        <v>2755</v>
      </c>
      <c r="Q666" s="45"/>
      <c r="R666" s="45"/>
      <c r="S666" s="45">
        <f t="shared" si="88"/>
        <v>0</v>
      </c>
      <c r="T666" s="44" t="s">
        <v>19</v>
      </c>
      <c r="U666" s="44" t="s">
        <v>20</v>
      </c>
      <c r="V666" s="43" t="s">
        <v>21</v>
      </c>
      <c r="W666" t="e">
        <f>VLOOKUP(C666,'Data_HS t5'!$B$2:$K$412,10,TRUE)</f>
        <v>#N/A</v>
      </c>
      <c r="X666" t="str">
        <f>VLOOKUP(C666,'Data_HS t9'!$B$2:$K$454,10,TRUE)</f>
        <v>Tổ dân phố số 36, Phường Ngọc Thụy, Quận Long Biên, Thành phố Hà Nội</v>
      </c>
    </row>
    <row r="667" spans="1:25">
      <c r="A667" s="2">
        <v>657</v>
      </c>
      <c r="B667" s="119">
        <v>202510</v>
      </c>
      <c r="C667" s="44" t="s">
        <v>1322</v>
      </c>
      <c r="D667" s="44" t="s">
        <v>1323</v>
      </c>
      <c r="E667" s="44" t="s">
        <v>1307</v>
      </c>
      <c r="F667" s="44">
        <v>0</v>
      </c>
      <c r="G667" s="44">
        <v>0</v>
      </c>
      <c r="H667" s="44">
        <v>0</v>
      </c>
      <c r="I667" s="44">
        <v>0</v>
      </c>
      <c r="J667" s="44">
        <v>9</v>
      </c>
      <c r="K667" s="123">
        <v>100000</v>
      </c>
      <c r="L667" s="124">
        <f t="shared" si="87"/>
        <v>9</v>
      </c>
      <c r="M667" s="45">
        <f t="shared" si="90"/>
        <v>900000</v>
      </c>
      <c r="N667" s="45">
        <f t="shared" si="93"/>
        <v>900000</v>
      </c>
      <c r="O667" s="45"/>
      <c r="P667" s="45" t="s">
        <v>2754</v>
      </c>
      <c r="Q667" s="45"/>
      <c r="R667" s="45"/>
      <c r="S667" s="45">
        <f t="shared" si="88"/>
        <v>0</v>
      </c>
      <c r="T667" s="44" t="s">
        <v>19</v>
      </c>
      <c r="U667" s="44" t="s">
        <v>20</v>
      </c>
      <c r="V667" s="43" t="s">
        <v>21</v>
      </c>
      <c r="W667" t="e">
        <f>VLOOKUP(C667,'Data_HS t5'!$B$2:$K$412,10,TRUE)</f>
        <v>#N/A</v>
      </c>
      <c r="X667" t="str">
        <f>VLOOKUP(C667,'Data_HS t9'!$B$2:$K$454,10,TRUE)</f>
        <v>Tổ dân phố số 36, Phường Ngọc Thụy, Quận Long Biên, Thành phố Hà Nội</v>
      </c>
    </row>
    <row r="668" spans="1:25">
      <c r="A668" s="2">
        <v>658</v>
      </c>
      <c r="B668" s="119">
        <v>202510</v>
      </c>
      <c r="C668" s="44" t="s">
        <v>1324</v>
      </c>
      <c r="D668" s="44" t="s">
        <v>1325</v>
      </c>
      <c r="E668" s="44" t="s">
        <v>1307</v>
      </c>
      <c r="F668" s="44">
        <v>8</v>
      </c>
      <c r="G668" s="44">
        <v>0</v>
      </c>
      <c r="H668" s="44">
        <v>0</v>
      </c>
      <c r="I668" s="44">
        <v>0</v>
      </c>
      <c r="J668" s="44">
        <v>9</v>
      </c>
      <c r="K668" s="123">
        <v>100000</v>
      </c>
      <c r="L668" s="124">
        <f t="shared" si="87"/>
        <v>17</v>
      </c>
      <c r="M668" s="45">
        <f t="shared" si="90"/>
        <v>1700000</v>
      </c>
      <c r="N668" s="45">
        <f t="shared" si="93"/>
        <v>1700000</v>
      </c>
      <c r="O668" s="45"/>
      <c r="P668" s="45" t="s">
        <v>2812</v>
      </c>
      <c r="Q668" s="45"/>
      <c r="R668" s="45"/>
      <c r="S668" s="45">
        <f t="shared" si="88"/>
        <v>0</v>
      </c>
      <c r="T668" s="44" t="s">
        <v>19</v>
      </c>
      <c r="U668" s="44" t="s">
        <v>20</v>
      </c>
      <c r="V668" s="43" t="s">
        <v>21</v>
      </c>
      <c r="W668">
        <f>VLOOKUP(C668,'Data_HS t5'!$B$2:$K$412,10,TRUE)</f>
        <v>0</v>
      </c>
      <c r="X668" t="str">
        <f>VLOOKUP(C668,'Data_HS t9'!$B$2:$K$454,10,TRUE)</f>
        <v>Phường Phúc Lợi, Quận Long Biên, Thành phố Hà Nội</v>
      </c>
    </row>
    <row r="669" spans="1:25">
      <c r="A669" s="2">
        <v>659</v>
      </c>
      <c r="B669" s="119">
        <v>202510</v>
      </c>
      <c r="C669" s="44" t="s">
        <v>1326</v>
      </c>
      <c r="D669" s="44" t="s">
        <v>1327</v>
      </c>
      <c r="E669" s="44" t="s">
        <v>1307</v>
      </c>
      <c r="F669" s="44">
        <v>8</v>
      </c>
      <c r="G669" s="44">
        <v>0</v>
      </c>
      <c r="H669" s="44">
        <v>0</v>
      </c>
      <c r="I669" s="44">
        <v>0</v>
      </c>
      <c r="J669" s="44">
        <v>0</v>
      </c>
      <c r="K669" s="123">
        <v>100000</v>
      </c>
      <c r="L669" s="124">
        <f t="shared" si="87"/>
        <v>8</v>
      </c>
      <c r="M669" s="45">
        <f t="shared" si="90"/>
        <v>800000</v>
      </c>
      <c r="N669" s="45">
        <f>M669</f>
        <v>800000</v>
      </c>
      <c r="O669" s="45"/>
      <c r="P669" s="45" t="s">
        <v>7101</v>
      </c>
      <c r="Q669" s="45"/>
      <c r="R669" s="45"/>
      <c r="S669" s="45">
        <f t="shared" si="88"/>
        <v>0</v>
      </c>
      <c r="T669" s="44" t="s">
        <v>19</v>
      </c>
      <c r="U669" s="44" t="s">
        <v>20</v>
      </c>
      <c r="V669" s="43" t="s">
        <v>21</v>
      </c>
      <c r="W669">
        <f>VLOOKUP(C669,'Data_HS t5'!$B$2:$K$412,10,TRUE)</f>
        <v>0</v>
      </c>
      <c r="X669" t="str">
        <f>VLOOKUP(C669,'Data_HS t9'!$B$2:$K$454,10,TRUE)</f>
        <v>Phường Phúc Lợi, Quận Long Biên, Thành phố Hà Nội</v>
      </c>
    </row>
    <row r="670" spans="1:25">
      <c r="A670" s="2">
        <v>660</v>
      </c>
      <c r="B670" s="119">
        <v>202510</v>
      </c>
      <c r="C670" s="44" t="s">
        <v>371</v>
      </c>
      <c r="D670" s="44" t="s">
        <v>1328</v>
      </c>
      <c r="E670" s="44" t="s">
        <v>1307</v>
      </c>
      <c r="F670" s="44">
        <v>0</v>
      </c>
      <c r="G670" s="44">
        <v>0</v>
      </c>
      <c r="H670" s="44">
        <v>7</v>
      </c>
      <c r="I670" s="44">
        <v>0</v>
      </c>
      <c r="J670" s="44">
        <v>0</v>
      </c>
      <c r="K670" s="123">
        <v>100000</v>
      </c>
      <c r="L670" s="124">
        <f t="shared" si="87"/>
        <v>7</v>
      </c>
      <c r="M670" s="45">
        <f t="shared" si="90"/>
        <v>700000</v>
      </c>
      <c r="N670" s="45">
        <f t="shared" ref="N670:N676" si="94">M670</f>
        <v>700000</v>
      </c>
      <c r="O670" s="45"/>
      <c r="P670" s="45" t="s">
        <v>2751</v>
      </c>
      <c r="Q670" s="45"/>
      <c r="R670" s="45"/>
      <c r="S670" s="45">
        <f t="shared" si="88"/>
        <v>0</v>
      </c>
      <c r="T670" s="44" t="s">
        <v>19</v>
      </c>
      <c r="U670" s="44" t="s">
        <v>20</v>
      </c>
      <c r="V670" s="43" t="s">
        <v>21</v>
      </c>
      <c r="W670" t="str">
        <f>VLOOKUP(C670,'Data_HS t5'!$B$2:$K$412,10,TRUE)</f>
        <v>Tổ dân phố 21, Phường Phúc Xá, Quận Ba Đình, Thành phố Hà Nội</v>
      </c>
      <c r="X670" t="str">
        <f>VLOOKUP(C670,'Data_HS t9'!$B$2:$K$454,10,TRUE)</f>
        <v>Tổ dân phố số 11, Phường Sài Đồng, Quận Long Biên, Thành phố Hà Nội</v>
      </c>
    </row>
    <row r="671" spans="1:25">
      <c r="A671" s="2">
        <v>661</v>
      </c>
      <c r="B671" s="119">
        <v>202510</v>
      </c>
      <c r="C671" s="44" t="s">
        <v>285</v>
      </c>
      <c r="D671" s="44" t="s">
        <v>1329</v>
      </c>
      <c r="E671" s="44" t="s">
        <v>1307</v>
      </c>
      <c r="F671" s="44">
        <v>8</v>
      </c>
      <c r="G671" s="44">
        <v>0</v>
      </c>
      <c r="H671" s="44">
        <v>0</v>
      </c>
      <c r="I671" s="44">
        <v>0</v>
      </c>
      <c r="J671" s="44">
        <v>0</v>
      </c>
      <c r="K671" s="123">
        <v>100000</v>
      </c>
      <c r="L671" s="124">
        <f t="shared" si="87"/>
        <v>8</v>
      </c>
      <c r="M671" s="45">
        <f t="shared" si="90"/>
        <v>800000</v>
      </c>
      <c r="N671" s="45">
        <f t="shared" si="94"/>
        <v>800000</v>
      </c>
      <c r="O671" s="45"/>
      <c r="P671" s="45" t="s">
        <v>6317</v>
      </c>
      <c r="Q671" s="45"/>
      <c r="R671" s="45"/>
      <c r="S671" s="45">
        <f t="shared" si="88"/>
        <v>0</v>
      </c>
      <c r="T671" s="44" t="s">
        <v>19</v>
      </c>
      <c r="U671" s="44" t="s">
        <v>20</v>
      </c>
      <c r="V671" s="43" t="s">
        <v>21</v>
      </c>
      <c r="W671" t="str">
        <f>VLOOKUP(C671,'Data_HS t5'!$B$2:$K$412,10,TRUE)</f>
        <v>Tổ dân phố số 4, Phường Thạch Bàn, Quận Long Biên, Thành phố Hà Nội</v>
      </c>
      <c r="X671" t="str">
        <f>VLOOKUP(C671,'Data_HS t9'!$B$2:$K$454,10,TRUE)</f>
        <v>Tổ 3, Thạch Bàn, LB</v>
      </c>
    </row>
    <row r="672" spans="1:25">
      <c r="A672" s="2">
        <v>662</v>
      </c>
      <c r="B672" s="119">
        <v>202510</v>
      </c>
      <c r="C672" s="44" t="s">
        <v>1330</v>
      </c>
      <c r="D672" s="44" t="s">
        <v>1331</v>
      </c>
      <c r="E672" s="44" t="s">
        <v>1307</v>
      </c>
      <c r="F672" s="44">
        <v>8</v>
      </c>
      <c r="G672" s="44">
        <v>0</v>
      </c>
      <c r="H672" s="44">
        <v>0</v>
      </c>
      <c r="I672" s="44">
        <v>0</v>
      </c>
      <c r="J672" s="44">
        <v>0</v>
      </c>
      <c r="K672" s="123">
        <v>100000</v>
      </c>
      <c r="L672" s="124">
        <f t="shared" si="87"/>
        <v>8</v>
      </c>
      <c r="M672" s="45">
        <f t="shared" si="90"/>
        <v>800000</v>
      </c>
      <c r="N672" s="45">
        <f t="shared" si="94"/>
        <v>800000</v>
      </c>
      <c r="O672" s="45"/>
      <c r="P672" s="45" t="s">
        <v>6735</v>
      </c>
      <c r="Q672" s="45"/>
      <c r="R672" s="45"/>
      <c r="S672" s="45">
        <f t="shared" si="88"/>
        <v>0</v>
      </c>
      <c r="T672" s="44" t="s">
        <v>19</v>
      </c>
      <c r="U672" s="44" t="s">
        <v>20</v>
      </c>
      <c r="V672" s="43" t="s">
        <v>21</v>
      </c>
      <c r="W672" t="str">
        <f>VLOOKUP(C672,'Data_HS t5'!$B$2:$K$412,10,TRUE)</f>
        <v>Tổ dân phố 21, Phường Phúc Xá, Quận Ba Đình, Thành phố Hà Nội</v>
      </c>
      <c r="X672" t="str">
        <f>VLOOKUP(C672,'Data_HS t9'!$B$2:$K$454,10,TRUE)</f>
        <v>Tổ dân phố số 11, Phường Sài Đồng, Quận Long Biên, Thành phố Hà Nội</v>
      </c>
    </row>
    <row r="673" spans="1:25">
      <c r="A673" s="2">
        <v>663</v>
      </c>
      <c r="B673" s="119">
        <v>202510</v>
      </c>
      <c r="C673" s="44" t="s">
        <v>4450</v>
      </c>
      <c r="D673" s="44" t="s">
        <v>1332</v>
      </c>
      <c r="E673" s="44" t="s">
        <v>1307</v>
      </c>
      <c r="F673" s="44">
        <v>4</v>
      </c>
      <c r="G673" s="44">
        <v>0</v>
      </c>
      <c r="H673" s="44">
        <v>0</v>
      </c>
      <c r="I673" s="44">
        <v>0</v>
      </c>
      <c r="J673" s="44">
        <v>0</v>
      </c>
      <c r="K673" s="123">
        <v>100000</v>
      </c>
      <c r="L673" s="124">
        <f t="shared" si="87"/>
        <v>4</v>
      </c>
      <c r="M673" s="45">
        <f t="shared" si="90"/>
        <v>400000</v>
      </c>
      <c r="N673" s="45">
        <f t="shared" si="94"/>
        <v>400000</v>
      </c>
      <c r="O673" s="45"/>
      <c r="P673" s="45" t="s">
        <v>6078</v>
      </c>
      <c r="Q673" s="45"/>
      <c r="R673" s="45"/>
      <c r="S673" s="45">
        <f t="shared" si="88"/>
        <v>0</v>
      </c>
      <c r="T673" s="44" t="s">
        <v>19</v>
      </c>
      <c r="U673" s="44" t="s">
        <v>20</v>
      </c>
      <c r="V673" s="43" t="s">
        <v>21</v>
      </c>
      <c r="W673" t="str">
        <f>VLOOKUP(C673,'Data_HS t5'!$B$2:$K$412,10,TRUE)</f>
        <v>Tổ dân phố 21, Phường Phúc Xá, Quận Ba Đình, Thành phố Hà Nội</v>
      </c>
      <c r="X673" t="str">
        <f>VLOOKUP(C673,'Data_HS t9'!$B$2:$K$454,10,TRUE)</f>
        <v>Phường Thạch Bàn, Quận Long Biên, Thành phố Hà Nội</v>
      </c>
    </row>
    <row r="674" spans="1:25">
      <c r="A674" s="2">
        <v>664</v>
      </c>
      <c r="B674" s="119">
        <v>202510</v>
      </c>
      <c r="C674" s="44" t="s">
        <v>1333</v>
      </c>
      <c r="D674" s="44" t="s">
        <v>1334</v>
      </c>
      <c r="E674" s="44" t="s">
        <v>1307</v>
      </c>
      <c r="F674" s="44">
        <v>0</v>
      </c>
      <c r="G674" s="44">
        <v>0</v>
      </c>
      <c r="H674" s="44">
        <v>7</v>
      </c>
      <c r="I674" s="44">
        <v>0</v>
      </c>
      <c r="J674" s="44">
        <v>9</v>
      </c>
      <c r="K674" s="123">
        <v>100000</v>
      </c>
      <c r="L674" s="124">
        <f t="shared" si="87"/>
        <v>16</v>
      </c>
      <c r="M674" s="45">
        <f t="shared" si="90"/>
        <v>1600000</v>
      </c>
      <c r="N674" s="45">
        <f t="shared" si="94"/>
        <v>1600000</v>
      </c>
      <c r="O674" s="45"/>
      <c r="P674" s="45" t="s">
        <v>2746</v>
      </c>
      <c r="Q674" s="45"/>
      <c r="R674" s="45"/>
      <c r="S674" s="45">
        <f t="shared" si="88"/>
        <v>0</v>
      </c>
      <c r="T674" s="44" t="s">
        <v>19</v>
      </c>
      <c r="U674" s="44" t="s">
        <v>20</v>
      </c>
      <c r="V674" s="43" t="s">
        <v>21</v>
      </c>
      <c r="W674" t="str">
        <f>VLOOKUP(C674,'Data_HS t5'!$B$2:$K$412,10,TRUE)</f>
        <v>Tổ dân phố số 4, Phường Thạch Bàn, Quận Long Biên, Thành phố Hà Nội</v>
      </c>
      <c r="X674" t="str">
        <f>VLOOKUP(C674,'Data_HS t9'!$B$2:$K$454,10,TRUE)</f>
        <v>Tổ 3, Thạch Bàn, LB</v>
      </c>
    </row>
    <row r="675" spans="1:25">
      <c r="A675" s="2">
        <v>665</v>
      </c>
      <c r="B675" s="119">
        <v>202510</v>
      </c>
      <c r="C675" s="44" t="s">
        <v>1335</v>
      </c>
      <c r="D675" s="44" t="s">
        <v>1336</v>
      </c>
      <c r="E675" s="44" t="s">
        <v>1307</v>
      </c>
      <c r="F675" s="44">
        <v>8</v>
      </c>
      <c r="G675" s="44">
        <v>0</v>
      </c>
      <c r="H675" s="44">
        <v>7</v>
      </c>
      <c r="I675" s="44">
        <v>0</v>
      </c>
      <c r="J675" s="44">
        <v>9</v>
      </c>
      <c r="K675" s="123">
        <v>100000</v>
      </c>
      <c r="L675" s="124">
        <f t="shared" si="87"/>
        <v>24</v>
      </c>
      <c r="M675" s="45">
        <f t="shared" si="90"/>
        <v>2400000</v>
      </c>
      <c r="N675" s="45">
        <f t="shared" si="94"/>
        <v>2400000</v>
      </c>
      <c r="O675" s="45"/>
      <c r="P675" s="45" t="s">
        <v>2091</v>
      </c>
      <c r="Q675" s="45"/>
      <c r="R675" s="45"/>
      <c r="S675" s="45">
        <f t="shared" si="88"/>
        <v>0</v>
      </c>
      <c r="T675" s="44" t="s">
        <v>19</v>
      </c>
      <c r="U675" s="44" t="s">
        <v>20</v>
      </c>
      <c r="V675" s="43" t="s">
        <v>21</v>
      </c>
      <c r="W675" t="e">
        <f>VLOOKUP(C675,'Data_HS t5'!$B$2:$K$412,10,TRUE)</f>
        <v>#N/A</v>
      </c>
      <c r="X675" t="str">
        <f>VLOOKUP(C675,'Data_HS t9'!$B$2:$K$454,10,TRUE)</f>
        <v>Tổ dân phố số 36, Phường Ngọc Thụy, Quận Long Biên, Thành phố Hà Nội</v>
      </c>
    </row>
    <row r="676" spans="1:25">
      <c r="A676" s="2">
        <v>666</v>
      </c>
      <c r="B676" s="119">
        <v>202510</v>
      </c>
      <c r="C676" s="44" t="s">
        <v>1337</v>
      </c>
      <c r="D676" s="44" t="s">
        <v>1338</v>
      </c>
      <c r="E676" s="44" t="s">
        <v>1307</v>
      </c>
      <c r="F676" s="44">
        <v>0</v>
      </c>
      <c r="G676" s="44">
        <v>0</v>
      </c>
      <c r="H676" s="44">
        <v>7</v>
      </c>
      <c r="I676" s="44">
        <v>0</v>
      </c>
      <c r="J676" s="44">
        <v>0</v>
      </c>
      <c r="K676" s="123">
        <v>100000</v>
      </c>
      <c r="L676" s="124">
        <f t="shared" si="87"/>
        <v>7</v>
      </c>
      <c r="M676" s="45">
        <f t="shared" si="90"/>
        <v>700000</v>
      </c>
      <c r="N676" s="45">
        <f t="shared" si="94"/>
        <v>700000</v>
      </c>
      <c r="O676" s="45"/>
      <c r="P676" s="45" t="s">
        <v>2747</v>
      </c>
      <c r="Q676" s="45"/>
      <c r="R676" s="45"/>
      <c r="S676" s="45">
        <f t="shared" si="88"/>
        <v>0</v>
      </c>
      <c r="T676" s="44" t="s">
        <v>19</v>
      </c>
      <c r="U676" s="44" t="s">
        <v>20</v>
      </c>
      <c r="V676" s="43" t="s">
        <v>21</v>
      </c>
      <c r="W676" t="e">
        <f>VLOOKUP(C676,'Data_HS t5'!$B$2:$K$412,10,TRUE)</f>
        <v>#N/A</v>
      </c>
      <c r="X676" t="str">
        <f>VLOOKUP(C676,'Data_HS t9'!$B$2:$K$454,10,TRUE)</f>
        <v>Tổ dân phố số 36, Phường Ngọc Thụy, Quận Long Biên, Thành phố Hà Nội</v>
      </c>
    </row>
    <row r="677" spans="1:25">
      <c r="A677" s="2">
        <v>667</v>
      </c>
      <c r="B677" s="119">
        <v>202510</v>
      </c>
      <c r="C677" s="44" t="s">
        <v>1339</v>
      </c>
      <c r="D677" s="44" t="s">
        <v>1340</v>
      </c>
      <c r="E677" s="44" t="s">
        <v>1307</v>
      </c>
      <c r="F677" s="44">
        <v>8</v>
      </c>
      <c r="G677" s="44">
        <v>0</v>
      </c>
      <c r="H677" s="44">
        <v>7</v>
      </c>
      <c r="I677" s="44">
        <v>0</v>
      </c>
      <c r="J677" s="44">
        <v>9</v>
      </c>
      <c r="K677" s="123">
        <v>100000</v>
      </c>
      <c r="L677" s="124">
        <f t="shared" si="87"/>
        <v>24</v>
      </c>
      <c r="M677" s="45">
        <f t="shared" si="90"/>
        <v>2400000</v>
      </c>
      <c r="N677" s="45">
        <f t="shared" ref="N677:N687" si="95">M677</f>
        <v>2400000</v>
      </c>
      <c r="O677" s="45"/>
      <c r="P677" s="45" t="s">
        <v>7112</v>
      </c>
      <c r="Q677" s="45"/>
      <c r="R677" s="45"/>
      <c r="S677" s="45">
        <f t="shared" si="88"/>
        <v>0</v>
      </c>
      <c r="T677" s="44" t="s">
        <v>19</v>
      </c>
      <c r="U677" s="44" t="s">
        <v>20</v>
      </c>
      <c r="V677" s="43" t="s">
        <v>21</v>
      </c>
      <c r="W677" t="str">
        <f>VLOOKUP(C677,'Data_HS t5'!$B$2:$K$412,10,TRUE)</f>
        <v>Xã Đa Tốn, Huyện Gia Lâm, Thành phố Hà Nội</v>
      </c>
      <c r="X677" t="str">
        <f>VLOOKUP(C677,'Data_HS t9'!$B$2:$K$454,10,TRUE)</f>
        <v>5/366/36/4, Ngọc Lâm, LB</v>
      </c>
    </row>
    <row r="678" spans="1:25">
      <c r="A678" s="2">
        <v>668</v>
      </c>
      <c r="B678" s="119">
        <v>202510</v>
      </c>
      <c r="C678" s="44" t="s">
        <v>1341</v>
      </c>
      <c r="D678" s="44" t="s">
        <v>1342</v>
      </c>
      <c r="E678" s="44" t="s">
        <v>1307</v>
      </c>
      <c r="F678" s="44">
        <v>0</v>
      </c>
      <c r="G678" s="44">
        <v>0</v>
      </c>
      <c r="H678" s="44">
        <v>7</v>
      </c>
      <c r="I678" s="44">
        <v>0</v>
      </c>
      <c r="J678" s="44">
        <v>0</v>
      </c>
      <c r="K678" s="123">
        <v>100000</v>
      </c>
      <c r="L678" s="124">
        <f t="shared" si="87"/>
        <v>7</v>
      </c>
      <c r="M678" s="45">
        <f t="shared" si="90"/>
        <v>700000</v>
      </c>
      <c r="N678" s="45">
        <f t="shared" si="95"/>
        <v>700000</v>
      </c>
      <c r="O678" s="45"/>
      <c r="P678" s="45" t="s">
        <v>2740</v>
      </c>
      <c r="Q678" s="45"/>
      <c r="R678" s="45"/>
      <c r="S678" s="45">
        <f t="shared" si="88"/>
        <v>0</v>
      </c>
      <c r="T678" s="44" t="s">
        <v>19</v>
      </c>
      <c r="U678" s="44" t="s">
        <v>20</v>
      </c>
      <c r="V678" s="43" t="s">
        <v>21</v>
      </c>
      <c r="W678" t="str">
        <f>VLOOKUP(C678,'Data_HS t5'!$B$2:$K$412,10,TRUE)</f>
        <v>Phường Thạch Bàn, Quận Long Biên, Thành phố Hà Nội</v>
      </c>
      <c r="X678" t="str">
        <f>VLOOKUP(C678,'Data_HS t9'!$B$2:$K$454,10,TRUE)</f>
        <v>Tổ dân phố số 36, Phường Ngọc Thụy, Quận Long Biên, Thành phố Hà Nội</v>
      </c>
    </row>
    <row r="679" spans="1:25">
      <c r="A679" s="2">
        <v>669</v>
      </c>
      <c r="B679" s="119">
        <v>202510</v>
      </c>
      <c r="C679" s="44" t="s">
        <v>1343</v>
      </c>
      <c r="D679" s="44" t="s">
        <v>1344</v>
      </c>
      <c r="E679" s="44" t="s">
        <v>1307</v>
      </c>
      <c r="F679" s="44">
        <v>8</v>
      </c>
      <c r="G679" s="44">
        <v>0</v>
      </c>
      <c r="H679" s="44">
        <v>0</v>
      </c>
      <c r="I679" s="44">
        <v>0</v>
      </c>
      <c r="J679" s="44">
        <v>9</v>
      </c>
      <c r="K679" s="123">
        <v>100000</v>
      </c>
      <c r="L679" s="124">
        <f t="shared" si="87"/>
        <v>17</v>
      </c>
      <c r="M679" s="45">
        <f t="shared" si="90"/>
        <v>1700000</v>
      </c>
      <c r="N679" s="45">
        <f t="shared" si="95"/>
        <v>1700000</v>
      </c>
      <c r="O679" s="45"/>
      <c r="P679" s="45" t="s">
        <v>3104</v>
      </c>
      <c r="Q679" s="45"/>
      <c r="R679" s="45"/>
      <c r="S679" s="45">
        <f t="shared" si="88"/>
        <v>0</v>
      </c>
      <c r="T679" s="44" t="s">
        <v>19</v>
      </c>
      <c r="U679" s="44" t="s">
        <v>20</v>
      </c>
      <c r="V679" s="43" t="s">
        <v>21</v>
      </c>
      <c r="W679" t="str">
        <f>VLOOKUP(C679,'Data_HS t5'!$B$2:$K$412,10,TRUE)</f>
        <v>Phường Thạch Bàn, Quận Long Biên, Thành phố Hà Nội</v>
      </c>
      <c r="X679" t="str">
        <f>VLOOKUP(C679,'Data_HS t9'!$B$2:$K$454,10,TRUE)</f>
        <v>Tổ dân phố số 36, Phường Ngọc Thụy, Quận Long Biên, Thành phố Hà Nội</v>
      </c>
    </row>
    <row r="680" spans="1:25">
      <c r="A680" s="2">
        <v>670</v>
      </c>
      <c r="B680" s="119">
        <v>202510</v>
      </c>
      <c r="C680" s="44" t="s">
        <v>1345</v>
      </c>
      <c r="D680" s="44" t="s">
        <v>1346</v>
      </c>
      <c r="E680" s="44" t="s">
        <v>1307</v>
      </c>
      <c r="F680" s="44">
        <v>8</v>
      </c>
      <c r="G680" s="44">
        <v>0</v>
      </c>
      <c r="H680" s="44">
        <v>0</v>
      </c>
      <c r="I680" s="44">
        <v>0</v>
      </c>
      <c r="J680" s="44">
        <v>9</v>
      </c>
      <c r="K680" s="123">
        <v>100000</v>
      </c>
      <c r="L680" s="124">
        <f t="shared" si="87"/>
        <v>17</v>
      </c>
      <c r="M680" s="45">
        <f t="shared" si="90"/>
        <v>1700000</v>
      </c>
      <c r="N680" s="45">
        <f t="shared" si="95"/>
        <v>1700000</v>
      </c>
      <c r="O680" s="45"/>
      <c r="P680" s="45" t="s">
        <v>7064</v>
      </c>
      <c r="Q680" s="45"/>
      <c r="R680" s="45"/>
      <c r="S680" s="45">
        <f t="shared" si="88"/>
        <v>0</v>
      </c>
      <c r="T680" s="44" t="s">
        <v>19</v>
      </c>
      <c r="U680" s="44" t="s">
        <v>20</v>
      </c>
      <c r="V680" s="43" t="s">
        <v>21</v>
      </c>
      <c r="W680" t="str">
        <f>VLOOKUP(C680,'Data_HS t5'!$B$2:$K$412,10,TRUE)</f>
        <v>Phường Long Biên, Quận Long Biên, Thành phố Hà Nội</v>
      </c>
      <c r="X680" t="str">
        <f>VLOOKUP(C680,'Data_HS t9'!$B$2:$K$454,10,TRUE)</f>
        <v>P3r4 cc Happy Star No10, Giang Biên, LB</v>
      </c>
    </row>
    <row r="681" spans="1:25">
      <c r="A681" s="2">
        <v>671</v>
      </c>
      <c r="B681" s="119">
        <v>202510</v>
      </c>
      <c r="C681" s="44" t="s">
        <v>1347</v>
      </c>
      <c r="D681" s="44" t="s">
        <v>1348</v>
      </c>
      <c r="E681" s="44" t="s">
        <v>1349</v>
      </c>
      <c r="F681" s="44">
        <v>8</v>
      </c>
      <c r="G681" s="44">
        <v>0</v>
      </c>
      <c r="H681" s="44">
        <v>5</v>
      </c>
      <c r="I681" s="44">
        <v>9</v>
      </c>
      <c r="J681" s="44">
        <v>0</v>
      </c>
      <c r="K681" s="123">
        <v>100000</v>
      </c>
      <c r="L681" s="124">
        <f t="shared" si="87"/>
        <v>22</v>
      </c>
      <c r="M681" s="45">
        <f t="shared" si="90"/>
        <v>2200000</v>
      </c>
      <c r="N681" s="45">
        <f t="shared" si="95"/>
        <v>2200000</v>
      </c>
      <c r="O681" s="45" t="s">
        <v>1615</v>
      </c>
      <c r="P681" s="45"/>
      <c r="Q681" s="45"/>
      <c r="R681" s="45"/>
      <c r="S681" s="45">
        <f t="shared" si="88"/>
        <v>0</v>
      </c>
      <c r="T681" s="44" t="s">
        <v>720</v>
      </c>
      <c r="U681" s="44" t="s">
        <v>721</v>
      </c>
      <c r="V681" s="43" t="s">
        <v>21</v>
      </c>
      <c r="W681" t="str">
        <f>VLOOKUP(C681,'Data_HS t5'!$B$2:$K$412,10,FALSE)</f>
        <v>Tổ dân phố số 23, Phường Bồ Đề, Quận Long Biên, Thành phố Hà Nội</v>
      </c>
      <c r="X681" t="str">
        <f>VLOOKUP(C681,'Data_HS t9'!$B$2:$K$454,10,FALSE)</f>
        <v>Tổ dân phố số 23, Phường Bồ Đề, Quận Long Biên, Thành phố Hà Nội</v>
      </c>
      <c r="Y681" t="s">
        <v>3151</v>
      </c>
    </row>
    <row r="682" spans="1:25">
      <c r="A682" s="2">
        <v>672</v>
      </c>
      <c r="B682" s="119">
        <v>202510</v>
      </c>
      <c r="C682" s="44" t="s">
        <v>1350</v>
      </c>
      <c r="D682" s="44" t="s">
        <v>1351</v>
      </c>
      <c r="E682" s="44" t="s">
        <v>1349</v>
      </c>
      <c r="F682" s="44">
        <v>4</v>
      </c>
      <c r="G682" s="44">
        <v>0</v>
      </c>
      <c r="H682" s="44">
        <v>2.5</v>
      </c>
      <c r="I682" s="44">
        <v>4.5</v>
      </c>
      <c r="J682" s="44">
        <v>0</v>
      </c>
      <c r="K682" s="123">
        <v>100000</v>
      </c>
      <c r="L682" s="124">
        <f t="shared" si="87"/>
        <v>11</v>
      </c>
      <c r="M682" s="45">
        <f t="shared" si="90"/>
        <v>1100000</v>
      </c>
      <c r="N682" s="45">
        <f t="shared" si="95"/>
        <v>1100000</v>
      </c>
      <c r="O682" s="45" t="s">
        <v>1796</v>
      </c>
      <c r="P682" s="45"/>
      <c r="Q682" s="45"/>
      <c r="R682" s="45"/>
      <c r="S682" s="45">
        <f t="shared" si="88"/>
        <v>0</v>
      </c>
      <c r="T682" s="44" t="s">
        <v>720</v>
      </c>
      <c r="U682" s="44" t="s">
        <v>721</v>
      </c>
      <c r="V682" s="43" t="s">
        <v>21</v>
      </c>
      <c r="W682" t="str">
        <f>VLOOKUP(C682,'Data_HS t5'!$B$2:$K$412,10,FALSE)</f>
        <v>Phường Thạch Bàn, Quận Long Biên, Thành phố Hà Nội</v>
      </c>
      <c r="X682" t="str">
        <f>VLOOKUP(C682,'Data_HS t9'!$B$2:$K$454,10,FALSE)</f>
        <v>Phường Thạch Bàn, Quận Long Biên, Thành phố Hà Nội</v>
      </c>
      <c r="Y682" t="s">
        <v>3151</v>
      </c>
    </row>
    <row r="683" spans="1:25">
      <c r="A683" s="2">
        <v>673</v>
      </c>
      <c r="B683" s="119">
        <v>202510</v>
      </c>
      <c r="C683" s="44" t="s">
        <v>1352</v>
      </c>
      <c r="D683" s="44" t="s">
        <v>1353</v>
      </c>
      <c r="E683" s="44" t="s">
        <v>1349</v>
      </c>
      <c r="F683" s="44">
        <v>8</v>
      </c>
      <c r="G683" s="44">
        <v>0</v>
      </c>
      <c r="H683" s="44">
        <v>5</v>
      </c>
      <c r="I683" s="44">
        <v>9</v>
      </c>
      <c r="J683" s="44">
        <v>0</v>
      </c>
      <c r="K683" s="123">
        <v>100000</v>
      </c>
      <c r="L683" s="124">
        <f t="shared" si="87"/>
        <v>22</v>
      </c>
      <c r="M683" s="45">
        <f t="shared" si="90"/>
        <v>2200000</v>
      </c>
      <c r="N683" s="45">
        <f t="shared" si="95"/>
        <v>2200000</v>
      </c>
      <c r="O683" s="45" t="s">
        <v>6111</v>
      </c>
      <c r="P683" s="45"/>
      <c r="Q683" s="45"/>
      <c r="R683" s="45"/>
      <c r="S683" s="45">
        <f t="shared" si="88"/>
        <v>0</v>
      </c>
      <c r="T683" s="44" t="s">
        <v>720</v>
      </c>
      <c r="U683" s="44" t="s">
        <v>721</v>
      </c>
      <c r="V683" s="43" t="s">
        <v>21</v>
      </c>
      <c r="W683" t="str">
        <f>VLOOKUP(C683,'Data_HS t5'!$B$2:$K$412,10,FALSE)</f>
        <v>Phường Thạch Bàn, Quận Long Biên, Thành phố Hà Nội</v>
      </c>
      <c r="X683" t="str">
        <f>VLOOKUP(C683,'Data_HS t9'!$B$2:$K$454,10,FALSE)</f>
        <v>Phường Thạch Bàn, Quận Long Biên, Thành phố Hà Nội</v>
      </c>
    </row>
    <row r="684" spans="1:25">
      <c r="A684" s="2">
        <v>674</v>
      </c>
      <c r="B684" s="119">
        <v>202510</v>
      </c>
      <c r="C684" s="44" t="s">
        <v>1354</v>
      </c>
      <c r="D684" s="44" t="s">
        <v>1355</v>
      </c>
      <c r="E684" s="44" t="s">
        <v>1349</v>
      </c>
      <c r="F684" s="44">
        <v>0</v>
      </c>
      <c r="G684" s="44">
        <v>0</v>
      </c>
      <c r="H684" s="44">
        <v>5</v>
      </c>
      <c r="I684" s="44">
        <v>9</v>
      </c>
      <c r="J684" s="44">
        <v>0</v>
      </c>
      <c r="K684" s="123">
        <v>100000</v>
      </c>
      <c r="L684" s="124">
        <f t="shared" si="87"/>
        <v>14</v>
      </c>
      <c r="M684" s="45">
        <f t="shared" si="90"/>
        <v>1400000</v>
      </c>
      <c r="N684" s="45">
        <f t="shared" si="95"/>
        <v>1400000</v>
      </c>
      <c r="O684" s="45"/>
      <c r="P684" s="45"/>
      <c r="Q684" s="45" t="s">
        <v>3150</v>
      </c>
      <c r="R684" s="45">
        <v>20000</v>
      </c>
      <c r="S684" s="45">
        <f t="shared" si="88"/>
        <v>0</v>
      </c>
      <c r="T684" s="44" t="s">
        <v>720</v>
      </c>
      <c r="U684" s="44" t="s">
        <v>721</v>
      </c>
      <c r="V684" s="43" t="s">
        <v>21</v>
      </c>
      <c r="W684" t="str">
        <f>VLOOKUP(C684,'Data_HS t5'!$B$2:$K$412,10,FALSE)</f>
        <v>Tổ dân phố số 7, Phường Long Biên, Quận Long Biên, Thành phố Hà Nội</v>
      </c>
      <c r="X684" t="str">
        <f>VLOOKUP(C684,'Data_HS t9'!$B$2:$K$454,10,FALSE)</f>
        <v>Tổ dân phố số 7, Phường Long Biên, Quận Long Biên, Thành phố Hà Nội</v>
      </c>
    </row>
    <row r="685" spans="1:25">
      <c r="A685" s="2">
        <v>675</v>
      </c>
      <c r="B685" s="119">
        <v>202510</v>
      </c>
      <c r="C685" s="44" t="s">
        <v>1356</v>
      </c>
      <c r="D685" s="44" t="s">
        <v>1357</v>
      </c>
      <c r="E685" s="44" t="s">
        <v>1349</v>
      </c>
      <c r="F685" s="44">
        <v>8</v>
      </c>
      <c r="G685" s="44">
        <v>0</v>
      </c>
      <c r="H685" s="44">
        <v>5</v>
      </c>
      <c r="I685" s="44">
        <v>9</v>
      </c>
      <c r="J685" s="44">
        <v>0</v>
      </c>
      <c r="K685" s="123">
        <v>100000</v>
      </c>
      <c r="L685" s="124">
        <f t="shared" si="87"/>
        <v>22</v>
      </c>
      <c r="M685" s="45">
        <f t="shared" si="90"/>
        <v>2200000</v>
      </c>
      <c r="N685" s="45">
        <f t="shared" si="95"/>
        <v>2200000</v>
      </c>
      <c r="O685" s="63" t="s">
        <v>6090</v>
      </c>
      <c r="P685" s="171"/>
      <c r="Q685" s="45"/>
      <c r="R685" s="45"/>
      <c r="S685" s="45">
        <f t="shared" si="88"/>
        <v>0</v>
      </c>
      <c r="T685" s="44" t="s">
        <v>720</v>
      </c>
      <c r="U685" s="44" t="s">
        <v>721</v>
      </c>
      <c r="V685" s="43" t="s">
        <v>21</v>
      </c>
      <c r="W685" t="str">
        <f>VLOOKUP(C685,'Data_HS t5'!$B$2:$K$412,10,FALSE)</f>
        <v>Phường Ngọc Thụy, Quận Long Biên, Thành phố Hà Nội</v>
      </c>
      <c r="X685" t="str">
        <f>VLOOKUP(C685,'Data_HS t9'!$B$2:$K$454,10,FALSE)</f>
        <v>Phường Ngọc Thụy, Quận Long Biên, Thành phố Hà Nội</v>
      </c>
      <c r="Y685" t="s">
        <v>3151</v>
      </c>
    </row>
    <row r="686" spans="1:25">
      <c r="A686" s="2">
        <v>676</v>
      </c>
      <c r="B686" s="119">
        <v>202510</v>
      </c>
      <c r="C686" s="44" t="s">
        <v>1358</v>
      </c>
      <c r="D686" s="44" t="s">
        <v>1359</v>
      </c>
      <c r="E686" s="44" t="s">
        <v>1349</v>
      </c>
      <c r="F686" s="44">
        <v>8</v>
      </c>
      <c r="G686" s="44">
        <v>0</v>
      </c>
      <c r="H686" s="44">
        <v>5</v>
      </c>
      <c r="I686" s="44">
        <v>9</v>
      </c>
      <c r="J686" s="44">
        <v>0</v>
      </c>
      <c r="K686" s="123">
        <v>100000</v>
      </c>
      <c r="L686" s="124">
        <f t="shared" si="87"/>
        <v>22</v>
      </c>
      <c r="M686" s="45">
        <f t="shared" si="90"/>
        <v>2200000</v>
      </c>
      <c r="N686" s="45">
        <f t="shared" si="95"/>
        <v>2200000</v>
      </c>
      <c r="O686" s="45" t="s">
        <v>1640</v>
      </c>
      <c r="P686" s="45"/>
      <c r="Q686" s="45"/>
      <c r="R686" s="45"/>
      <c r="S686" s="45">
        <f t="shared" si="88"/>
        <v>0</v>
      </c>
      <c r="T686" s="44" t="s">
        <v>720</v>
      </c>
      <c r="U686" s="44" t="s">
        <v>721</v>
      </c>
      <c r="V686" s="43" t="s">
        <v>21</v>
      </c>
      <c r="W686" t="str">
        <f>VLOOKUP(C686,'Data_HS t5'!$B$2:$K$412,10,FALSE)</f>
        <v>Phường Chương Dương, Quận Hoàn Kiếm, Thành phố Hà Nội</v>
      </c>
      <c r="X686" t="str">
        <f>VLOOKUP(C686,'Data_HS t9'!$B$2:$K$454,10,FALSE)</f>
        <v>Phường Chương Dương, Quận Hoàn Kiếm, Thành phố Hà Nội</v>
      </c>
      <c r="Y686" t="s">
        <v>3151</v>
      </c>
    </row>
    <row r="687" spans="1:25">
      <c r="A687" s="2">
        <v>677</v>
      </c>
      <c r="B687" s="119">
        <v>202510</v>
      </c>
      <c r="C687" s="44" t="s">
        <v>1360</v>
      </c>
      <c r="D687" s="44" t="s">
        <v>1361</v>
      </c>
      <c r="E687" s="44" t="s">
        <v>1349</v>
      </c>
      <c r="F687" s="44">
        <v>8</v>
      </c>
      <c r="G687" s="44">
        <v>0</v>
      </c>
      <c r="H687" s="44">
        <v>5</v>
      </c>
      <c r="I687" s="44">
        <v>9</v>
      </c>
      <c r="J687" s="44">
        <v>0</v>
      </c>
      <c r="K687" s="123">
        <v>100000</v>
      </c>
      <c r="L687" s="124">
        <f t="shared" si="87"/>
        <v>22</v>
      </c>
      <c r="M687" s="45">
        <f t="shared" si="90"/>
        <v>2200000</v>
      </c>
      <c r="N687" s="45">
        <f t="shared" si="95"/>
        <v>2200000</v>
      </c>
      <c r="O687" s="45"/>
      <c r="P687" s="45"/>
      <c r="Q687" s="45" t="s">
        <v>3150</v>
      </c>
      <c r="R687" s="45">
        <v>25000</v>
      </c>
      <c r="S687" s="45">
        <f t="shared" si="88"/>
        <v>0</v>
      </c>
      <c r="T687" s="44" t="s">
        <v>720</v>
      </c>
      <c r="U687" s="44" t="s">
        <v>721</v>
      </c>
      <c r="V687" s="43" t="s">
        <v>21</v>
      </c>
      <c r="W687" t="str">
        <f>VLOOKUP(C687,'Data_HS t5'!$B$2:$K$412,10,FALSE)</f>
        <v>Phường Thanh Lương, Quận Hai Bà Trưng, Thành phố Hà Nội</v>
      </c>
      <c r="X687" t="str">
        <f>VLOOKUP(C687,'Data_HS t9'!$B$2:$K$454,10,FALSE)</f>
        <v>Phường Thanh Lương, Quận Hai Bà Trưng, Thành phố Hà Nội</v>
      </c>
    </row>
    <row r="688" spans="1:25">
      <c r="A688" s="2">
        <v>678</v>
      </c>
      <c r="B688" s="119">
        <v>202510</v>
      </c>
      <c r="C688" s="44" t="s">
        <v>1362</v>
      </c>
      <c r="D688" s="44" t="s">
        <v>1363</v>
      </c>
      <c r="E688" s="44" t="s">
        <v>1349</v>
      </c>
      <c r="F688" s="44">
        <v>8</v>
      </c>
      <c r="G688" s="44">
        <v>0</v>
      </c>
      <c r="H688" s="44">
        <v>5</v>
      </c>
      <c r="I688" s="44">
        <v>9</v>
      </c>
      <c r="J688" s="44">
        <v>0</v>
      </c>
      <c r="K688" s="123">
        <v>100000</v>
      </c>
      <c r="L688" s="124">
        <f t="shared" si="87"/>
        <v>22</v>
      </c>
      <c r="M688" s="45">
        <f t="shared" si="90"/>
        <v>2200000</v>
      </c>
      <c r="N688" s="45">
        <f t="shared" ref="N688:N695" si="96">M688</f>
        <v>2200000</v>
      </c>
      <c r="O688" s="45"/>
      <c r="P688" s="45"/>
      <c r="Q688" s="45" t="s">
        <v>3150</v>
      </c>
      <c r="R688" s="45">
        <v>30000</v>
      </c>
      <c r="S688" s="45">
        <f t="shared" si="88"/>
        <v>0</v>
      </c>
      <c r="T688" s="44" t="s">
        <v>720</v>
      </c>
      <c r="U688" s="44" t="s">
        <v>721</v>
      </c>
      <c r="V688" s="43" t="s">
        <v>21</v>
      </c>
      <c r="W688" t="str">
        <f>VLOOKUP(C688,'Data_HS t5'!$B$2:$K$412,10,FALSE)</f>
        <v>Phường Long Biên, Quận Long Biên, Thành phố Hà Nội</v>
      </c>
      <c r="X688" t="str">
        <f>VLOOKUP(C688,'Data_HS t9'!$B$2:$K$454,10,FALSE)</f>
        <v>Phường Long Biên, Quận Long Biên, Thành phố Hà Nội</v>
      </c>
    </row>
    <row r="689" spans="1:25">
      <c r="A689" s="2">
        <v>679</v>
      </c>
      <c r="B689" s="119">
        <v>202510</v>
      </c>
      <c r="C689" s="44" t="s">
        <v>1364</v>
      </c>
      <c r="D689" s="44" t="s">
        <v>1365</v>
      </c>
      <c r="E689" s="44" t="s">
        <v>1349</v>
      </c>
      <c r="F689" s="44">
        <v>8</v>
      </c>
      <c r="G689" s="44">
        <v>0</v>
      </c>
      <c r="H689" s="44">
        <v>5</v>
      </c>
      <c r="I689" s="44">
        <v>9</v>
      </c>
      <c r="J689" s="44">
        <v>0</v>
      </c>
      <c r="K689" s="123">
        <v>100000</v>
      </c>
      <c r="L689" s="124">
        <f t="shared" si="87"/>
        <v>22</v>
      </c>
      <c r="M689" s="45">
        <f t="shared" si="90"/>
        <v>2200000</v>
      </c>
      <c r="N689" s="45">
        <f t="shared" si="96"/>
        <v>2200000</v>
      </c>
      <c r="O689" s="45" t="s">
        <v>1822</v>
      </c>
      <c r="P689" s="45"/>
      <c r="Q689" s="45"/>
      <c r="R689" s="45"/>
      <c r="S689" s="45">
        <f t="shared" si="88"/>
        <v>0</v>
      </c>
      <c r="T689" s="44" t="s">
        <v>720</v>
      </c>
      <c r="U689" s="44" t="s">
        <v>721</v>
      </c>
      <c r="V689" s="43" t="s">
        <v>21</v>
      </c>
      <c r="W689" t="str">
        <f>VLOOKUP(C689,'Data_HS t5'!$B$2:$K$412,10,FALSE)</f>
        <v>Tổ dân phố số 21, Phường Thượng Thanh, Quận Long Biên, Thành phố Hà Nội</v>
      </c>
      <c r="X689" t="str">
        <f>VLOOKUP(C689,'Data_HS t9'!$B$2:$K$454,10,FALSE)</f>
        <v>Tổ dân phố số 21, Phường Thượng Thanh, Quận Long Biên, Thành phố Hà Nội</v>
      </c>
      <c r="Y689" t="s">
        <v>3151</v>
      </c>
    </row>
    <row r="690" spans="1:25">
      <c r="A690" s="2">
        <v>680</v>
      </c>
      <c r="B690" s="119">
        <v>202510</v>
      </c>
      <c r="C690" s="44" t="s">
        <v>1366</v>
      </c>
      <c r="D690" s="44" t="s">
        <v>1367</v>
      </c>
      <c r="E690" s="44" t="s">
        <v>1349</v>
      </c>
      <c r="F690" s="44">
        <v>8</v>
      </c>
      <c r="G690" s="44">
        <v>0</v>
      </c>
      <c r="H690" s="44">
        <v>5</v>
      </c>
      <c r="I690" s="44">
        <v>9</v>
      </c>
      <c r="J690" s="44">
        <v>0</v>
      </c>
      <c r="K690" s="123">
        <v>100000</v>
      </c>
      <c r="L690" s="124">
        <f t="shared" si="87"/>
        <v>22</v>
      </c>
      <c r="M690" s="45">
        <f t="shared" si="90"/>
        <v>2200000</v>
      </c>
      <c r="N690" s="45">
        <f t="shared" si="96"/>
        <v>2200000</v>
      </c>
      <c r="O690" s="45" t="s">
        <v>2326</v>
      </c>
      <c r="P690" s="45"/>
      <c r="Q690" s="45"/>
      <c r="R690" s="45"/>
      <c r="S690" s="45">
        <f t="shared" si="88"/>
        <v>0</v>
      </c>
      <c r="T690" s="44" t="s">
        <v>720</v>
      </c>
      <c r="U690" s="44" t="s">
        <v>721</v>
      </c>
      <c r="V690" s="43" t="s">
        <v>21</v>
      </c>
      <c r="W690" t="str">
        <f>VLOOKUP(C690,'Data_HS t5'!$B$2:$K$412,10,FALSE)</f>
        <v>Tổ dân phố số 2, Phường Giang Biên, Quận Long Biên, Thành phố Hà Nội</v>
      </c>
      <c r="X690" t="str">
        <f>VLOOKUP(C690,'Data_HS t9'!$B$2:$K$454,10,FALSE)</f>
        <v>Tổ dân phố số 2, Phường Giang Biên, Quận Long Biên, Thành phố Hà Nội</v>
      </c>
      <c r="Y690" t="s">
        <v>3151</v>
      </c>
    </row>
    <row r="691" spans="1:25">
      <c r="A691" s="2">
        <v>681</v>
      </c>
      <c r="B691" s="119">
        <v>202510</v>
      </c>
      <c r="C691" s="44" t="s">
        <v>1368</v>
      </c>
      <c r="D691" s="44" t="s">
        <v>1369</v>
      </c>
      <c r="E691" s="44" t="s">
        <v>1349</v>
      </c>
      <c r="F691" s="44">
        <v>0</v>
      </c>
      <c r="G691" s="44">
        <v>0</v>
      </c>
      <c r="H691" s="44">
        <v>5</v>
      </c>
      <c r="I691" s="44">
        <v>9</v>
      </c>
      <c r="J691" s="44">
        <v>0</v>
      </c>
      <c r="K691" s="123">
        <v>100000</v>
      </c>
      <c r="L691" s="124">
        <f t="shared" si="87"/>
        <v>14</v>
      </c>
      <c r="M691" s="45">
        <f t="shared" si="90"/>
        <v>1400000</v>
      </c>
      <c r="N691" s="45">
        <f t="shared" si="96"/>
        <v>1400000</v>
      </c>
      <c r="O691" s="45" t="s">
        <v>2286</v>
      </c>
      <c r="P691" s="45"/>
      <c r="Q691" s="45"/>
      <c r="R691" s="45"/>
      <c r="S691" s="45">
        <f t="shared" si="88"/>
        <v>0</v>
      </c>
      <c r="T691" s="44" t="s">
        <v>720</v>
      </c>
      <c r="U691" s="44" t="s">
        <v>721</v>
      </c>
      <c r="V691" s="43" t="s">
        <v>21</v>
      </c>
      <c r="W691" t="str">
        <f>VLOOKUP(C691,'Data_HS t5'!$B$2:$K$412,10,FALSE)</f>
        <v>Phường Long Biên, Quận Long Biên, Thành phố Hà Nội</v>
      </c>
      <c r="X691" t="str">
        <f>VLOOKUP(C691,'Data_HS t9'!$B$2:$K$454,10,FALSE)</f>
        <v>Phường Long Biên, Quận Long Biên, Thành phố Hà Nội</v>
      </c>
      <c r="Y691" t="s">
        <v>3151</v>
      </c>
    </row>
    <row r="692" spans="1:25">
      <c r="A692" s="2">
        <v>682</v>
      </c>
      <c r="B692" s="119">
        <v>202510</v>
      </c>
      <c r="C692" s="44" t="s">
        <v>1370</v>
      </c>
      <c r="D692" s="44" t="s">
        <v>1371</v>
      </c>
      <c r="E692" s="44" t="s">
        <v>1349</v>
      </c>
      <c r="F692" s="44">
        <v>8</v>
      </c>
      <c r="G692" s="44">
        <v>0</v>
      </c>
      <c r="H692" s="44">
        <v>5</v>
      </c>
      <c r="I692" s="44">
        <v>9</v>
      </c>
      <c r="J692" s="44">
        <v>0</v>
      </c>
      <c r="K692" s="123">
        <v>100000</v>
      </c>
      <c r="L692" s="124">
        <f t="shared" si="87"/>
        <v>22</v>
      </c>
      <c r="M692" s="45">
        <f t="shared" si="90"/>
        <v>2200000</v>
      </c>
      <c r="N692" s="45">
        <f t="shared" si="96"/>
        <v>2200000</v>
      </c>
      <c r="O692" s="45"/>
      <c r="P692" s="45"/>
      <c r="Q692" s="45" t="s">
        <v>3150</v>
      </c>
      <c r="R692" s="45">
        <v>30000</v>
      </c>
      <c r="S692" s="45">
        <f t="shared" si="88"/>
        <v>0</v>
      </c>
      <c r="T692" s="44" t="s">
        <v>720</v>
      </c>
      <c r="U692" s="44" t="s">
        <v>721</v>
      </c>
      <c r="V692" s="43" t="s">
        <v>21</v>
      </c>
      <c r="W692" t="str">
        <f>VLOOKUP(C692,'Data_HS t5'!$B$2:$K$412,10,FALSE)</f>
        <v>Tổ dân phố số 1, Phường Long Biên, Quận Long Biên, Thành phố Hà Nội</v>
      </c>
      <c r="X692" t="str">
        <f>VLOOKUP(C692,'Data_HS t9'!$B$2:$K$454,10,FALSE)</f>
        <v>Tổ dân phố số 1, Phường Long Biên, Quận Long Biên, Thành phố Hà Nội</v>
      </c>
    </row>
    <row r="693" spans="1:25">
      <c r="A693" s="2">
        <v>683</v>
      </c>
      <c r="B693" s="119">
        <v>202510</v>
      </c>
      <c r="C693" s="44" t="s">
        <v>1372</v>
      </c>
      <c r="D693" s="44" t="s">
        <v>1373</v>
      </c>
      <c r="E693" s="44" t="s">
        <v>1349</v>
      </c>
      <c r="F693" s="44">
        <v>0</v>
      </c>
      <c r="G693" s="44">
        <v>0</v>
      </c>
      <c r="H693" s="44">
        <v>0</v>
      </c>
      <c r="I693" s="44">
        <v>9</v>
      </c>
      <c r="J693" s="44">
        <v>0</v>
      </c>
      <c r="K693" s="123">
        <v>100000</v>
      </c>
      <c r="L693" s="124">
        <f t="shared" si="87"/>
        <v>9</v>
      </c>
      <c r="M693" s="45">
        <f t="shared" si="90"/>
        <v>900000</v>
      </c>
      <c r="N693" s="45">
        <f t="shared" si="96"/>
        <v>900000</v>
      </c>
      <c r="O693" s="45" t="s">
        <v>1765</v>
      </c>
      <c r="P693" s="45"/>
      <c r="Q693" s="45"/>
      <c r="R693" s="45"/>
      <c r="S693" s="45">
        <f t="shared" si="88"/>
        <v>0</v>
      </c>
      <c r="T693" s="44" t="s">
        <v>720</v>
      </c>
      <c r="U693" s="44" t="s">
        <v>721</v>
      </c>
      <c r="V693" s="43" t="s">
        <v>21</v>
      </c>
      <c r="W693" t="str">
        <f>VLOOKUP(C693,'Data_HS t5'!$B$2:$K$412,10,FALSE)</f>
        <v>Thôn Du Nội, Xã Mai Lâm, Huyện Đông Anh, Thành phố Hà Nội</v>
      </c>
      <c r="X693" t="str">
        <f>VLOOKUP(C693,'Data_HS t9'!$B$2:$K$454,10,FALSE)</f>
        <v>Thôn Du Nội, Xã Mai Lâm, Huyện Đông Anh, Thành phố Hà Nội</v>
      </c>
      <c r="Y693" t="s">
        <v>3151</v>
      </c>
    </row>
    <row r="694" spans="1:25">
      <c r="A694" s="2">
        <v>684</v>
      </c>
      <c r="B694" s="119">
        <v>202510</v>
      </c>
      <c r="C694" s="44" t="s">
        <v>1374</v>
      </c>
      <c r="D694" s="44" t="s">
        <v>1375</v>
      </c>
      <c r="E694" s="44" t="s">
        <v>1349</v>
      </c>
      <c r="F694" s="44">
        <v>0</v>
      </c>
      <c r="G694" s="44">
        <v>0</v>
      </c>
      <c r="H694" s="44">
        <v>0</v>
      </c>
      <c r="I694" s="44">
        <v>9</v>
      </c>
      <c r="J694" s="44">
        <v>0</v>
      </c>
      <c r="K694" s="123">
        <v>100000</v>
      </c>
      <c r="L694" s="124">
        <f t="shared" si="87"/>
        <v>9</v>
      </c>
      <c r="M694" s="45">
        <f t="shared" si="90"/>
        <v>900000</v>
      </c>
      <c r="N694" s="45">
        <f t="shared" si="96"/>
        <v>900000</v>
      </c>
      <c r="O694" s="45" t="s">
        <v>2138</v>
      </c>
      <c r="P694" s="45"/>
      <c r="Q694" s="45"/>
      <c r="R694" s="45"/>
      <c r="S694" s="45">
        <f t="shared" si="88"/>
        <v>0</v>
      </c>
      <c r="T694" s="44" t="s">
        <v>720</v>
      </c>
      <c r="U694" s="44" t="s">
        <v>721</v>
      </c>
      <c r="V694" s="43" t="s">
        <v>21</v>
      </c>
      <c r="W694" t="str">
        <f>VLOOKUP(C694,'Data_HS t5'!$B$2:$K$412,10,FALSE)</f>
        <v>Tổ dân phố số 3, Phường Việt Hưng, Quận Long Biên, Thành phố Hà Nội</v>
      </c>
      <c r="X694" t="str">
        <f>VLOOKUP(C694,'Data_HS t9'!$B$2:$K$454,10,FALSE)</f>
        <v>Tổ dân phố số 3, Phường Việt Hưng, Quận Long Biên, Thành phố Hà Nội</v>
      </c>
      <c r="Y694" t="s">
        <v>3151</v>
      </c>
    </row>
    <row r="695" spans="1:25">
      <c r="A695" s="2">
        <v>685</v>
      </c>
      <c r="B695" s="119">
        <v>202510</v>
      </c>
      <c r="C695" s="44" t="s">
        <v>1376</v>
      </c>
      <c r="D695" s="44" t="s">
        <v>1377</v>
      </c>
      <c r="E695" s="44" t="s">
        <v>1349</v>
      </c>
      <c r="F695" s="44">
        <v>0</v>
      </c>
      <c r="G695" s="44">
        <v>0</v>
      </c>
      <c r="H695" s="44">
        <v>0</v>
      </c>
      <c r="I695" s="44">
        <v>9</v>
      </c>
      <c r="J695" s="44">
        <v>0</v>
      </c>
      <c r="K695" s="123">
        <v>100000</v>
      </c>
      <c r="L695" s="124">
        <f t="shared" si="87"/>
        <v>9</v>
      </c>
      <c r="M695" s="45">
        <f t="shared" si="90"/>
        <v>900000</v>
      </c>
      <c r="N695" s="45">
        <f t="shared" si="96"/>
        <v>900000</v>
      </c>
      <c r="O695" s="45" t="s">
        <v>2271</v>
      </c>
      <c r="P695" s="45"/>
      <c r="Q695" s="45"/>
      <c r="R695" s="45"/>
      <c r="S695" s="45">
        <f t="shared" si="88"/>
        <v>0</v>
      </c>
      <c r="T695" s="44" t="s">
        <v>720</v>
      </c>
      <c r="U695" s="44" t="s">
        <v>721</v>
      </c>
      <c r="V695" s="43" t="s">
        <v>21</v>
      </c>
      <c r="W695" t="str">
        <f>VLOOKUP(C695,'Data_HS t5'!$B$2:$K$412,10,FALSE)</f>
        <v>Tổ dân phố số 5, Phường Đức Giang, Quận Long Biên, Thành phố Hà Nội</v>
      </c>
      <c r="X695" t="str">
        <f>VLOOKUP(C695,'Data_HS t9'!$B$2:$K$454,10,FALSE)</f>
        <v>Tổ dân phố số 5, Phường Đức Giang, Quận Long Biên, Thành phố Hà Nội</v>
      </c>
      <c r="Y695" t="s">
        <v>3151</v>
      </c>
    </row>
    <row r="696" spans="1:25">
      <c r="A696" s="2">
        <v>686</v>
      </c>
      <c r="B696" s="119">
        <v>202510</v>
      </c>
      <c r="C696" s="44" t="s">
        <v>1378</v>
      </c>
      <c r="D696" s="44" t="s">
        <v>1379</v>
      </c>
      <c r="E696" s="44" t="s">
        <v>1349</v>
      </c>
      <c r="F696" s="44">
        <v>8</v>
      </c>
      <c r="G696" s="44">
        <v>0</v>
      </c>
      <c r="H696" s="44">
        <v>0</v>
      </c>
      <c r="I696" s="44">
        <v>9</v>
      </c>
      <c r="J696" s="44">
        <v>0</v>
      </c>
      <c r="K696" s="123">
        <v>100000</v>
      </c>
      <c r="L696" s="124">
        <f t="shared" si="87"/>
        <v>17</v>
      </c>
      <c r="M696" s="45">
        <f t="shared" si="90"/>
        <v>1700000</v>
      </c>
      <c r="N696" s="45">
        <f>M696</f>
        <v>1700000</v>
      </c>
      <c r="O696" s="45" t="s">
        <v>6391</v>
      </c>
      <c r="P696" s="45"/>
      <c r="Q696" s="45"/>
      <c r="R696" s="45"/>
      <c r="S696" s="45">
        <f t="shared" si="88"/>
        <v>0</v>
      </c>
      <c r="T696" s="44" t="s">
        <v>720</v>
      </c>
      <c r="U696" s="44" t="s">
        <v>721</v>
      </c>
      <c r="V696" s="43" t="s">
        <v>21</v>
      </c>
      <c r="W696" t="str">
        <f>VLOOKUP(C696,'Data_HS t5'!$B$2:$K$412,10,FALSE)</f>
        <v>Xã Đa Tốn, Huyện Gia Lâm, Thành phố Hà Nội</v>
      </c>
      <c r="X696" t="str">
        <f>VLOOKUP(C696,'Data_HS t9'!$B$2:$K$454,10,FALSE)</f>
        <v>Xã Đa Tốn, Huyện Gia Lâm, Thành phố Hà Nội</v>
      </c>
    </row>
    <row r="697" spans="1:25">
      <c r="A697" s="2">
        <v>687</v>
      </c>
      <c r="B697" s="119">
        <v>202510</v>
      </c>
      <c r="C697" s="44" t="s">
        <v>1380</v>
      </c>
      <c r="D697" s="44" t="s">
        <v>1381</v>
      </c>
      <c r="E697" s="44" t="s">
        <v>1349</v>
      </c>
      <c r="F697" s="44">
        <v>0</v>
      </c>
      <c r="G697" s="44">
        <v>0</v>
      </c>
      <c r="H697" s="44">
        <v>0</v>
      </c>
      <c r="I697" s="44">
        <v>9</v>
      </c>
      <c r="J697" s="44">
        <v>0</v>
      </c>
      <c r="K697" s="123">
        <v>100000</v>
      </c>
      <c r="L697" s="124">
        <f t="shared" si="87"/>
        <v>9</v>
      </c>
      <c r="M697" s="45">
        <f t="shared" si="90"/>
        <v>900000</v>
      </c>
      <c r="N697" s="45">
        <f>M697</f>
        <v>900000</v>
      </c>
      <c r="O697" s="45" t="s">
        <v>2163</v>
      </c>
      <c r="P697" s="45"/>
      <c r="Q697" s="45"/>
      <c r="R697" s="45"/>
      <c r="S697" s="45">
        <f t="shared" si="88"/>
        <v>0</v>
      </c>
      <c r="T697" s="44" t="s">
        <v>720</v>
      </c>
      <c r="U697" s="44" t="s">
        <v>721</v>
      </c>
      <c r="V697" s="43" t="s">
        <v>21</v>
      </c>
      <c r="W697" t="str">
        <f>VLOOKUP(C697,'Data_HS t5'!$B$2:$K$412,10,FALSE)</f>
        <v>Tổ dân phố số 1, Phường Ngọc Lâm, Quận Long Biên, Thành phố Hà Nội</v>
      </c>
      <c r="X697" t="str">
        <f>VLOOKUP(C697,'Data_HS t9'!$B$2:$K$454,10,FALSE)</f>
        <v>Tổ dân phố số 1, Phường Ngọc Lâm, Quận Long Biên, Thành phố Hà Nội</v>
      </c>
      <c r="Y697" t="s">
        <v>3151</v>
      </c>
    </row>
    <row r="698" spans="1:25">
      <c r="A698" s="2">
        <v>688</v>
      </c>
      <c r="B698" s="119">
        <v>202510</v>
      </c>
      <c r="C698" s="44" t="s">
        <v>1382</v>
      </c>
      <c r="D698" s="44" t="s">
        <v>1383</v>
      </c>
      <c r="E698" s="44" t="s">
        <v>1349</v>
      </c>
      <c r="F698" s="44">
        <v>8</v>
      </c>
      <c r="G698" s="44">
        <v>0</v>
      </c>
      <c r="H698" s="44">
        <v>0</v>
      </c>
      <c r="I698" s="44">
        <v>9</v>
      </c>
      <c r="J698" s="44">
        <v>0</v>
      </c>
      <c r="K698" s="123">
        <v>100000</v>
      </c>
      <c r="L698" s="124">
        <f t="shared" ref="L698:L761" si="97">SUM(F698:J698)</f>
        <v>17</v>
      </c>
      <c r="M698" s="45">
        <f t="shared" si="90"/>
        <v>1700000</v>
      </c>
      <c r="N698" s="45">
        <f>M698</f>
        <v>1700000</v>
      </c>
      <c r="O698" s="45" t="s">
        <v>6156</v>
      </c>
      <c r="P698" s="45"/>
      <c r="Q698" s="45"/>
      <c r="R698" s="45"/>
      <c r="S698" s="45">
        <f t="shared" si="88"/>
        <v>0</v>
      </c>
      <c r="T698" s="44" t="s">
        <v>720</v>
      </c>
      <c r="U698" s="44" t="s">
        <v>721</v>
      </c>
      <c r="V698" s="43" t="s">
        <v>21</v>
      </c>
      <c r="W698" t="str">
        <f>VLOOKUP(C698,'Data_HS t5'!$B$2:$K$412,10,FALSE)</f>
        <v>Phường Thạch Bàn, Quận Long Biên, Thành phố Hà Nội</v>
      </c>
      <c r="X698" t="str">
        <f>VLOOKUP(C698,'Data_HS t9'!$B$2:$K$454,10,FALSE)</f>
        <v>Phường Thạch Bàn, Quận Long Biên, Thành phố Hà Nội</v>
      </c>
    </row>
    <row r="699" spans="1:25">
      <c r="A699" s="2">
        <v>689</v>
      </c>
      <c r="B699" s="129">
        <v>202510</v>
      </c>
      <c r="C699" s="68" t="s">
        <v>1384</v>
      </c>
      <c r="D699" s="68" t="s">
        <v>1385</v>
      </c>
      <c r="E699" s="68" t="s">
        <v>1349</v>
      </c>
      <c r="F699" s="68">
        <v>8</v>
      </c>
      <c r="G699" s="68">
        <v>0</v>
      </c>
      <c r="H699" s="68">
        <v>0</v>
      </c>
      <c r="I699" s="68">
        <v>0</v>
      </c>
      <c r="J699" s="68">
        <v>0</v>
      </c>
      <c r="K699" s="127">
        <v>100000</v>
      </c>
      <c r="L699" s="128">
        <f t="shared" si="97"/>
        <v>8</v>
      </c>
      <c r="M699" s="65">
        <f t="shared" si="90"/>
        <v>800000</v>
      </c>
      <c r="N699" s="65">
        <v>800000</v>
      </c>
      <c r="O699" s="65" t="s">
        <v>1715</v>
      </c>
      <c r="P699" s="65"/>
      <c r="Q699" s="65"/>
      <c r="R699" s="65"/>
      <c r="S699" s="173">
        <f t="shared" si="88"/>
        <v>0</v>
      </c>
      <c r="T699" s="44" t="s">
        <v>720</v>
      </c>
      <c r="U699" s="44" t="s">
        <v>721</v>
      </c>
      <c r="V699" s="43" t="s">
        <v>21</v>
      </c>
      <c r="W699" t="str">
        <f>VLOOKUP(C699,'Data_HS t5'!$B$2:$K$412,10,FALSE)</f>
        <v>Tổ dân phố số 15, Phường Phúc Lợi, Quận Long Biên, Thành phố Hà Nội</v>
      </c>
      <c r="X699" t="str">
        <f>VLOOKUP(C699,'Data_HS t9'!$B$2:$K$454,10,FALSE)</f>
        <v>Tổ dân phố số 15, Phường Phúc Lợi, Quận Long Biên, Thành phố Hà Nội</v>
      </c>
      <c r="Y699" t="s">
        <v>3151</v>
      </c>
    </row>
    <row r="700" spans="1:25">
      <c r="A700" s="2">
        <v>690</v>
      </c>
      <c r="B700" s="119">
        <v>202510</v>
      </c>
      <c r="C700" s="44" t="s">
        <v>1386</v>
      </c>
      <c r="D700" s="44" t="s">
        <v>1387</v>
      </c>
      <c r="E700" s="44" t="s">
        <v>1349</v>
      </c>
      <c r="F700" s="44">
        <v>8</v>
      </c>
      <c r="G700" s="44">
        <v>0</v>
      </c>
      <c r="H700" s="44">
        <v>0</v>
      </c>
      <c r="I700" s="44">
        <v>9</v>
      </c>
      <c r="J700" s="44">
        <v>0</v>
      </c>
      <c r="K700" s="123">
        <v>100000</v>
      </c>
      <c r="L700" s="124">
        <f t="shared" si="97"/>
        <v>17</v>
      </c>
      <c r="M700" s="45">
        <f t="shared" si="90"/>
        <v>1700000</v>
      </c>
      <c r="N700" s="45">
        <f t="shared" ref="N700:N708" si="98">M700</f>
        <v>1700000</v>
      </c>
      <c r="O700" s="45" t="s">
        <v>1620</v>
      </c>
      <c r="P700" s="45"/>
      <c r="Q700" s="45"/>
      <c r="R700" s="45"/>
      <c r="S700" s="45">
        <f t="shared" ref="S700:S762" si="99">M700-N700</f>
        <v>0</v>
      </c>
      <c r="T700" s="44" t="s">
        <v>720</v>
      </c>
      <c r="U700" s="44" t="s">
        <v>721</v>
      </c>
      <c r="V700" s="43" t="s">
        <v>21</v>
      </c>
      <c r="W700" t="str">
        <f>VLOOKUP(C700,'Data_HS t5'!$B$2:$K$412,10,FALSE)</f>
        <v>Tổ dân phố số 7, Phường Giang Biên, Quận Long Biên, Thành phố Hà Nội</v>
      </c>
      <c r="X700" t="str">
        <f>VLOOKUP(C700,'Data_HS t9'!$B$2:$K$454,10,FALSE)</f>
        <v>Tổ dân phố số 7, Phường Giang Biên, Quận Long Biên, Thành phố Hà Nội</v>
      </c>
      <c r="Y700" t="s">
        <v>3151</v>
      </c>
    </row>
    <row r="701" spans="1:25">
      <c r="A701" s="2">
        <v>691</v>
      </c>
      <c r="B701" s="119">
        <v>202510</v>
      </c>
      <c r="C701" s="44" t="s">
        <v>1388</v>
      </c>
      <c r="D701" s="44" t="s">
        <v>1389</v>
      </c>
      <c r="E701" s="44" t="s">
        <v>1349</v>
      </c>
      <c r="F701" s="44">
        <v>0</v>
      </c>
      <c r="G701" s="44">
        <v>0</v>
      </c>
      <c r="H701" s="44">
        <v>0</v>
      </c>
      <c r="I701" s="44">
        <v>9</v>
      </c>
      <c r="J701" s="44">
        <v>0</v>
      </c>
      <c r="K701" s="123">
        <v>100000</v>
      </c>
      <c r="L701" s="124">
        <f t="shared" si="97"/>
        <v>9</v>
      </c>
      <c r="M701" s="45">
        <f t="shared" si="90"/>
        <v>900000</v>
      </c>
      <c r="N701" s="45">
        <f t="shared" si="98"/>
        <v>900000</v>
      </c>
      <c r="O701" s="45" t="s">
        <v>1735</v>
      </c>
      <c r="P701" s="45"/>
      <c r="Q701" s="45"/>
      <c r="R701" s="45"/>
      <c r="S701" s="45">
        <f t="shared" si="99"/>
        <v>0</v>
      </c>
      <c r="T701" s="44" t="s">
        <v>720</v>
      </c>
      <c r="U701" s="44" t="s">
        <v>721</v>
      </c>
      <c r="V701" s="43" t="s">
        <v>21</v>
      </c>
      <c r="W701" t="str">
        <f>VLOOKUP(C701,'Data_HS t5'!$B$2:$K$412,10,FALSE)</f>
        <v>Phường Long Biên, Quận Long Biên, Thành phố Hà Nội</v>
      </c>
      <c r="X701" t="str">
        <f>VLOOKUP(C701,'Data_HS t9'!$B$2:$K$454,10,FALSE)</f>
        <v>Phường Long Biên, Quận Long Biên, Thành phố Hà Nội</v>
      </c>
      <c r="Y701" t="s">
        <v>3151</v>
      </c>
    </row>
    <row r="702" spans="1:25">
      <c r="A702" s="2">
        <v>692</v>
      </c>
      <c r="B702" s="119">
        <v>202510</v>
      </c>
      <c r="C702" s="44" t="s">
        <v>1390</v>
      </c>
      <c r="D702" s="44" t="s">
        <v>1391</v>
      </c>
      <c r="E702" s="44" t="s">
        <v>1349</v>
      </c>
      <c r="F702" s="44">
        <v>0</v>
      </c>
      <c r="G702" s="44">
        <v>0</v>
      </c>
      <c r="H702" s="44">
        <v>0</v>
      </c>
      <c r="I702" s="44">
        <v>9</v>
      </c>
      <c r="J702" s="44">
        <v>0</v>
      </c>
      <c r="K702" s="123">
        <v>100000</v>
      </c>
      <c r="L702" s="124">
        <f t="shared" si="97"/>
        <v>9</v>
      </c>
      <c r="M702" s="45">
        <f t="shared" si="90"/>
        <v>900000</v>
      </c>
      <c r="N702" s="45">
        <f t="shared" si="98"/>
        <v>900000</v>
      </c>
      <c r="O702" s="45"/>
      <c r="P702" s="45"/>
      <c r="Q702" s="45" t="s">
        <v>3150</v>
      </c>
      <c r="R702" s="45">
        <v>15000</v>
      </c>
      <c r="S702" s="45">
        <f t="shared" si="99"/>
        <v>0</v>
      </c>
      <c r="T702" s="44" t="s">
        <v>720</v>
      </c>
      <c r="U702" s="44" t="s">
        <v>721</v>
      </c>
      <c r="V702" s="43" t="s">
        <v>21</v>
      </c>
      <c r="W702" t="str">
        <f>VLOOKUP(C702,'Data_HS t5'!$B$2:$K$412,10,FALSE)</f>
        <v>Phường Thạch Bàn, Quận Long Biên, Thành phố Hà Nội</v>
      </c>
      <c r="X702" t="str">
        <f>VLOOKUP(C702,'Data_HS t9'!$B$2:$K$454,10,FALSE)</f>
        <v>Phường Thạch Bàn, Quận Long Biên, Thành phố Hà Nội</v>
      </c>
    </row>
    <row r="703" spans="1:25">
      <c r="A703" s="2">
        <v>693</v>
      </c>
      <c r="B703" s="119">
        <v>202510</v>
      </c>
      <c r="C703" s="44" t="s">
        <v>1392</v>
      </c>
      <c r="D703" s="44" t="s">
        <v>1393</v>
      </c>
      <c r="E703" s="44" t="s">
        <v>1349</v>
      </c>
      <c r="F703" s="44">
        <v>4</v>
      </c>
      <c r="G703" s="44">
        <v>0</v>
      </c>
      <c r="H703" s="44">
        <v>2.5</v>
      </c>
      <c r="I703" s="44">
        <v>4.5</v>
      </c>
      <c r="J703" s="44">
        <v>0</v>
      </c>
      <c r="K703" s="123">
        <v>100000</v>
      </c>
      <c r="L703" s="124">
        <f t="shared" si="97"/>
        <v>11</v>
      </c>
      <c r="M703" s="45">
        <f t="shared" si="90"/>
        <v>1100000</v>
      </c>
      <c r="N703" s="45">
        <f t="shared" si="98"/>
        <v>1100000</v>
      </c>
      <c r="O703" s="45" t="s">
        <v>1720</v>
      </c>
      <c r="P703" s="45"/>
      <c r="Q703" s="45"/>
      <c r="R703" s="45"/>
      <c r="S703" s="45">
        <f t="shared" si="99"/>
        <v>0</v>
      </c>
      <c r="T703" s="44" t="s">
        <v>720</v>
      </c>
      <c r="U703" s="44" t="s">
        <v>721</v>
      </c>
      <c r="V703" s="43" t="s">
        <v>21</v>
      </c>
      <c r="W703" t="str">
        <f>VLOOKUP(C703,'Data_HS t5'!$B$2:$K$412,10,FALSE)</f>
        <v>Phường Thạch Bàn, Quận Long Biên, Thành phố Hà Nội</v>
      </c>
      <c r="X703" t="str">
        <f>VLOOKUP(C703,'Data_HS t9'!$B$2:$K$454,10,FALSE)</f>
        <v>Phường Thạch Bàn, Quận Long Biên, Thành phố Hà Nội</v>
      </c>
      <c r="Y703" t="s">
        <v>3151</v>
      </c>
    </row>
    <row r="704" spans="1:25">
      <c r="A704" s="2">
        <v>694</v>
      </c>
      <c r="B704" s="119">
        <v>202510</v>
      </c>
      <c r="C704" s="44" t="s">
        <v>1394</v>
      </c>
      <c r="D704" s="44" t="s">
        <v>1395</v>
      </c>
      <c r="E704" s="44" t="s">
        <v>1349</v>
      </c>
      <c r="F704" s="44">
        <v>8</v>
      </c>
      <c r="G704" s="44">
        <v>0</v>
      </c>
      <c r="H704" s="44">
        <v>0</v>
      </c>
      <c r="I704" s="44">
        <v>9</v>
      </c>
      <c r="J704" s="44">
        <v>0</v>
      </c>
      <c r="K704" s="123">
        <v>100000</v>
      </c>
      <c r="L704" s="124">
        <f t="shared" si="97"/>
        <v>17</v>
      </c>
      <c r="M704" s="45">
        <f t="shared" si="90"/>
        <v>1700000</v>
      </c>
      <c r="N704" s="45">
        <f t="shared" si="98"/>
        <v>1700000</v>
      </c>
      <c r="O704" s="45" t="s">
        <v>2302</v>
      </c>
      <c r="P704" s="45"/>
      <c r="Q704" s="45"/>
      <c r="R704" s="45"/>
      <c r="S704" s="45">
        <f t="shared" si="99"/>
        <v>0</v>
      </c>
      <c r="T704" s="44" t="s">
        <v>720</v>
      </c>
      <c r="U704" s="44" t="s">
        <v>721</v>
      </c>
      <c r="V704" s="43" t="s">
        <v>21</v>
      </c>
      <c r="W704" t="str">
        <f>VLOOKUP(C704,'Data_HS t5'!$B$2:$K$412,10,FALSE)</f>
        <v>Phường Thạch Bàn, Quận Long Biên, Thành phố Hà Nội</v>
      </c>
      <c r="X704" t="str">
        <f>VLOOKUP(C704,'Data_HS t9'!$B$2:$K$454,10,FALSE)</f>
        <v>Phường Thạch Bàn, Quận Long Biên, Thành phố Hà Nội</v>
      </c>
      <c r="Y704" t="s">
        <v>3151</v>
      </c>
    </row>
    <row r="705" spans="1:25">
      <c r="A705" s="2">
        <v>695</v>
      </c>
      <c r="B705" s="119">
        <v>202510</v>
      </c>
      <c r="C705" s="44" t="s">
        <v>1396</v>
      </c>
      <c r="D705" s="44" t="s">
        <v>1397</v>
      </c>
      <c r="E705" s="44" t="s">
        <v>1349</v>
      </c>
      <c r="F705" s="44">
        <v>0</v>
      </c>
      <c r="G705" s="44">
        <v>0</v>
      </c>
      <c r="H705" s="44">
        <v>0</v>
      </c>
      <c r="I705" s="44">
        <v>9</v>
      </c>
      <c r="J705" s="44">
        <v>0</v>
      </c>
      <c r="K705" s="123">
        <v>100000</v>
      </c>
      <c r="L705" s="124">
        <f t="shared" si="97"/>
        <v>9</v>
      </c>
      <c r="M705" s="45">
        <f t="shared" ref="M705:M768" si="100">L705*K705</f>
        <v>900000</v>
      </c>
      <c r="N705" s="45">
        <f t="shared" si="98"/>
        <v>900000</v>
      </c>
      <c r="O705" s="45" t="s">
        <v>6387</v>
      </c>
      <c r="P705" s="45"/>
      <c r="Q705" s="45"/>
      <c r="R705" s="45"/>
      <c r="S705" s="45">
        <f t="shared" si="99"/>
        <v>0</v>
      </c>
      <c r="T705" s="44" t="s">
        <v>720</v>
      </c>
      <c r="U705" s="44" t="s">
        <v>721</v>
      </c>
      <c r="V705" s="43" t="s">
        <v>21</v>
      </c>
      <c r="W705" t="str">
        <f>VLOOKUP(C705,'Data_HS t5'!$B$2:$K$412,10,FALSE)</f>
        <v>Phường Thạch Bàn, Quận Long Biên, Thành phố Hà Nội</v>
      </c>
      <c r="X705" t="str">
        <f>VLOOKUP(C705,'Data_HS t9'!$B$2:$K$454,10,FALSE)</f>
        <v>Phường Thạch Bàn, Quận Long Biên, Thành phố Hà Nội</v>
      </c>
    </row>
    <row r="706" spans="1:25">
      <c r="A706" s="2">
        <v>696</v>
      </c>
      <c r="B706" s="119">
        <v>202510</v>
      </c>
      <c r="C706" s="44" t="s">
        <v>483</v>
      </c>
      <c r="D706" s="44" t="s">
        <v>1398</v>
      </c>
      <c r="E706" s="44" t="s">
        <v>1349</v>
      </c>
      <c r="F706" s="44">
        <v>0</v>
      </c>
      <c r="G706" s="44">
        <v>0</v>
      </c>
      <c r="H706" s="44">
        <v>0</v>
      </c>
      <c r="I706" s="44">
        <v>9</v>
      </c>
      <c r="J706" s="44">
        <v>0</v>
      </c>
      <c r="K706" s="123">
        <v>100000</v>
      </c>
      <c r="L706" s="124">
        <f t="shared" si="97"/>
        <v>9</v>
      </c>
      <c r="M706" s="45">
        <f t="shared" si="100"/>
        <v>900000</v>
      </c>
      <c r="N706" s="45">
        <f t="shared" si="98"/>
        <v>900000</v>
      </c>
      <c r="O706" s="45" t="s">
        <v>6685</v>
      </c>
      <c r="P706" s="45"/>
      <c r="Q706" s="45"/>
      <c r="R706" s="45"/>
      <c r="S706" s="45">
        <f t="shared" si="99"/>
        <v>0</v>
      </c>
      <c r="T706" s="44" t="s">
        <v>720</v>
      </c>
      <c r="U706" s="44" t="s">
        <v>721</v>
      </c>
      <c r="V706" s="43" t="s">
        <v>21</v>
      </c>
      <c r="W706" t="str">
        <f>VLOOKUP(C706,'Data_HS t5'!$B$2:$K$412,10,FALSE)</f>
        <v>Tổ dân phố số 3, Phường Đức Giang, Quận Long Biên, Thành phố Hà Nội</v>
      </c>
      <c r="X706" t="str">
        <f>VLOOKUP(C706,'Data_HS t9'!$B$2:$K$454,10,FALSE)</f>
        <v>Tổ dân phố số 3, Phường Đức Giang, Quận Long Biên, Thành phố Hà Nội</v>
      </c>
    </row>
    <row r="707" spans="1:25">
      <c r="A707" s="4">
        <v>697</v>
      </c>
      <c r="B707" s="130">
        <v>202510</v>
      </c>
      <c r="C707" s="68" t="s">
        <v>1399</v>
      </c>
      <c r="D707" s="68" t="s">
        <v>1400</v>
      </c>
      <c r="E707" s="68" t="s">
        <v>1349</v>
      </c>
      <c r="F707" s="68">
        <v>8</v>
      </c>
      <c r="G707" s="68">
        <v>0</v>
      </c>
      <c r="H707" s="68">
        <v>0</v>
      </c>
      <c r="I707" s="68">
        <v>0</v>
      </c>
      <c r="J707" s="68">
        <v>0</v>
      </c>
      <c r="K707" s="127">
        <v>100000</v>
      </c>
      <c r="L707" s="124">
        <f t="shared" si="97"/>
        <v>8</v>
      </c>
      <c r="M707" s="45">
        <f t="shared" si="100"/>
        <v>800000</v>
      </c>
      <c r="N707" s="45">
        <f t="shared" si="98"/>
        <v>800000</v>
      </c>
      <c r="O707" s="65" t="s">
        <v>1832</v>
      </c>
      <c r="P707" s="45"/>
      <c r="Q707" s="45"/>
      <c r="R707" s="45"/>
      <c r="S707" s="45">
        <f t="shared" si="99"/>
        <v>0</v>
      </c>
      <c r="T707" s="44" t="s">
        <v>720</v>
      </c>
      <c r="U707" s="44" t="s">
        <v>721</v>
      </c>
      <c r="V707" s="43" t="s">
        <v>21</v>
      </c>
      <c r="W707" t="str">
        <f>VLOOKUP(C707,'Data_HS t5'!$B$2:$K$412,10,FALSE)</f>
        <v>Tổ dân phố số 4, Phường Thạch Bàn, Quận Long Biên, Thành phố Hà Nội</v>
      </c>
      <c r="X707" t="str">
        <f>VLOOKUP(C707,'Data_HS t9'!$B$2:$K$454,10,FALSE)</f>
        <v>Tổ dân phố số 4, Phường Thạch Bàn, Quận Long Biên, Thành phố Hà Nội</v>
      </c>
      <c r="Y707" t="s">
        <v>3151</v>
      </c>
    </row>
    <row r="708" spans="1:25">
      <c r="A708" s="2">
        <v>698</v>
      </c>
      <c r="B708" s="119">
        <v>202510</v>
      </c>
      <c r="C708" s="44" t="s">
        <v>1401</v>
      </c>
      <c r="D708" s="44" t="s">
        <v>1402</v>
      </c>
      <c r="E708" s="44" t="s">
        <v>1349</v>
      </c>
      <c r="F708" s="44">
        <v>0</v>
      </c>
      <c r="G708" s="44">
        <v>0</v>
      </c>
      <c r="H708" s="44">
        <v>5</v>
      </c>
      <c r="I708" s="44">
        <v>0</v>
      </c>
      <c r="J708" s="44">
        <v>0</v>
      </c>
      <c r="K708" s="123">
        <v>100000</v>
      </c>
      <c r="L708" s="124">
        <f t="shared" si="97"/>
        <v>5</v>
      </c>
      <c r="M708" s="45">
        <f t="shared" si="100"/>
        <v>500000</v>
      </c>
      <c r="N708" s="45">
        <f t="shared" si="98"/>
        <v>500000</v>
      </c>
      <c r="O708" s="45" t="s">
        <v>1791</v>
      </c>
      <c r="P708" s="45"/>
      <c r="Q708" s="45"/>
      <c r="R708" s="45"/>
      <c r="S708" s="45">
        <f t="shared" si="99"/>
        <v>0</v>
      </c>
      <c r="T708" s="44" t="s">
        <v>720</v>
      </c>
      <c r="U708" s="44" t="s">
        <v>721</v>
      </c>
      <c r="V708" s="43" t="s">
        <v>21</v>
      </c>
      <c r="W708" t="str">
        <f>VLOOKUP(C708,'Data_HS t5'!$B$2:$K$412,10,FALSE)</f>
        <v>Tổ dân phố số 12, Phường Long Biên, Quận Long Biên, Thành phố Hà Nội</v>
      </c>
      <c r="X708" t="str">
        <f>VLOOKUP(C708,'Data_HS t9'!$B$2:$K$454,10,FALSE)</f>
        <v>Tổ dân phố số 12, Phường Long Biên, Quận Long Biên, Thành phố Hà Nội</v>
      </c>
      <c r="Y708" t="s">
        <v>3151</v>
      </c>
    </row>
    <row r="709" spans="1:25">
      <c r="A709" s="2">
        <v>699</v>
      </c>
      <c r="B709" s="119">
        <v>202510</v>
      </c>
      <c r="C709" s="44" t="s">
        <v>1403</v>
      </c>
      <c r="D709" s="44" t="s">
        <v>1404</v>
      </c>
      <c r="E709" s="44" t="s">
        <v>1349</v>
      </c>
      <c r="F709" s="44">
        <v>8</v>
      </c>
      <c r="G709" s="44">
        <v>0</v>
      </c>
      <c r="H709" s="44">
        <v>5</v>
      </c>
      <c r="I709" s="44">
        <v>0</v>
      </c>
      <c r="J709" s="44">
        <v>0</v>
      </c>
      <c r="K709" s="123">
        <v>100000</v>
      </c>
      <c r="L709" s="124">
        <f t="shared" si="97"/>
        <v>13</v>
      </c>
      <c r="M709" s="45">
        <f t="shared" si="100"/>
        <v>1300000</v>
      </c>
      <c r="N709" s="45">
        <f t="shared" ref="N709:N714" si="101">M709</f>
        <v>1300000</v>
      </c>
      <c r="O709" s="45" t="s">
        <v>6101</v>
      </c>
      <c r="P709" s="45"/>
      <c r="Q709" s="45"/>
      <c r="R709" s="45"/>
      <c r="S709" s="45">
        <f t="shared" si="99"/>
        <v>0</v>
      </c>
      <c r="T709" s="44" t="s">
        <v>720</v>
      </c>
      <c r="U709" s="44" t="s">
        <v>721</v>
      </c>
      <c r="V709" s="43" t="s">
        <v>21</v>
      </c>
      <c r="W709" t="str">
        <f>VLOOKUP(C709,'Data_HS t5'!$B$2:$K$412,10,FALSE)</f>
        <v>Phường Lê Đại Hành, Quận Hai Bà Trưng, Thành phố Hà Nội</v>
      </c>
      <c r="X709" t="str">
        <f>VLOOKUP(C709,'Data_HS t9'!$B$2:$K$454,10,FALSE)</f>
        <v>Phường Lê Đại Hành, Quận Hai Bà Trưng, Thành phố Hà Nội</v>
      </c>
    </row>
    <row r="710" spans="1:25">
      <c r="A710" s="2">
        <v>700</v>
      </c>
      <c r="B710" s="119">
        <v>202510</v>
      </c>
      <c r="C710" s="44" t="s">
        <v>1405</v>
      </c>
      <c r="D710" s="44" t="s">
        <v>1406</v>
      </c>
      <c r="E710" s="44" t="s">
        <v>1349</v>
      </c>
      <c r="F710" s="44">
        <v>0</v>
      </c>
      <c r="G710" s="44">
        <v>0</v>
      </c>
      <c r="H710" s="44">
        <v>5</v>
      </c>
      <c r="I710" s="44">
        <v>9</v>
      </c>
      <c r="J710" s="44">
        <v>0</v>
      </c>
      <c r="K710" s="123">
        <v>100000</v>
      </c>
      <c r="L710" s="124">
        <f t="shared" si="97"/>
        <v>14</v>
      </c>
      <c r="M710" s="45">
        <f t="shared" si="100"/>
        <v>1400000</v>
      </c>
      <c r="N710" s="45">
        <f t="shared" si="101"/>
        <v>1400000</v>
      </c>
      <c r="O710" s="45"/>
      <c r="P710" s="45"/>
      <c r="Q710" s="45" t="s">
        <v>3150</v>
      </c>
      <c r="R710" s="45">
        <v>20000</v>
      </c>
      <c r="S710" s="45">
        <f t="shared" si="99"/>
        <v>0</v>
      </c>
      <c r="T710" s="44" t="s">
        <v>720</v>
      </c>
      <c r="U710" s="44" t="s">
        <v>721</v>
      </c>
      <c r="V710" s="43" t="s">
        <v>21</v>
      </c>
      <c r="W710" t="str">
        <f>VLOOKUP(C710,'Data_HS t5'!$B$2:$K$412,10,FALSE)</f>
        <v>Phường Bồ Đề, Quận Long Biên, Thành phố Hà Nội</v>
      </c>
      <c r="X710" t="str">
        <f>VLOOKUP(C710,'Data_HS t9'!$B$2:$K$454,10,FALSE)</f>
        <v>Phường Bồ Đề, Quận Long Biên, Thành phố Hà Nội</v>
      </c>
    </row>
    <row r="711" spans="1:25">
      <c r="A711" s="2">
        <v>701</v>
      </c>
      <c r="B711" s="119">
        <v>202510</v>
      </c>
      <c r="C711" s="44" t="s">
        <v>1407</v>
      </c>
      <c r="D711" s="44" t="s">
        <v>1408</v>
      </c>
      <c r="E711" s="44" t="s">
        <v>1349</v>
      </c>
      <c r="F711" s="44">
        <v>0</v>
      </c>
      <c r="G711" s="44">
        <v>0</v>
      </c>
      <c r="H711" s="44">
        <v>5</v>
      </c>
      <c r="I711" s="44">
        <v>9</v>
      </c>
      <c r="J711" s="44">
        <v>0</v>
      </c>
      <c r="K711" s="123">
        <v>100000</v>
      </c>
      <c r="L711" s="124">
        <f t="shared" si="97"/>
        <v>14</v>
      </c>
      <c r="M711" s="45">
        <f t="shared" si="100"/>
        <v>1400000</v>
      </c>
      <c r="N711" s="45">
        <f t="shared" si="101"/>
        <v>1400000</v>
      </c>
      <c r="O711" s="45" t="s">
        <v>2317</v>
      </c>
      <c r="P711" s="45"/>
      <c r="Q711" s="45"/>
      <c r="R711" s="45"/>
      <c r="S711" s="45">
        <f t="shared" si="99"/>
        <v>0</v>
      </c>
      <c r="T711" s="44" t="s">
        <v>720</v>
      </c>
      <c r="U711" s="44" t="s">
        <v>721</v>
      </c>
      <c r="V711" s="43" t="s">
        <v>21</v>
      </c>
      <c r="W711" t="str">
        <f>VLOOKUP(C711,'Data_HS t5'!$B$2:$K$412,10,FALSE)</f>
        <v>Tổ dân phố số 11, Phường Thượng Thanh, Quận Long Biên, Thành phố Hà Nội</v>
      </c>
      <c r="X711" t="str">
        <f>VLOOKUP(C711,'Data_HS t9'!$B$2:$K$454,10,FALSE)</f>
        <v>Tổ dân phố số 11, Phường Thượng Thanh, Quận Long Biên, Thành phố Hà Nội</v>
      </c>
      <c r="Y711" t="s">
        <v>3151</v>
      </c>
    </row>
    <row r="712" spans="1:25">
      <c r="A712" s="2">
        <v>702</v>
      </c>
      <c r="B712" s="119">
        <v>202510</v>
      </c>
      <c r="C712" s="44" t="s">
        <v>1409</v>
      </c>
      <c r="D712" s="44" t="s">
        <v>1410</v>
      </c>
      <c r="E712" s="44" t="s">
        <v>1349</v>
      </c>
      <c r="F712" s="44">
        <v>8</v>
      </c>
      <c r="G712" s="44">
        <v>0</v>
      </c>
      <c r="H712" s="44">
        <v>5</v>
      </c>
      <c r="I712" s="44">
        <v>9</v>
      </c>
      <c r="J712" s="44">
        <v>0</v>
      </c>
      <c r="K712" s="123">
        <v>100000</v>
      </c>
      <c r="L712" s="124">
        <f t="shared" si="97"/>
        <v>22</v>
      </c>
      <c r="M712" s="45">
        <f t="shared" si="100"/>
        <v>2200000</v>
      </c>
      <c r="N712" s="45">
        <f t="shared" si="101"/>
        <v>2200000</v>
      </c>
      <c r="O712" s="45"/>
      <c r="P712" s="45"/>
      <c r="Q712" s="45" t="s">
        <v>3150</v>
      </c>
      <c r="R712" s="45">
        <v>30000</v>
      </c>
      <c r="S712" s="45">
        <f t="shared" si="99"/>
        <v>0</v>
      </c>
      <c r="T712" s="44" t="s">
        <v>720</v>
      </c>
      <c r="U712" s="44" t="s">
        <v>721</v>
      </c>
      <c r="V712" s="43" t="s">
        <v>21</v>
      </c>
      <c r="W712" t="str">
        <f>VLOOKUP(C712,'Data_HS t5'!$B$2:$K$412,10,FALSE)</f>
        <v>Tổ dân phố số 13, Phường Thạch Bàn, Quận Long Biên, Thành phố Hà Nội</v>
      </c>
      <c r="X712" t="str">
        <f>VLOOKUP(C712,'Data_HS t9'!$B$2:$K$454,10,FALSE)</f>
        <v>Tổ dân phố số 13, Phường Thạch Bàn, Quận Long Biên, Thành phố Hà Nội</v>
      </c>
    </row>
    <row r="713" spans="1:25">
      <c r="A713" s="2">
        <v>703</v>
      </c>
      <c r="B713" s="119">
        <v>202510</v>
      </c>
      <c r="C713" s="44" t="s">
        <v>1411</v>
      </c>
      <c r="D713" s="44" t="s">
        <v>1412</v>
      </c>
      <c r="E713" s="44" t="s">
        <v>1349</v>
      </c>
      <c r="F713" s="44">
        <v>8</v>
      </c>
      <c r="G713" s="44">
        <v>0</v>
      </c>
      <c r="H713" s="44">
        <v>5</v>
      </c>
      <c r="I713" s="44">
        <v>0</v>
      </c>
      <c r="J713" s="44">
        <v>0</v>
      </c>
      <c r="K713" s="123">
        <v>100000</v>
      </c>
      <c r="L713" s="124">
        <f t="shared" si="97"/>
        <v>13</v>
      </c>
      <c r="M713" s="45">
        <f t="shared" si="100"/>
        <v>1300000</v>
      </c>
      <c r="N713" s="45">
        <f t="shared" si="101"/>
        <v>1300000</v>
      </c>
      <c r="O713" s="45" t="s">
        <v>1685</v>
      </c>
      <c r="P713" s="45"/>
      <c r="Q713" s="45"/>
      <c r="R713" s="45"/>
      <c r="S713" s="45">
        <f t="shared" si="99"/>
        <v>0</v>
      </c>
      <c r="T713" s="44" t="s">
        <v>720</v>
      </c>
      <c r="U713" s="44" t="s">
        <v>721</v>
      </c>
      <c r="V713" s="43" t="s">
        <v>21</v>
      </c>
      <c r="W713" t="str">
        <f>VLOOKUP(C713,'Data_HS t5'!$B$2:$K$412,10,FALSE)</f>
        <v>Phường Thạch Bàn, Quận Long Biên, Thành phố Hà Nội</v>
      </c>
      <c r="X713" t="str">
        <f>VLOOKUP(C713,'Data_HS t9'!$B$2:$K$454,10,FALSE)</f>
        <v>Phường Thạch Bàn, Quận Long Biên, Thành phố Hà Nội</v>
      </c>
      <c r="Y713" t="s">
        <v>3151</v>
      </c>
    </row>
    <row r="714" spans="1:25">
      <c r="A714" s="2">
        <v>704</v>
      </c>
      <c r="B714" s="119">
        <v>202510</v>
      </c>
      <c r="C714" s="44" t="s">
        <v>70</v>
      </c>
      <c r="D714" s="44" t="s">
        <v>1413</v>
      </c>
      <c r="E714" s="44" t="s">
        <v>1414</v>
      </c>
      <c r="F714" s="44">
        <v>0</v>
      </c>
      <c r="G714" s="44">
        <v>8</v>
      </c>
      <c r="H714" s="44">
        <v>7</v>
      </c>
      <c r="I714" s="44">
        <v>0</v>
      </c>
      <c r="J714" s="44">
        <v>0</v>
      </c>
      <c r="K714" s="123">
        <v>100000</v>
      </c>
      <c r="L714" s="124">
        <f t="shared" si="97"/>
        <v>15</v>
      </c>
      <c r="M714" s="45">
        <f t="shared" si="100"/>
        <v>1500000</v>
      </c>
      <c r="N714" s="45">
        <f t="shared" si="101"/>
        <v>1500000</v>
      </c>
      <c r="O714" s="45" t="s">
        <v>2173</v>
      </c>
      <c r="P714" s="45"/>
      <c r="Q714" s="45"/>
      <c r="R714" s="45"/>
      <c r="S714" s="45">
        <f t="shared" si="99"/>
        <v>0</v>
      </c>
      <c r="T714" s="44" t="s">
        <v>720</v>
      </c>
      <c r="U714" s="44" t="s">
        <v>721</v>
      </c>
      <c r="V714" s="43" t="s">
        <v>21</v>
      </c>
      <c r="W714" t="str">
        <f>VLOOKUP(C714,'Data_HS t5'!$B$2:$K$412,10,FALSE)</f>
        <v>Hiện nay: Tổ 12, Thạch Bàn, LB</v>
      </c>
      <c r="X714" t="str">
        <f>VLOOKUP(C714,'Data_HS t9'!$B$2:$K$454,10,FALSE)</f>
        <v>Hiện nay: Tổ 12, Thạch Bàn, LB</v>
      </c>
      <c r="Y714" t="s">
        <v>3151</v>
      </c>
    </row>
    <row r="715" spans="1:25">
      <c r="A715" s="2">
        <v>705</v>
      </c>
      <c r="B715" s="119">
        <v>202510</v>
      </c>
      <c r="C715" s="44" t="s">
        <v>1415</v>
      </c>
      <c r="D715" s="44" t="s">
        <v>1416</v>
      </c>
      <c r="E715" s="44" t="s">
        <v>1414</v>
      </c>
      <c r="F715" s="44">
        <v>6</v>
      </c>
      <c r="G715" s="44">
        <v>8</v>
      </c>
      <c r="H715" s="44">
        <v>0</v>
      </c>
      <c r="I715" s="44">
        <v>0</v>
      </c>
      <c r="J715" s="44">
        <v>0</v>
      </c>
      <c r="K715" s="123">
        <v>100000</v>
      </c>
      <c r="L715" s="124">
        <f t="shared" si="97"/>
        <v>14</v>
      </c>
      <c r="M715" s="45">
        <f t="shared" si="100"/>
        <v>1400000</v>
      </c>
      <c r="N715" s="45">
        <f t="shared" ref="N715:N738" si="102">M715</f>
        <v>1400000</v>
      </c>
      <c r="O715" s="45"/>
      <c r="P715" s="45"/>
      <c r="Q715" s="45" t="s">
        <v>3151</v>
      </c>
      <c r="R715" s="45">
        <v>20000</v>
      </c>
      <c r="S715" s="45">
        <f t="shared" si="99"/>
        <v>0</v>
      </c>
      <c r="T715" s="44" t="s">
        <v>720</v>
      </c>
      <c r="U715" s="44" t="s">
        <v>721</v>
      </c>
      <c r="V715" s="43" t="s">
        <v>21</v>
      </c>
      <c r="W715" t="e">
        <f>VLOOKUP(C715,'Data_HS t5'!$B$2:$K$412,10,FALSE)</f>
        <v>#N/A</v>
      </c>
      <c r="X715" t="e">
        <f>VLOOKUP(C715,'Data_HS t9'!$B$2:$K$454,10,FALSE)</f>
        <v>#N/A</v>
      </c>
    </row>
    <row r="716" spans="1:25">
      <c r="A716" s="2">
        <v>706</v>
      </c>
      <c r="B716" s="119">
        <v>202510</v>
      </c>
      <c r="C716" s="44" t="s">
        <v>1417</v>
      </c>
      <c r="D716" s="44" t="s">
        <v>1418</v>
      </c>
      <c r="E716" s="44" t="s">
        <v>1414</v>
      </c>
      <c r="F716" s="44">
        <v>6</v>
      </c>
      <c r="G716" s="44">
        <v>8</v>
      </c>
      <c r="H716" s="44">
        <v>0</v>
      </c>
      <c r="I716" s="44">
        <v>0</v>
      </c>
      <c r="J716" s="44">
        <v>0</v>
      </c>
      <c r="K716" s="123">
        <v>100000</v>
      </c>
      <c r="L716" s="124">
        <f t="shared" si="97"/>
        <v>14</v>
      </c>
      <c r="M716" s="45">
        <f t="shared" si="100"/>
        <v>1400000</v>
      </c>
      <c r="N716" s="45">
        <f t="shared" si="102"/>
        <v>1400000</v>
      </c>
      <c r="O716" s="45"/>
      <c r="P716" s="45"/>
      <c r="Q716" s="45" t="s">
        <v>3150</v>
      </c>
      <c r="R716" s="45">
        <v>20000</v>
      </c>
      <c r="S716" s="45">
        <f t="shared" si="99"/>
        <v>0</v>
      </c>
      <c r="T716" s="44" t="s">
        <v>720</v>
      </c>
      <c r="U716" s="44" t="s">
        <v>721</v>
      </c>
      <c r="V716" s="43" t="s">
        <v>21</v>
      </c>
      <c r="W716" t="str">
        <f>VLOOKUP(C716,'Data_HS t5'!$B$2:$K$412,10,FALSE)</f>
        <v>Tổ 9, Thạch Bàn, LB</v>
      </c>
      <c r="X716" t="str">
        <f>VLOOKUP(C716,'Data_HS t9'!$B$2:$K$454,10,FALSE)</f>
        <v>Tổ 9, Thạch Bàn, LB</v>
      </c>
    </row>
    <row r="717" spans="1:25" ht="26.4">
      <c r="A717" s="2">
        <v>707</v>
      </c>
      <c r="B717" s="119">
        <v>202510</v>
      </c>
      <c r="C717" s="44" t="s">
        <v>588</v>
      </c>
      <c r="D717" s="44" t="s">
        <v>1419</v>
      </c>
      <c r="E717" s="44" t="s">
        <v>1414</v>
      </c>
      <c r="F717" s="44">
        <v>6</v>
      </c>
      <c r="G717" s="44">
        <v>8</v>
      </c>
      <c r="H717" s="44">
        <v>0</v>
      </c>
      <c r="I717" s="44">
        <v>0</v>
      </c>
      <c r="J717" s="44">
        <v>0</v>
      </c>
      <c r="K717" s="123">
        <v>100000</v>
      </c>
      <c r="L717" s="124">
        <f t="shared" si="97"/>
        <v>14</v>
      </c>
      <c r="M717" s="45">
        <f t="shared" si="100"/>
        <v>1400000</v>
      </c>
      <c r="N717" s="45">
        <f t="shared" si="102"/>
        <v>1400000</v>
      </c>
      <c r="O717" s="61" t="s">
        <v>6779</v>
      </c>
      <c r="P717" s="45"/>
      <c r="Q717" s="45"/>
      <c r="R717" s="45"/>
      <c r="S717" s="45">
        <f t="shared" si="99"/>
        <v>0</v>
      </c>
      <c r="T717" s="44" t="s">
        <v>720</v>
      </c>
      <c r="U717" s="44" t="s">
        <v>721</v>
      </c>
      <c r="V717" s="43" t="s">
        <v>21</v>
      </c>
      <c r="W717" t="str">
        <f>VLOOKUP(C717,'Data_HS t5'!$B$2:$K$412,10,FALSE)</f>
        <v>Số 77 Gia Quất, Thượng Thanh, LB</v>
      </c>
      <c r="X717" t="str">
        <f>VLOOKUP(C717,'Data_HS t9'!$B$2:$K$454,10,FALSE)</f>
        <v>Số 77 Gia Quất, Thượng Thanh, LB</v>
      </c>
      <c r="Y717" t="s">
        <v>3151</v>
      </c>
    </row>
    <row r="718" spans="1:25">
      <c r="A718" s="2">
        <v>708</v>
      </c>
      <c r="B718" s="119">
        <v>202510</v>
      </c>
      <c r="C718" s="44" t="s">
        <v>1420</v>
      </c>
      <c r="D718" s="44" t="s">
        <v>1421</v>
      </c>
      <c r="E718" s="44" t="s">
        <v>1414</v>
      </c>
      <c r="F718" s="44">
        <v>6</v>
      </c>
      <c r="G718" s="44">
        <v>8</v>
      </c>
      <c r="H718" s="44">
        <v>0</v>
      </c>
      <c r="I718" s="44">
        <v>0</v>
      </c>
      <c r="J718" s="44">
        <v>0</v>
      </c>
      <c r="K718" s="123">
        <v>100000</v>
      </c>
      <c r="L718" s="124">
        <f t="shared" si="97"/>
        <v>14</v>
      </c>
      <c r="M718" s="45">
        <f t="shared" si="100"/>
        <v>1400000</v>
      </c>
      <c r="N718" s="45">
        <f t="shared" si="102"/>
        <v>1400000</v>
      </c>
      <c r="O718" s="45" t="s">
        <v>1655</v>
      </c>
      <c r="P718" s="45"/>
      <c r="Q718" s="45"/>
      <c r="R718" s="45"/>
      <c r="S718" s="45">
        <f t="shared" si="99"/>
        <v>0</v>
      </c>
      <c r="T718" s="44" t="s">
        <v>720</v>
      </c>
      <c r="U718" s="44" t="s">
        <v>721</v>
      </c>
      <c r="V718" s="43" t="s">
        <v>21</v>
      </c>
      <c r="W718">
        <f>VLOOKUP(C718,'Data_HS t5'!$B$2:$K$412,10,FALSE)</f>
        <v>0</v>
      </c>
      <c r="X718">
        <f>VLOOKUP(C718,'Data_HS t9'!$B$2:$K$454,10,FALSE)</f>
        <v>0</v>
      </c>
      <c r="Y718" t="s">
        <v>3151</v>
      </c>
    </row>
    <row r="719" spans="1:25">
      <c r="A719" s="2">
        <v>709</v>
      </c>
      <c r="B719" s="119">
        <v>202510</v>
      </c>
      <c r="C719" s="44" t="s">
        <v>1422</v>
      </c>
      <c r="D719" s="44" t="s">
        <v>1423</v>
      </c>
      <c r="E719" s="44" t="s">
        <v>1414</v>
      </c>
      <c r="F719" s="44">
        <v>6</v>
      </c>
      <c r="G719" s="44">
        <v>8</v>
      </c>
      <c r="H719" s="44">
        <v>0</v>
      </c>
      <c r="I719" s="44">
        <v>0</v>
      </c>
      <c r="J719" s="44">
        <v>0</v>
      </c>
      <c r="K719" s="123">
        <v>100000</v>
      </c>
      <c r="L719" s="124">
        <f t="shared" si="97"/>
        <v>14</v>
      </c>
      <c r="M719" s="45">
        <f t="shared" si="100"/>
        <v>1400000</v>
      </c>
      <c r="N719" s="45">
        <f t="shared" si="102"/>
        <v>1400000</v>
      </c>
      <c r="O719" s="45" t="s">
        <v>1671</v>
      </c>
      <c r="P719" s="45"/>
      <c r="Q719" s="45"/>
      <c r="R719" s="45"/>
      <c r="S719" s="45">
        <f t="shared" si="99"/>
        <v>0</v>
      </c>
      <c r="T719" s="44" t="s">
        <v>720</v>
      </c>
      <c r="U719" s="44" t="s">
        <v>721</v>
      </c>
      <c r="V719" s="43" t="s">
        <v>21</v>
      </c>
      <c r="W719" t="str">
        <f>VLOOKUP(C719,'Data_HS t5'!$B$2:$K$412,10,FALSE)</f>
        <v>137 Hàng Bông Hàng Bông, Hoàn Kiếm</v>
      </c>
      <c r="X719" t="str">
        <f>VLOOKUP(C719,'Data_HS t9'!$B$2:$K$454,10,FALSE)</f>
        <v>137 Hàng Bông Hàng Bông, Hoàn Kiếm</v>
      </c>
      <c r="Y719" t="s">
        <v>3151</v>
      </c>
    </row>
    <row r="720" spans="1:25">
      <c r="A720" s="2">
        <v>710</v>
      </c>
      <c r="B720" s="119">
        <v>202510</v>
      </c>
      <c r="C720" s="44" t="s">
        <v>1424</v>
      </c>
      <c r="D720" s="44" t="s">
        <v>1425</v>
      </c>
      <c r="E720" s="44" t="s">
        <v>1414</v>
      </c>
      <c r="F720" s="44">
        <v>6</v>
      </c>
      <c r="G720" s="44">
        <v>8</v>
      </c>
      <c r="H720" s="44">
        <v>0</v>
      </c>
      <c r="I720" s="44">
        <v>0</v>
      </c>
      <c r="J720" s="44">
        <v>0</v>
      </c>
      <c r="K720" s="123">
        <v>100000</v>
      </c>
      <c r="L720" s="124">
        <f t="shared" si="97"/>
        <v>14</v>
      </c>
      <c r="M720" s="45">
        <f t="shared" si="100"/>
        <v>1400000</v>
      </c>
      <c r="N720" s="45">
        <f t="shared" si="102"/>
        <v>1400000</v>
      </c>
      <c r="O720" s="45" t="s">
        <v>2187</v>
      </c>
      <c r="P720" s="45"/>
      <c r="Q720" s="45"/>
      <c r="R720" s="45"/>
      <c r="S720" s="45">
        <f t="shared" si="99"/>
        <v>0</v>
      </c>
      <c r="T720" s="44" t="s">
        <v>720</v>
      </c>
      <c r="U720" s="44" t="s">
        <v>721</v>
      </c>
      <c r="V720" s="43" t="s">
        <v>21</v>
      </c>
      <c r="W720" t="str">
        <f>VLOOKUP(C720,'Data_HS t5'!$B$2:$K$412,10,FALSE)</f>
        <v>Tổ 1, Phường Long Biên, Quận Long Biên, Thành phố Hà Nội</v>
      </c>
      <c r="X720" t="str">
        <f>VLOOKUP(C720,'Data_HS t9'!$B$2:$K$454,10,FALSE)</f>
        <v>Tổ 1, Phường Long Biên, Quận Long Biên, Thành phố Hà Nội</v>
      </c>
      <c r="Y720" t="s">
        <v>3151</v>
      </c>
    </row>
    <row r="721" spans="1:25">
      <c r="A721" s="2">
        <v>711</v>
      </c>
      <c r="B721" s="119">
        <v>202510</v>
      </c>
      <c r="C721" s="44" t="s">
        <v>1426</v>
      </c>
      <c r="D721" s="44" t="s">
        <v>1427</v>
      </c>
      <c r="E721" s="44" t="s">
        <v>1414</v>
      </c>
      <c r="F721" s="44">
        <v>6</v>
      </c>
      <c r="G721" s="44">
        <v>8</v>
      </c>
      <c r="H721" s="44">
        <v>0</v>
      </c>
      <c r="I721" s="44">
        <v>0</v>
      </c>
      <c r="J721" s="44">
        <v>0</v>
      </c>
      <c r="K721" s="123">
        <v>100000</v>
      </c>
      <c r="L721" s="124">
        <f t="shared" si="97"/>
        <v>14</v>
      </c>
      <c r="M721" s="45">
        <f t="shared" si="100"/>
        <v>1400000</v>
      </c>
      <c r="N721" s="45">
        <f t="shared" si="102"/>
        <v>1400000</v>
      </c>
      <c r="O721" s="45" t="s">
        <v>2261</v>
      </c>
      <c r="P721" s="45"/>
      <c r="Q721" s="45"/>
      <c r="R721" s="45"/>
      <c r="S721" s="45">
        <f t="shared" si="99"/>
        <v>0</v>
      </c>
      <c r="T721" s="44" t="s">
        <v>720</v>
      </c>
      <c r="U721" s="44" t="s">
        <v>721</v>
      </c>
      <c r="V721" s="43" t="s">
        <v>21</v>
      </c>
      <c r="W721">
        <f>VLOOKUP(C721,'Data_HS t5'!$B$2:$K$412,10,FALSE)</f>
        <v>0</v>
      </c>
      <c r="X721">
        <f>VLOOKUP(C721,'Data_HS t9'!$B$2:$K$454,10,FALSE)</f>
        <v>0</v>
      </c>
      <c r="Y721" t="s">
        <v>3151</v>
      </c>
    </row>
    <row r="722" spans="1:25">
      <c r="A722" s="2">
        <v>712</v>
      </c>
      <c r="B722" s="119">
        <v>202510</v>
      </c>
      <c r="C722" s="44" t="s">
        <v>1428</v>
      </c>
      <c r="D722" s="44" t="s">
        <v>1429</v>
      </c>
      <c r="E722" s="44" t="s">
        <v>1414</v>
      </c>
      <c r="F722" s="44">
        <v>6</v>
      </c>
      <c r="G722" s="44">
        <v>8</v>
      </c>
      <c r="H722" s="44">
        <v>0</v>
      </c>
      <c r="I722" s="44">
        <v>0</v>
      </c>
      <c r="J722" s="44">
        <v>0</v>
      </c>
      <c r="K722" s="123">
        <v>100000</v>
      </c>
      <c r="L722" s="124">
        <f t="shared" si="97"/>
        <v>14</v>
      </c>
      <c r="M722" s="45">
        <f t="shared" si="100"/>
        <v>1400000</v>
      </c>
      <c r="N722" s="45">
        <f t="shared" si="102"/>
        <v>1400000</v>
      </c>
      <c r="O722" s="45" t="s">
        <v>6139</v>
      </c>
      <c r="P722" s="45"/>
      <c r="Q722" s="45"/>
      <c r="R722" s="45"/>
      <c r="S722" s="45">
        <f t="shared" si="99"/>
        <v>0</v>
      </c>
      <c r="T722" s="44" t="s">
        <v>720</v>
      </c>
      <c r="U722" s="44" t="s">
        <v>721</v>
      </c>
      <c r="V722" s="43" t="s">
        <v>21</v>
      </c>
      <c r="W722">
        <f>VLOOKUP(C722,'Data_HS t5'!$B$2:$K$412,10,FALSE)</f>
        <v>0</v>
      </c>
      <c r="X722">
        <f>VLOOKUP(C722,'Data_HS t9'!$B$2:$K$454,10,FALSE)</f>
        <v>0</v>
      </c>
    </row>
    <row r="723" spans="1:25">
      <c r="A723" s="2">
        <v>713</v>
      </c>
      <c r="B723" s="119">
        <v>202510</v>
      </c>
      <c r="C723" s="44" t="s">
        <v>1430</v>
      </c>
      <c r="D723" s="44" t="s">
        <v>1431</v>
      </c>
      <c r="E723" s="44" t="s">
        <v>1414</v>
      </c>
      <c r="F723" s="44">
        <v>6</v>
      </c>
      <c r="G723" s="44">
        <v>8</v>
      </c>
      <c r="H723" s="44">
        <v>0</v>
      </c>
      <c r="I723" s="44">
        <v>0</v>
      </c>
      <c r="J723" s="44">
        <v>0</v>
      </c>
      <c r="K723" s="123">
        <v>100000</v>
      </c>
      <c r="L723" s="124">
        <f t="shared" si="97"/>
        <v>14</v>
      </c>
      <c r="M723" s="45">
        <f t="shared" si="100"/>
        <v>1400000</v>
      </c>
      <c r="N723" s="45">
        <f t="shared" si="102"/>
        <v>1400000</v>
      </c>
      <c r="O723" s="45" t="s">
        <v>1770</v>
      </c>
      <c r="P723" s="45"/>
      <c r="Q723" s="45"/>
      <c r="R723" s="45"/>
      <c r="S723" s="45">
        <f t="shared" si="99"/>
        <v>0</v>
      </c>
      <c r="T723" s="44" t="s">
        <v>720</v>
      </c>
      <c r="U723" s="44" t="s">
        <v>721</v>
      </c>
      <c r="V723" s="43" t="s">
        <v>21</v>
      </c>
      <c r="W723" t="str">
        <f>VLOOKUP(C723,'Data_HS t5'!$B$2:$K$412,10,FALSE)</f>
        <v>Tổ 14, Thạch Bàn, LB</v>
      </c>
      <c r="X723" t="str">
        <f>VLOOKUP(C723,'Data_HS t9'!$B$2:$K$454,10,FALSE)</f>
        <v>Tổ 14, Thạch Bàn, LB</v>
      </c>
      <c r="Y723" t="s">
        <v>3151</v>
      </c>
    </row>
    <row r="724" spans="1:25">
      <c r="A724" s="2">
        <v>714</v>
      </c>
      <c r="B724" s="119">
        <v>202510</v>
      </c>
      <c r="C724" s="44" t="s">
        <v>1432</v>
      </c>
      <c r="D724" s="44" t="s">
        <v>1433</v>
      </c>
      <c r="E724" s="44" t="s">
        <v>1414</v>
      </c>
      <c r="F724" s="44">
        <v>6</v>
      </c>
      <c r="G724" s="44">
        <v>8</v>
      </c>
      <c r="H724" s="44">
        <v>0</v>
      </c>
      <c r="I724" s="44">
        <v>0</v>
      </c>
      <c r="J724" s="44">
        <v>0</v>
      </c>
      <c r="K724" s="123">
        <v>100000</v>
      </c>
      <c r="L724" s="124">
        <f t="shared" si="97"/>
        <v>14</v>
      </c>
      <c r="M724" s="45">
        <f t="shared" si="100"/>
        <v>1400000</v>
      </c>
      <c r="N724" s="45">
        <f t="shared" si="102"/>
        <v>1400000</v>
      </c>
      <c r="O724" s="45" t="s">
        <v>1837</v>
      </c>
      <c r="P724" s="45"/>
      <c r="Q724" s="45"/>
      <c r="R724" s="45"/>
      <c r="S724" s="45">
        <f t="shared" si="99"/>
        <v>0</v>
      </c>
      <c r="T724" s="44" t="s">
        <v>720</v>
      </c>
      <c r="U724" s="44" t="s">
        <v>721</v>
      </c>
      <c r="V724" s="43" t="s">
        <v>21</v>
      </c>
      <c r="W724">
        <f>VLOOKUP(C724,'Data_HS t5'!$B$2:$K$412,10,FALSE)</f>
        <v>0</v>
      </c>
      <c r="X724">
        <f>VLOOKUP(C724,'Data_HS t9'!$B$2:$K$454,10,FALSE)</f>
        <v>0</v>
      </c>
      <c r="Y724" t="s">
        <v>3151</v>
      </c>
    </row>
    <row r="725" spans="1:25">
      <c r="A725" s="2">
        <v>715</v>
      </c>
      <c r="B725" s="119">
        <v>202510</v>
      </c>
      <c r="C725" s="44" t="s">
        <v>1434</v>
      </c>
      <c r="D725" s="44" t="s">
        <v>1435</v>
      </c>
      <c r="E725" s="44" t="s">
        <v>1414</v>
      </c>
      <c r="F725" s="44">
        <v>6</v>
      </c>
      <c r="G725" s="44">
        <v>8</v>
      </c>
      <c r="H725" s="44">
        <v>2</v>
      </c>
      <c r="I725" s="44">
        <v>0</v>
      </c>
      <c r="J725" s="44">
        <v>0</v>
      </c>
      <c r="K725" s="123">
        <v>100000</v>
      </c>
      <c r="L725" s="124">
        <f t="shared" si="97"/>
        <v>16</v>
      </c>
      <c r="M725" s="45">
        <f t="shared" si="100"/>
        <v>1600000</v>
      </c>
      <c r="N725" s="45">
        <f t="shared" si="102"/>
        <v>1600000</v>
      </c>
      <c r="O725" s="45"/>
      <c r="P725" s="45"/>
      <c r="Q725" s="45" t="s">
        <v>3151</v>
      </c>
      <c r="R725" s="45">
        <v>25000</v>
      </c>
      <c r="S725" s="45">
        <f t="shared" si="99"/>
        <v>0</v>
      </c>
      <c r="T725" s="44" t="s">
        <v>720</v>
      </c>
      <c r="U725" s="44" t="s">
        <v>721</v>
      </c>
      <c r="V725" s="43" t="s">
        <v>21</v>
      </c>
      <c r="W725" t="e">
        <f>VLOOKUP(C725,'Data_HS t5'!$B$2:$K$412,10,FALSE)</f>
        <v>#N/A</v>
      </c>
      <c r="X725" t="e">
        <f>VLOOKUP(C725,'Data_HS t9'!$B$2:$K$454,10,FALSE)</f>
        <v>#N/A</v>
      </c>
    </row>
    <row r="726" spans="1:25">
      <c r="A726" s="2">
        <v>716</v>
      </c>
      <c r="B726" s="119">
        <v>202510</v>
      </c>
      <c r="C726" s="44" t="s">
        <v>1436</v>
      </c>
      <c r="D726" s="44" t="s">
        <v>1437</v>
      </c>
      <c r="E726" s="44" t="s">
        <v>1414</v>
      </c>
      <c r="F726" s="44">
        <v>6</v>
      </c>
      <c r="G726" s="44">
        <v>8</v>
      </c>
      <c r="H726" s="44">
        <v>0</v>
      </c>
      <c r="I726" s="44">
        <v>0</v>
      </c>
      <c r="J726" s="44">
        <v>0</v>
      </c>
      <c r="K726" s="123">
        <v>100000</v>
      </c>
      <c r="L726" s="124">
        <f t="shared" si="97"/>
        <v>14</v>
      </c>
      <c r="M726" s="45">
        <f t="shared" si="100"/>
        <v>1400000</v>
      </c>
      <c r="N726" s="45">
        <f t="shared" si="102"/>
        <v>1400000</v>
      </c>
      <c r="O726" s="45" t="s">
        <v>2842</v>
      </c>
      <c r="P726" s="45"/>
      <c r="Q726" s="45"/>
      <c r="R726" s="45"/>
      <c r="S726" s="45">
        <f t="shared" si="99"/>
        <v>0</v>
      </c>
      <c r="T726" s="44" t="s">
        <v>720</v>
      </c>
      <c r="U726" s="44" t="s">
        <v>721</v>
      </c>
      <c r="V726" s="43" t="s">
        <v>21</v>
      </c>
      <c r="W726" t="str">
        <f>VLOOKUP(C726,'Data_HS t5'!$B$2:$K$412,10,FALSE)</f>
        <v>Tổ 3, Thạch Bàn, LB</v>
      </c>
      <c r="X726" t="str">
        <f>VLOOKUP(C726,'Data_HS t9'!$B$2:$K$454,10,FALSE)</f>
        <v>Tổ 3, Thạch Bàn, LB</v>
      </c>
      <c r="Y726" t="s">
        <v>3151</v>
      </c>
    </row>
    <row r="727" spans="1:25">
      <c r="A727" s="2">
        <v>717</v>
      </c>
      <c r="B727" s="119">
        <v>202510</v>
      </c>
      <c r="C727" s="44" t="s">
        <v>1438</v>
      </c>
      <c r="D727" s="44" t="s">
        <v>1439</v>
      </c>
      <c r="E727" s="44" t="s">
        <v>1414</v>
      </c>
      <c r="F727" s="44">
        <v>7</v>
      </c>
      <c r="G727" s="44">
        <v>8</v>
      </c>
      <c r="H727" s="44">
        <v>0</v>
      </c>
      <c r="I727" s="44">
        <v>0</v>
      </c>
      <c r="J727" s="44">
        <v>0</v>
      </c>
      <c r="K727" s="123">
        <v>100000</v>
      </c>
      <c r="L727" s="124">
        <f t="shared" si="97"/>
        <v>15</v>
      </c>
      <c r="M727" s="45">
        <f t="shared" si="100"/>
        <v>1500000</v>
      </c>
      <c r="N727" s="45">
        <f t="shared" si="102"/>
        <v>1500000</v>
      </c>
      <c r="O727" s="45" t="s">
        <v>2281</v>
      </c>
      <c r="P727" s="45"/>
      <c r="Q727" s="45"/>
      <c r="R727" s="45"/>
      <c r="S727" s="45">
        <f t="shared" si="99"/>
        <v>0</v>
      </c>
      <c r="T727" s="44" t="s">
        <v>720</v>
      </c>
      <c r="U727" s="44" t="s">
        <v>721</v>
      </c>
      <c r="V727" s="43" t="s">
        <v>21</v>
      </c>
      <c r="W727">
        <f>VLOOKUP(C727,'Data_HS t5'!$B$2:$K$412,10,FALSE)</f>
        <v>0</v>
      </c>
      <c r="X727">
        <f>VLOOKUP(C727,'Data_HS t9'!$B$2:$K$454,10,FALSE)</f>
        <v>0</v>
      </c>
      <c r="Y727" t="s">
        <v>3151</v>
      </c>
    </row>
    <row r="728" spans="1:25">
      <c r="A728" s="2">
        <v>718</v>
      </c>
      <c r="B728" s="119">
        <v>202510</v>
      </c>
      <c r="C728" s="44" t="s">
        <v>1440</v>
      </c>
      <c r="D728" s="44" t="s">
        <v>1441</v>
      </c>
      <c r="E728" s="44" t="s">
        <v>1414</v>
      </c>
      <c r="F728" s="44">
        <v>7</v>
      </c>
      <c r="G728" s="44">
        <v>0</v>
      </c>
      <c r="H728" s="44">
        <v>0</v>
      </c>
      <c r="I728" s="44">
        <v>0</v>
      </c>
      <c r="J728" s="44">
        <v>0</v>
      </c>
      <c r="K728" s="123">
        <v>100000</v>
      </c>
      <c r="L728" s="124">
        <f t="shared" si="97"/>
        <v>7</v>
      </c>
      <c r="M728" s="45">
        <f t="shared" si="100"/>
        <v>700000</v>
      </c>
      <c r="N728" s="45">
        <f t="shared" si="102"/>
        <v>700000</v>
      </c>
      <c r="O728" s="45" t="s">
        <v>7132</v>
      </c>
      <c r="P728" s="45"/>
      <c r="Q728" s="45"/>
      <c r="R728" s="45"/>
      <c r="S728" s="45">
        <f t="shared" si="99"/>
        <v>0</v>
      </c>
      <c r="T728" s="44" t="s">
        <v>720</v>
      </c>
      <c r="U728" s="44" t="s">
        <v>721</v>
      </c>
      <c r="V728" s="43" t="s">
        <v>21</v>
      </c>
      <c r="W728" t="str">
        <f>VLOOKUP(C728,'Data_HS t5'!$B$2:$K$412,10,FALSE)</f>
        <v>Hiện nay: Số 21 hẻm 32/15/23 phố An Dương, Phường Yên Phụ, Tây Hồ, HN</v>
      </c>
      <c r="X728" t="e">
        <f>VLOOKUP(C728,'Data_HS t9'!$B$2:$K$454,10,FALSE)</f>
        <v>#N/A</v>
      </c>
    </row>
    <row r="729" spans="1:25">
      <c r="A729" s="2">
        <v>719</v>
      </c>
      <c r="B729" s="119">
        <v>202510</v>
      </c>
      <c r="C729" s="44" t="s">
        <v>1442</v>
      </c>
      <c r="D729" s="44" t="s">
        <v>1443</v>
      </c>
      <c r="E729" s="44" t="s">
        <v>1414</v>
      </c>
      <c r="F729" s="44">
        <v>6</v>
      </c>
      <c r="G729" s="44">
        <v>8</v>
      </c>
      <c r="H729" s="44">
        <v>0</v>
      </c>
      <c r="I729" s="44">
        <v>0</v>
      </c>
      <c r="J729" s="44">
        <v>0</v>
      </c>
      <c r="K729" s="123">
        <v>100000</v>
      </c>
      <c r="L729" s="124">
        <f t="shared" si="97"/>
        <v>14</v>
      </c>
      <c r="M729" s="45">
        <f t="shared" si="100"/>
        <v>1400000</v>
      </c>
      <c r="N729" s="45">
        <f t="shared" si="102"/>
        <v>1400000</v>
      </c>
      <c r="O729" s="45" t="s">
        <v>1630</v>
      </c>
      <c r="P729" s="45"/>
      <c r="Q729" s="45"/>
      <c r="R729" s="45"/>
      <c r="S729" s="45">
        <f t="shared" si="99"/>
        <v>0</v>
      </c>
      <c r="T729" s="44" t="s">
        <v>720</v>
      </c>
      <c r="U729" s="44" t="s">
        <v>721</v>
      </c>
      <c r="V729" s="43" t="s">
        <v>21</v>
      </c>
      <c r="W729" t="str">
        <f>VLOOKUP(C729,'Data_HS t5'!$B$2:$K$412,10,FALSE)</f>
        <v>Tổ 7, Ngọc Thuỵ, LB</v>
      </c>
      <c r="X729">
        <f>VLOOKUP(C729,'Data_HS t9'!$B$2:$K$454,10,FALSE)</f>
        <v>0</v>
      </c>
      <c r="Y729" t="s">
        <v>3151</v>
      </c>
    </row>
    <row r="730" spans="1:25">
      <c r="A730" s="2">
        <v>720</v>
      </c>
      <c r="B730" s="119">
        <v>202510</v>
      </c>
      <c r="C730" s="44" t="s">
        <v>1444</v>
      </c>
      <c r="D730" s="44" t="s">
        <v>1445</v>
      </c>
      <c r="E730" s="44" t="s">
        <v>1414</v>
      </c>
      <c r="F730" s="44">
        <v>5</v>
      </c>
      <c r="G730" s="44">
        <v>8</v>
      </c>
      <c r="H730" s="44">
        <v>0</v>
      </c>
      <c r="I730" s="44">
        <v>0</v>
      </c>
      <c r="J730" s="44">
        <v>0</v>
      </c>
      <c r="K730" s="123">
        <v>100000</v>
      </c>
      <c r="L730" s="124">
        <f t="shared" si="97"/>
        <v>13</v>
      </c>
      <c r="M730" s="45">
        <f t="shared" si="100"/>
        <v>1300000</v>
      </c>
      <c r="N730" s="45">
        <f t="shared" si="102"/>
        <v>1300000</v>
      </c>
      <c r="O730" s="45" t="s">
        <v>1801</v>
      </c>
      <c r="P730" s="45"/>
      <c r="Q730" s="45"/>
      <c r="R730" s="45"/>
      <c r="S730" s="45">
        <f t="shared" si="99"/>
        <v>0</v>
      </c>
      <c r="T730" s="44" t="s">
        <v>720</v>
      </c>
      <c r="U730" s="44" t="s">
        <v>721</v>
      </c>
      <c r="V730" s="43" t="s">
        <v>21</v>
      </c>
      <c r="W730">
        <f>VLOOKUP(C730,'Data_HS t5'!$B$2:$K$412,10,FALSE)</f>
        <v>0</v>
      </c>
      <c r="X730">
        <f>VLOOKUP(C730,'Data_HS t9'!$B$2:$K$454,10,FALSE)</f>
        <v>0</v>
      </c>
      <c r="Y730" t="s">
        <v>3151</v>
      </c>
    </row>
    <row r="731" spans="1:25">
      <c r="A731" s="2">
        <v>721</v>
      </c>
      <c r="B731" s="119">
        <v>202510</v>
      </c>
      <c r="C731" s="44" t="s">
        <v>1446</v>
      </c>
      <c r="D731" s="44" t="s">
        <v>1447</v>
      </c>
      <c r="E731" s="44" t="s">
        <v>1414</v>
      </c>
      <c r="F731" s="44">
        <v>0</v>
      </c>
      <c r="G731" s="44">
        <v>8</v>
      </c>
      <c r="H731" s="44">
        <v>0</v>
      </c>
      <c r="I731" s="44">
        <v>0</v>
      </c>
      <c r="J731" s="44">
        <v>0</v>
      </c>
      <c r="K731" s="123">
        <v>100000</v>
      </c>
      <c r="L731" s="124">
        <f t="shared" si="97"/>
        <v>8</v>
      </c>
      <c r="M731" s="45">
        <f t="shared" si="100"/>
        <v>800000</v>
      </c>
      <c r="N731" s="45">
        <f t="shared" si="102"/>
        <v>800000</v>
      </c>
      <c r="O731" s="45" t="s">
        <v>7127</v>
      </c>
      <c r="P731" s="45"/>
      <c r="Q731" s="45"/>
      <c r="R731" s="45"/>
      <c r="S731" s="45">
        <f t="shared" si="99"/>
        <v>0</v>
      </c>
      <c r="T731" s="44" t="s">
        <v>720</v>
      </c>
      <c r="U731" s="44" t="s">
        <v>721</v>
      </c>
      <c r="V731" s="43" t="s">
        <v>21</v>
      </c>
      <c r="W731" t="e">
        <f>VLOOKUP(C731,'Data_HS t5'!$B$2:$K$412,10,FALSE)</f>
        <v>#N/A</v>
      </c>
      <c r="X731" t="str">
        <f>VLOOKUP(C731,'Data_HS t9'!$B$2:$K$454,10,FALSE)</f>
        <v>Tổ 12, Long Biên, LB</v>
      </c>
    </row>
    <row r="732" spans="1:25">
      <c r="A732" s="2">
        <v>722</v>
      </c>
      <c r="B732" s="119">
        <v>202510</v>
      </c>
      <c r="C732" s="44" t="s">
        <v>1448</v>
      </c>
      <c r="D732" s="44" t="s">
        <v>1449</v>
      </c>
      <c r="E732" s="44" t="s">
        <v>1414</v>
      </c>
      <c r="F732" s="44">
        <v>0</v>
      </c>
      <c r="G732" s="44">
        <v>8</v>
      </c>
      <c r="H732" s="44">
        <v>0</v>
      </c>
      <c r="I732" s="44">
        <v>0</v>
      </c>
      <c r="J732" s="44">
        <v>0</v>
      </c>
      <c r="K732" s="123">
        <v>100000</v>
      </c>
      <c r="L732" s="124">
        <f t="shared" si="97"/>
        <v>8</v>
      </c>
      <c r="M732" s="45">
        <f t="shared" si="100"/>
        <v>800000</v>
      </c>
      <c r="N732" s="45">
        <f t="shared" si="102"/>
        <v>800000</v>
      </c>
      <c r="O732" s="45" t="s">
        <v>1817</v>
      </c>
      <c r="P732" s="45"/>
      <c r="Q732" s="45"/>
      <c r="R732" s="45"/>
      <c r="S732" s="45">
        <f t="shared" si="99"/>
        <v>0</v>
      </c>
      <c r="T732" s="44" t="s">
        <v>720</v>
      </c>
      <c r="U732" s="44" t="s">
        <v>721</v>
      </c>
      <c r="V732" s="43" t="s">
        <v>21</v>
      </c>
      <c r="W732">
        <f>VLOOKUP(C732,'Data_HS t5'!$B$2:$K$412,10,FALSE)</f>
        <v>0</v>
      </c>
      <c r="X732">
        <f>VLOOKUP(C732,'Data_HS t9'!$B$2:$K$454,10,FALSE)</f>
        <v>0</v>
      </c>
      <c r="Y732" t="s">
        <v>3151</v>
      </c>
    </row>
    <row r="733" spans="1:25">
      <c r="A733" s="2">
        <v>724</v>
      </c>
      <c r="B733" s="119">
        <v>202510</v>
      </c>
      <c r="C733" s="44" t="s">
        <v>1450</v>
      </c>
      <c r="D733" s="44" t="s">
        <v>1451</v>
      </c>
      <c r="E733" s="44" t="s">
        <v>1414</v>
      </c>
      <c r="F733" s="44">
        <v>0</v>
      </c>
      <c r="G733" s="44">
        <v>8</v>
      </c>
      <c r="H733" s="44">
        <v>0</v>
      </c>
      <c r="I733" s="44">
        <v>0</v>
      </c>
      <c r="J733" s="44">
        <v>0</v>
      </c>
      <c r="K733" s="123">
        <v>100000</v>
      </c>
      <c r="L733" s="124">
        <f t="shared" si="97"/>
        <v>8</v>
      </c>
      <c r="M733" s="45">
        <f t="shared" si="100"/>
        <v>800000</v>
      </c>
      <c r="N733" s="45">
        <f t="shared" si="102"/>
        <v>800000</v>
      </c>
      <c r="O733" s="45" t="s">
        <v>1665</v>
      </c>
      <c r="P733" s="45"/>
      <c r="Q733" s="45"/>
      <c r="R733" s="45"/>
      <c r="S733" s="45">
        <f t="shared" si="99"/>
        <v>0</v>
      </c>
      <c r="T733" s="44" t="s">
        <v>720</v>
      </c>
      <c r="U733" s="44" t="s">
        <v>721</v>
      </c>
      <c r="V733" s="43" t="s">
        <v>21</v>
      </c>
      <c r="W733">
        <f>VLOOKUP(C733,'Data_HS t5'!$B$2:$K$412,10,FALSE)</f>
        <v>0</v>
      </c>
      <c r="X733">
        <f>VLOOKUP(C733,'Data_HS t9'!$B$2:$K$454,10,FALSE)</f>
        <v>0</v>
      </c>
      <c r="Y733" t="s">
        <v>3151</v>
      </c>
    </row>
    <row r="734" spans="1:25">
      <c r="A734" s="2">
        <v>725</v>
      </c>
      <c r="B734" s="119">
        <v>202510</v>
      </c>
      <c r="C734" s="44" t="s">
        <v>1452</v>
      </c>
      <c r="D734" s="44" t="s">
        <v>1453</v>
      </c>
      <c r="E734" s="44" t="s">
        <v>1414</v>
      </c>
      <c r="F734" s="44">
        <v>0</v>
      </c>
      <c r="G734" s="44">
        <v>8</v>
      </c>
      <c r="H734" s="44">
        <v>0</v>
      </c>
      <c r="I734" s="44">
        <v>0</v>
      </c>
      <c r="J734" s="44">
        <v>0</v>
      </c>
      <c r="K734" s="123">
        <v>100000</v>
      </c>
      <c r="L734" s="124">
        <f t="shared" si="97"/>
        <v>8</v>
      </c>
      <c r="M734" s="45">
        <f t="shared" si="100"/>
        <v>800000</v>
      </c>
      <c r="N734" s="45">
        <f t="shared" si="102"/>
        <v>800000</v>
      </c>
      <c r="O734" s="45" t="s">
        <v>1847</v>
      </c>
      <c r="P734" s="45"/>
      <c r="Q734" s="45"/>
      <c r="R734" s="45"/>
      <c r="S734" s="45">
        <f t="shared" si="99"/>
        <v>0</v>
      </c>
      <c r="T734" s="44" t="s">
        <v>720</v>
      </c>
      <c r="U734" s="44" t="s">
        <v>721</v>
      </c>
      <c r="V734" s="43" t="s">
        <v>21</v>
      </c>
      <c r="W734">
        <f>VLOOKUP(C734,'Data_HS t5'!$B$2:$K$412,10,FALSE)</f>
        <v>0</v>
      </c>
      <c r="X734">
        <f>VLOOKUP(C734,'Data_HS t9'!$B$2:$K$454,10,FALSE)</f>
        <v>0</v>
      </c>
      <c r="Y734" t="s">
        <v>3151</v>
      </c>
    </row>
    <row r="735" spans="1:25">
      <c r="A735" s="2">
        <v>726</v>
      </c>
      <c r="B735" s="119">
        <v>202510</v>
      </c>
      <c r="C735" s="44" t="s">
        <v>1454</v>
      </c>
      <c r="D735" s="44" t="s">
        <v>1455</v>
      </c>
      <c r="E735" s="44" t="s">
        <v>1414</v>
      </c>
      <c r="F735" s="44">
        <v>6</v>
      </c>
      <c r="G735" s="44">
        <v>8</v>
      </c>
      <c r="H735" s="44">
        <v>0</v>
      </c>
      <c r="I735" s="44">
        <v>0</v>
      </c>
      <c r="J735" s="44">
        <v>0</v>
      </c>
      <c r="K735" s="123">
        <v>100000</v>
      </c>
      <c r="L735" s="124">
        <f t="shared" si="97"/>
        <v>14</v>
      </c>
      <c r="M735" s="45">
        <f t="shared" si="100"/>
        <v>1400000</v>
      </c>
      <c r="N735" s="45">
        <f t="shared" si="102"/>
        <v>1400000</v>
      </c>
      <c r="O735" s="45" t="s">
        <v>6107</v>
      </c>
      <c r="P735" s="45"/>
      <c r="Q735" s="45"/>
      <c r="R735" s="45"/>
      <c r="S735" s="45">
        <f t="shared" si="99"/>
        <v>0</v>
      </c>
      <c r="T735" s="44" t="s">
        <v>720</v>
      </c>
      <c r="U735" s="44" t="s">
        <v>721</v>
      </c>
      <c r="V735" s="43" t="s">
        <v>21</v>
      </c>
      <c r="W735" t="str">
        <f>VLOOKUP(C735,'Data_HS t5'!$B$2:$K$412,10,FALSE)</f>
        <v>D2 Rừng Cọ Ecopark , xã Xuân Quan, Huyện Văn Giang, Tỉnh Hưng Yên</v>
      </c>
      <c r="X735" t="str">
        <f>VLOOKUP(C735,'Data_HS t9'!$B$2:$K$454,10,FALSE)</f>
        <v>D2 Rừng Cọ Ecopark , xã Xuân Quan, Huyện Văn Giang, Tỉnh Hưng Yên</v>
      </c>
    </row>
    <row r="736" spans="1:25" ht="16.8" customHeight="1">
      <c r="A736" s="2">
        <v>727</v>
      </c>
      <c r="B736" s="119">
        <v>202510</v>
      </c>
      <c r="C736" s="44" t="s">
        <v>1456</v>
      </c>
      <c r="D736" s="44" t="s">
        <v>1457</v>
      </c>
      <c r="E736" s="44" t="s">
        <v>1414</v>
      </c>
      <c r="F736" s="44">
        <v>0</v>
      </c>
      <c r="G736" s="44">
        <v>8</v>
      </c>
      <c r="H736" s="44">
        <v>0</v>
      </c>
      <c r="I736" s="44">
        <v>0</v>
      </c>
      <c r="J736" s="44">
        <v>0</v>
      </c>
      <c r="K736" s="123">
        <v>100000</v>
      </c>
      <c r="L736" s="124">
        <f t="shared" si="97"/>
        <v>8</v>
      </c>
      <c r="M736" s="45">
        <f t="shared" si="100"/>
        <v>800000</v>
      </c>
      <c r="N736" s="45">
        <f t="shared" si="102"/>
        <v>800000</v>
      </c>
      <c r="O736" s="69" t="s">
        <v>6145</v>
      </c>
      <c r="P736" s="69"/>
      <c r="Q736" s="69"/>
      <c r="R736" s="69"/>
      <c r="S736" s="45">
        <f t="shared" si="99"/>
        <v>0</v>
      </c>
      <c r="T736" s="44" t="s">
        <v>720</v>
      </c>
      <c r="U736" s="44" t="s">
        <v>721</v>
      </c>
      <c r="V736" s="43" t="s">
        <v>21</v>
      </c>
      <c r="W736">
        <f>VLOOKUP(C736,'Data_HS t5'!$B$2:$K$412,10,FALSE)</f>
        <v>0</v>
      </c>
      <c r="X736">
        <f>VLOOKUP(C736,'Data_HS t9'!$B$2:$K$454,10,FALSE)</f>
        <v>0</v>
      </c>
    </row>
    <row r="737" spans="1:25" ht="13.2" customHeight="1">
      <c r="A737" s="2">
        <v>728</v>
      </c>
      <c r="B737" s="119">
        <v>202510</v>
      </c>
      <c r="C737" s="44" t="s">
        <v>1458</v>
      </c>
      <c r="D737" s="44" t="s">
        <v>1459</v>
      </c>
      <c r="E737" s="44" t="s">
        <v>1414</v>
      </c>
      <c r="F737" s="44">
        <v>0</v>
      </c>
      <c r="G737" s="44">
        <v>8</v>
      </c>
      <c r="H737" s="44">
        <v>0</v>
      </c>
      <c r="I737" s="44">
        <v>0</v>
      </c>
      <c r="J737" s="44">
        <v>0</v>
      </c>
      <c r="K737" s="123">
        <v>100000</v>
      </c>
      <c r="L737" s="124">
        <f t="shared" si="97"/>
        <v>8</v>
      </c>
      <c r="M737" s="45">
        <f t="shared" si="100"/>
        <v>800000</v>
      </c>
      <c r="N737" s="45">
        <f t="shared" si="102"/>
        <v>800000</v>
      </c>
      <c r="O737" s="69" t="s">
        <v>1852</v>
      </c>
      <c r="P737" s="45"/>
      <c r="Q737" s="45"/>
      <c r="R737" s="45"/>
      <c r="S737" s="45">
        <f t="shared" si="99"/>
        <v>0</v>
      </c>
      <c r="T737" s="44" t="s">
        <v>720</v>
      </c>
      <c r="U737" s="44" t="s">
        <v>721</v>
      </c>
      <c r="V737" s="43" t="s">
        <v>21</v>
      </c>
      <c r="W737" t="str">
        <f>VLOOKUP(C737,'Data_HS t5'!$B$2:$K$412,10,FALSE)</f>
        <v>Tổ 3, Thạch Bàn, LB</v>
      </c>
      <c r="X737" t="str">
        <f>VLOOKUP(C737,'Data_HS t9'!$B$2:$K$454,10,FALSE)</f>
        <v>Tổ 3, Thạch Bàn, LB</v>
      </c>
      <c r="Y737" t="s">
        <v>3151</v>
      </c>
    </row>
    <row r="738" spans="1:25">
      <c r="A738" s="2">
        <v>729</v>
      </c>
      <c r="B738" s="119">
        <v>202510</v>
      </c>
      <c r="C738" s="44" t="s">
        <v>1460</v>
      </c>
      <c r="D738" s="44" t="s">
        <v>1461</v>
      </c>
      <c r="E738" s="44" t="s">
        <v>1414</v>
      </c>
      <c r="F738" s="44">
        <v>0</v>
      </c>
      <c r="G738" s="44">
        <v>8</v>
      </c>
      <c r="H738" s="44">
        <v>0</v>
      </c>
      <c r="I738" s="44">
        <v>0</v>
      </c>
      <c r="J738" s="44">
        <v>0</v>
      </c>
      <c r="K738" s="123">
        <v>100000</v>
      </c>
      <c r="L738" s="124">
        <f t="shared" si="97"/>
        <v>8</v>
      </c>
      <c r="M738" s="45">
        <f t="shared" si="100"/>
        <v>800000</v>
      </c>
      <c r="N738" s="45">
        <f t="shared" si="102"/>
        <v>800000</v>
      </c>
      <c r="O738" s="45" t="s">
        <v>2321</v>
      </c>
      <c r="P738" s="45"/>
      <c r="Q738" s="45"/>
      <c r="R738" s="45"/>
      <c r="S738" s="45">
        <f t="shared" si="99"/>
        <v>0</v>
      </c>
      <c r="T738" s="44" t="s">
        <v>720</v>
      </c>
      <c r="U738" s="44" t="s">
        <v>721</v>
      </c>
      <c r="V738" s="43" t="s">
        <v>21</v>
      </c>
      <c r="W738">
        <f>VLOOKUP(C738,'Data_HS t5'!$B$2:$K$412,10,FALSE)</f>
        <v>0</v>
      </c>
      <c r="X738">
        <f>VLOOKUP(C738,'Data_HS t9'!$B$2:$K$454,10,FALSE)</f>
        <v>0</v>
      </c>
      <c r="Y738" t="s">
        <v>3151</v>
      </c>
    </row>
    <row r="739" spans="1:25">
      <c r="A739" s="2">
        <v>730</v>
      </c>
      <c r="B739" s="119">
        <v>202510</v>
      </c>
      <c r="C739" s="44" t="s">
        <v>1462</v>
      </c>
      <c r="D739" s="44" t="s">
        <v>1463</v>
      </c>
      <c r="E739" s="44" t="s">
        <v>1414</v>
      </c>
      <c r="F739" s="44">
        <v>0</v>
      </c>
      <c r="G739" s="44">
        <v>8</v>
      </c>
      <c r="H739" s="44">
        <v>0</v>
      </c>
      <c r="I739" s="44">
        <v>0</v>
      </c>
      <c r="J739" s="44">
        <v>0</v>
      </c>
      <c r="K739" s="123">
        <v>100000</v>
      </c>
      <c r="L739" s="124">
        <f t="shared" si="97"/>
        <v>8</v>
      </c>
      <c r="M739" s="45">
        <f t="shared" si="100"/>
        <v>800000</v>
      </c>
      <c r="N739" s="45">
        <f>M740</f>
        <v>800000</v>
      </c>
      <c r="O739" s="45" t="s">
        <v>2128</v>
      </c>
      <c r="P739" s="45"/>
      <c r="Q739" s="45"/>
      <c r="R739" s="45"/>
      <c r="S739" s="45">
        <f t="shared" si="99"/>
        <v>0</v>
      </c>
      <c r="T739" s="44" t="s">
        <v>720</v>
      </c>
      <c r="U739" s="44" t="s">
        <v>721</v>
      </c>
      <c r="V739" s="43" t="s">
        <v>21</v>
      </c>
      <c r="W739">
        <f>VLOOKUP(C739,'Data_HS t5'!$B$2:$K$412,10,FALSE)</f>
        <v>0</v>
      </c>
      <c r="X739">
        <f>VLOOKUP(C739,'Data_HS t9'!$B$2:$K$454,10,FALSE)</f>
        <v>0</v>
      </c>
      <c r="Y739" t="s">
        <v>3151</v>
      </c>
    </row>
    <row r="740" spans="1:25">
      <c r="A740" s="2">
        <v>731</v>
      </c>
      <c r="B740" s="119">
        <v>202510</v>
      </c>
      <c r="C740" s="44" t="s">
        <v>1464</v>
      </c>
      <c r="D740" s="44" t="s">
        <v>1465</v>
      </c>
      <c r="E740" s="44" t="s">
        <v>1414</v>
      </c>
      <c r="F740" s="44">
        <v>0</v>
      </c>
      <c r="G740" s="44">
        <v>8</v>
      </c>
      <c r="H740" s="44">
        <v>0</v>
      </c>
      <c r="I740" s="44">
        <v>0</v>
      </c>
      <c r="J740" s="44">
        <v>0</v>
      </c>
      <c r="K740" s="123">
        <v>100000</v>
      </c>
      <c r="L740" s="124">
        <f t="shared" si="97"/>
        <v>8</v>
      </c>
      <c r="M740" s="45">
        <f t="shared" si="100"/>
        <v>800000</v>
      </c>
      <c r="N740" s="45">
        <f t="shared" ref="N740:N749" si="103">M740</f>
        <v>800000</v>
      </c>
      <c r="O740" s="45" t="s">
        <v>6698</v>
      </c>
      <c r="P740" s="45"/>
      <c r="Q740" s="45"/>
      <c r="R740" s="45"/>
      <c r="S740" s="45">
        <f t="shared" si="99"/>
        <v>0</v>
      </c>
      <c r="T740" s="44" t="s">
        <v>720</v>
      </c>
      <c r="U740" s="44" t="s">
        <v>721</v>
      </c>
      <c r="V740" s="43" t="s">
        <v>21</v>
      </c>
      <c r="W740" t="str">
        <f>VLOOKUP(C740,'Data_HS t5'!$B$2:$K$412,10,FALSE)</f>
        <v>Tổ 12, Thạch Bàn, LB</v>
      </c>
      <c r="X740" t="str">
        <f>VLOOKUP(C740,'Data_HS t9'!$B$2:$K$454,10,FALSE)</f>
        <v>Tổ 12, Thạch Bàn, LB</v>
      </c>
    </row>
    <row r="741" spans="1:25">
      <c r="A741" s="2">
        <v>732</v>
      </c>
      <c r="B741" s="119">
        <v>202510</v>
      </c>
      <c r="C741" s="44" t="s">
        <v>1466</v>
      </c>
      <c r="D741" s="44" t="s">
        <v>1467</v>
      </c>
      <c r="E741" s="44" t="s">
        <v>1414</v>
      </c>
      <c r="F741" s="44">
        <v>0</v>
      </c>
      <c r="G741" s="44">
        <v>8</v>
      </c>
      <c r="H741" s="44">
        <v>0</v>
      </c>
      <c r="I741" s="44">
        <v>0</v>
      </c>
      <c r="J741" s="44">
        <v>0</v>
      </c>
      <c r="K741" s="123">
        <v>100000</v>
      </c>
      <c r="L741" s="124">
        <f t="shared" si="97"/>
        <v>8</v>
      </c>
      <c r="M741" s="45">
        <f t="shared" si="100"/>
        <v>800000</v>
      </c>
      <c r="N741" s="45">
        <f t="shared" si="103"/>
        <v>800000</v>
      </c>
      <c r="O741" s="45" t="s">
        <v>2820</v>
      </c>
      <c r="P741" s="45"/>
      <c r="Q741" s="45"/>
      <c r="R741" s="45"/>
      <c r="S741" s="45">
        <f t="shared" si="99"/>
        <v>0</v>
      </c>
      <c r="T741" s="44" t="s">
        <v>720</v>
      </c>
      <c r="U741" s="44" t="s">
        <v>721</v>
      </c>
      <c r="V741" s="43" t="s">
        <v>21</v>
      </c>
      <c r="W741" t="str">
        <f>VLOOKUP(C741,'Data_HS t5'!$B$2:$K$412,10,FALSE)</f>
        <v>Số 19/9/1 Nguyễn Văn Linh, Gia Thụỵ, LB</v>
      </c>
      <c r="X741" t="str">
        <f>VLOOKUP(C741,'Data_HS t9'!$B$2:$K$454,10,FALSE)</f>
        <v>Số 19/9/1 Nguyễn Văn Linh, Gia Thụỵ, LB</v>
      </c>
    </row>
    <row r="742" spans="1:25">
      <c r="A742" s="2">
        <v>733</v>
      </c>
      <c r="B742" s="119">
        <v>202510</v>
      </c>
      <c r="C742" s="44" t="s">
        <v>1468</v>
      </c>
      <c r="D742" s="44" t="s">
        <v>1469</v>
      </c>
      <c r="E742" s="44" t="s">
        <v>1414</v>
      </c>
      <c r="F742" s="44">
        <v>0</v>
      </c>
      <c r="G742" s="44">
        <v>4</v>
      </c>
      <c r="H742" s="44">
        <v>0</v>
      </c>
      <c r="I742" s="44">
        <v>0</v>
      </c>
      <c r="J742" s="44">
        <v>0</v>
      </c>
      <c r="K742" s="123">
        <v>100000</v>
      </c>
      <c r="L742" s="124">
        <f t="shared" si="97"/>
        <v>4</v>
      </c>
      <c r="M742" s="45">
        <f t="shared" si="100"/>
        <v>400000</v>
      </c>
      <c r="N742" s="45">
        <f t="shared" si="103"/>
        <v>400000</v>
      </c>
      <c r="O742" s="45" t="s">
        <v>1700</v>
      </c>
      <c r="P742" s="45"/>
      <c r="Q742" s="45"/>
      <c r="R742" s="45"/>
      <c r="S742" s="45">
        <f t="shared" si="99"/>
        <v>0</v>
      </c>
      <c r="T742" s="44" t="s">
        <v>720</v>
      </c>
      <c r="U742" s="44" t="s">
        <v>721</v>
      </c>
      <c r="V742" s="43" t="s">
        <v>21</v>
      </c>
      <c r="W742">
        <f>VLOOKUP(C742,'Data_HS t5'!$B$2:$K$412,10,FALSE)</f>
        <v>0</v>
      </c>
      <c r="X742">
        <f>VLOOKUP(C742,'Data_HS t9'!$B$2:$K$454,10,FALSE)</f>
        <v>0</v>
      </c>
      <c r="Y742" t="s">
        <v>3151</v>
      </c>
    </row>
    <row r="743" spans="1:25">
      <c r="A743" s="2">
        <v>734</v>
      </c>
      <c r="B743" s="119">
        <v>202510</v>
      </c>
      <c r="C743" s="44" t="s">
        <v>1470</v>
      </c>
      <c r="D743" s="44" t="s">
        <v>1471</v>
      </c>
      <c r="E743" s="44" t="s">
        <v>1414</v>
      </c>
      <c r="F743" s="44">
        <v>0</v>
      </c>
      <c r="G743" s="44">
        <v>8</v>
      </c>
      <c r="H743" s="44">
        <v>0</v>
      </c>
      <c r="I743" s="44">
        <v>0</v>
      </c>
      <c r="J743" s="44">
        <v>0</v>
      </c>
      <c r="K743" s="123">
        <v>100000</v>
      </c>
      <c r="L743" s="124">
        <f t="shared" si="97"/>
        <v>8</v>
      </c>
      <c r="M743" s="45">
        <f t="shared" si="100"/>
        <v>800000</v>
      </c>
      <c r="N743" s="45">
        <f t="shared" si="103"/>
        <v>800000</v>
      </c>
      <c r="O743" s="45" t="s">
        <v>1760</v>
      </c>
      <c r="P743" s="45"/>
      <c r="Q743" s="45"/>
      <c r="R743" s="45"/>
      <c r="S743" s="45">
        <f t="shared" si="99"/>
        <v>0</v>
      </c>
      <c r="T743" s="44" t="s">
        <v>720</v>
      </c>
      <c r="U743" s="44" t="s">
        <v>721</v>
      </c>
      <c r="V743" s="43" t="s">
        <v>21</v>
      </c>
      <c r="W743" t="str">
        <f>VLOOKUP(C743,'Data_HS t5'!$B$2:$K$412,10,FALSE)</f>
        <v>P3r4 cc Happy Star No10, Giang Biên, LB</v>
      </c>
      <c r="X743" t="str">
        <f>VLOOKUP(C743,'Data_HS t9'!$B$2:$K$454,10,FALSE)</f>
        <v>P3r4 cc Happy Star No10, Giang Biên, LB</v>
      </c>
      <c r="Y743" t="s">
        <v>3151</v>
      </c>
    </row>
    <row r="744" spans="1:25">
      <c r="A744" s="2">
        <v>735</v>
      </c>
      <c r="B744" s="119">
        <v>202510</v>
      </c>
      <c r="C744" s="44" t="s">
        <v>1472</v>
      </c>
      <c r="D744" s="44" t="s">
        <v>1473</v>
      </c>
      <c r="E744" s="44" t="s">
        <v>1414</v>
      </c>
      <c r="F744" s="44">
        <v>0</v>
      </c>
      <c r="G744" s="44">
        <v>8</v>
      </c>
      <c r="H744" s="44">
        <v>0</v>
      </c>
      <c r="I744" s="44">
        <v>0</v>
      </c>
      <c r="J744" s="44">
        <v>0</v>
      </c>
      <c r="K744" s="123">
        <v>100000</v>
      </c>
      <c r="L744" s="124">
        <f t="shared" si="97"/>
        <v>8</v>
      </c>
      <c r="M744" s="45">
        <f t="shared" si="100"/>
        <v>800000</v>
      </c>
      <c r="N744" s="45">
        <f t="shared" si="103"/>
        <v>800000</v>
      </c>
      <c r="O744" s="45" t="s">
        <v>1740</v>
      </c>
      <c r="P744" s="45"/>
      <c r="Q744" s="45"/>
      <c r="R744" s="45"/>
      <c r="S744" s="45">
        <f t="shared" si="99"/>
        <v>0</v>
      </c>
      <c r="T744" s="44" t="s">
        <v>720</v>
      </c>
      <c r="U744" s="44" t="s">
        <v>721</v>
      </c>
      <c r="V744" s="43" t="s">
        <v>21</v>
      </c>
      <c r="W744" t="str">
        <f>VLOOKUP(C744,'Data_HS t5'!$B$2:$K$412,10,FALSE)</f>
        <v>Số 6 ngõ 76VXT, Tổ 22, Sài Đồng, LB</v>
      </c>
      <c r="X744" t="str">
        <f>VLOOKUP(C744,'Data_HS t9'!$B$2:$K$454,10,FALSE)</f>
        <v>Số 6 ngõ 76VXT, Tổ 22, Sài Đồng, LB</v>
      </c>
      <c r="Y744" t="s">
        <v>3151</v>
      </c>
    </row>
    <row r="745" spans="1:25">
      <c r="A745" s="2">
        <v>736</v>
      </c>
      <c r="B745" s="119">
        <v>202510</v>
      </c>
      <c r="C745" s="44" t="s">
        <v>170</v>
      </c>
      <c r="D745" s="44" t="s">
        <v>1474</v>
      </c>
      <c r="E745" s="44" t="s">
        <v>1414</v>
      </c>
      <c r="F745" s="44">
        <v>0</v>
      </c>
      <c r="G745" s="44">
        <v>8</v>
      </c>
      <c r="H745" s="44">
        <v>0</v>
      </c>
      <c r="I745" s="44">
        <v>0</v>
      </c>
      <c r="J745" s="44">
        <v>0</v>
      </c>
      <c r="K745" s="123">
        <v>100000</v>
      </c>
      <c r="L745" s="124">
        <f t="shared" si="97"/>
        <v>8</v>
      </c>
      <c r="M745" s="45">
        <f t="shared" si="100"/>
        <v>800000</v>
      </c>
      <c r="N745" s="45">
        <f t="shared" si="103"/>
        <v>800000</v>
      </c>
      <c r="O745" s="45" t="s">
        <v>2251</v>
      </c>
      <c r="P745" s="45"/>
      <c r="Q745" s="45"/>
      <c r="R745" s="45"/>
      <c r="S745" s="45">
        <f t="shared" si="99"/>
        <v>0</v>
      </c>
      <c r="T745" s="44" t="s">
        <v>720</v>
      </c>
      <c r="U745" s="44" t="s">
        <v>721</v>
      </c>
      <c r="V745" s="43" t="s">
        <v>21</v>
      </c>
      <c r="W745">
        <f>VLOOKUP(C745,'Data_HS t5'!$B$2:$K$412,10,FALSE)</f>
        <v>0</v>
      </c>
      <c r="X745">
        <f>VLOOKUP(C745,'Data_HS t9'!$B$2:$K$454,10,FALSE)</f>
        <v>0</v>
      </c>
      <c r="Y745" t="s">
        <v>3151</v>
      </c>
    </row>
    <row r="746" spans="1:25">
      <c r="A746" s="2">
        <v>737</v>
      </c>
      <c r="B746" s="119">
        <v>202510</v>
      </c>
      <c r="C746" s="44" t="s">
        <v>529</v>
      </c>
      <c r="D746" s="44" t="s">
        <v>1475</v>
      </c>
      <c r="E746" s="44" t="s">
        <v>1414</v>
      </c>
      <c r="F746" s="44">
        <v>6</v>
      </c>
      <c r="G746" s="44">
        <v>8</v>
      </c>
      <c r="H746" s="44">
        <v>0</v>
      </c>
      <c r="I746" s="44">
        <v>0</v>
      </c>
      <c r="J746" s="44">
        <v>0</v>
      </c>
      <c r="K746" s="123">
        <v>100000</v>
      </c>
      <c r="L746" s="124">
        <f t="shared" si="97"/>
        <v>14</v>
      </c>
      <c r="M746" s="45">
        <f t="shared" si="100"/>
        <v>1400000</v>
      </c>
      <c r="N746" s="45">
        <f t="shared" si="103"/>
        <v>1400000</v>
      </c>
      <c r="O746" s="45"/>
      <c r="P746" s="45"/>
      <c r="Q746" s="45" t="s">
        <v>3150</v>
      </c>
      <c r="R746" s="45">
        <v>20000</v>
      </c>
      <c r="S746" s="45">
        <f t="shared" si="99"/>
        <v>0</v>
      </c>
      <c r="T746" s="44" t="s">
        <v>720</v>
      </c>
      <c r="U746" s="44" t="s">
        <v>721</v>
      </c>
      <c r="V746" s="43" t="s">
        <v>21</v>
      </c>
      <c r="W746" t="str">
        <f>VLOOKUP(C746,'Data_HS t5'!$B$2:$K$412,10,FALSE)</f>
        <v>5/366/36/4, Ngọc Lâm, LB</v>
      </c>
      <c r="X746" t="str">
        <f>VLOOKUP(C746,'Data_HS t9'!$B$2:$K$454,10,FALSE)</f>
        <v>5/366/36/4, Ngọc Lâm, LB</v>
      </c>
    </row>
    <row r="747" spans="1:25">
      <c r="A747" s="2">
        <v>738</v>
      </c>
      <c r="B747" s="119">
        <v>202510</v>
      </c>
      <c r="C747" s="44" t="s">
        <v>1476</v>
      </c>
      <c r="D747" s="44" t="s">
        <v>1477</v>
      </c>
      <c r="E747" s="44" t="s">
        <v>1414</v>
      </c>
      <c r="F747" s="44">
        <v>0</v>
      </c>
      <c r="G747" s="44">
        <v>8</v>
      </c>
      <c r="H747" s="44">
        <v>0</v>
      </c>
      <c r="I747" s="44">
        <v>0</v>
      </c>
      <c r="J747" s="44">
        <v>0</v>
      </c>
      <c r="K747" s="123">
        <v>100000</v>
      </c>
      <c r="L747" s="124">
        <f t="shared" si="97"/>
        <v>8</v>
      </c>
      <c r="M747" s="45">
        <f t="shared" si="100"/>
        <v>800000</v>
      </c>
      <c r="N747" s="45">
        <f t="shared" si="103"/>
        <v>800000</v>
      </c>
      <c r="O747" s="45" t="s">
        <v>6702</v>
      </c>
      <c r="P747" s="45"/>
      <c r="Q747" s="45"/>
      <c r="R747" s="45"/>
      <c r="S747" s="45">
        <f t="shared" si="99"/>
        <v>0</v>
      </c>
      <c r="T747" s="44" t="s">
        <v>720</v>
      </c>
      <c r="U747" s="44" t="s">
        <v>721</v>
      </c>
      <c r="V747" s="43" t="s">
        <v>21</v>
      </c>
      <c r="W747">
        <f>VLOOKUP(C747,'Data_HS t5'!$B$2:$K$412,10,FALSE)</f>
        <v>0</v>
      </c>
      <c r="X747">
        <f>VLOOKUP(C747,'Data_HS t9'!$B$2:$K$454,10,FALSE)</f>
        <v>0</v>
      </c>
    </row>
    <row r="748" spans="1:25">
      <c r="A748" s="2">
        <v>739</v>
      </c>
      <c r="B748" s="119">
        <v>202510</v>
      </c>
      <c r="C748" s="44" t="s">
        <v>329</v>
      </c>
      <c r="D748" s="44" t="s">
        <v>1478</v>
      </c>
      <c r="E748" s="44" t="s">
        <v>1414</v>
      </c>
      <c r="F748" s="44">
        <v>0</v>
      </c>
      <c r="G748" s="44">
        <v>8</v>
      </c>
      <c r="H748" s="44">
        <v>0</v>
      </c>
      <c r="I748" s="44">
        <v>0</v>
      </c>
      <c r="J748" s="44">
        <v>0</v>
      </c>
      <c r="K748" s="123">
        <v>100000</v>
      </c>
      <c r="L748" s="124">
        <f t="shared" si="97"/>
        <v>8</v>
      </c>
      <c r="M748" s="45">
        <f t="shared" si="100"/>
        <v>800000</v>
      </c>
      <c r="N748" s="45">
        <f t="shared" si="103"/>
        <v>800000</v>
      </c>
      <c r="O748" s="45" t="s">
        <v>1857</v>
      </c>
      <c r="P748" s="45"/>
      <c r="Q748" s="45"/>
      <c r="R748" s="45"/>
      <c r="S748" s="45">
        <f t="shared" si="99"/>
        <v>0</v>
      </c>
      <c r="T748" s="44" t="s">
        <v>720</v>
      </c>
      <c r="U748" s="44" t="s">
        <v>721</v>
      </c>
      <c r="V748" s="43" t="s">
        <v>21</v>
      </c>
      <c r="W748">
        <f>VLOOKUP(C748,'Data_HS t5'!$B$2:$K$412,10,FALSE)</f>
        <v>0</v>
      </c>
      <c r="X748">
        <f>VLOOKUP(C748,'Data_HS t9'!$B$2:$K$454,10,FALSE)</f>
        <v>0</v>
      </c>
      <c r="Y748" t="s">
        <v>3151</v>
      </c>
    </row>
    <row r="749" spans="1:25">
      <c r="A749" s="2">
        <v>740</v>
      </c>
      <c r="B749" s="119">
        <v>202510</v>
      </c>
      <c r="C749" s="44" t="s">
        <v>1479</v>
      </c>
      <c r="D749" s="44" t="s">
        <v>1480</v>
      </c>
      <c r="E749" s="44" t="s">
        <v>1414</v>
      </c>
      <c r="F749" s="44">
        <v>0</v>
      </c>
      <c r="G749" s="44">
        <v>8</v>
      </c>
      <c r="H749" s="44">
        <v>0</v>
      </c>
      <c r="I749" s="44">
        <v>0</v>
      </c>
      <c r="J749" s="44">
        <v>0</v>
      </c>
      <c r="K749" s="123">
        <v>100000</v>
      </c>
      <c r="L749" s="124">
        <f t="shared" si="97"/>
        <v>8</v>
      </c>
      <c r="M749" s="45">
        <f t="shared" si="100"/>
        <v>800000</v>
      </c>
      <c r="N749" s="45">
        <f t="shared" si="103"/>
        <v>800000</v>
      </c>
      <c r="O749" s="45" t="s">
        <v>1695</v>
      </c>
      <c r="P749" s="45"/>
      <c r="Q749" s="45"/>
      <c r="R749" s="45"/>
      <c r="S749" s="45">
        <f t="shared" si="99"/>
        <v>0</v>
      </c>
      <c r="T749" s="44" t="s">
        <v>720</v>
      </c>
      <c r="U749" s="44" t="s">
        <v>721</v>
      </c>
      <c r="V749" s="43" t="s">
        <v>21</v>
      </c>
      <c r="W749" t="str">
        <f>VLOOKUP(C749,'Data_HS t5'!$B$2:$K$412,10,FALSE)</f>
        <v>Tổ 10, Thạch Bàn, LB</v>
      </c>
      <c r="X749" t="str">
        <f>VLOOKUP(C749,'Data_HS t9'!$B$2:$K$454,10,FALSE)</f>
        <v>Tổ 10, Thạch Bàn, LB</v>
      </c>
      <c r="Y749" t="s">
        <v>3151</v>
      </c>
    </row>
    <row r="750" spans="1:25">
      <c r="A750" s="2">
        <v>741</v>
      </c>
      <c r="B750" s="119">
        <v>202510</v>
      </c>
      <c r="C750" s="44" t="s">
        <v>1481</v>
      </c>
      <c r="D750" s="44" t="s">
        <v>1482</v>
      </c>
      <c r="E750" s="44" t="s">
        <v>1414</v>
      </c>
      <c r="F750" s="44">
        <v>6</v>
      </c>
      <c r="G750" s="44">
        <v>8</v>
      </c>
      <c r="H750" s="44">
        <v>0</v>
      </c>
      <c r="I750" s="44">
        <v>0</v>
      </c>
      <c r="J750" s="44">
        <v>0</v>
      </c>
      <c r="K750" s="123">
        <v>100000</v>
      </c>
      <c r="L750" s="124">
        <f t="shared" si="97"/>
        <v>14</v>
      </c>
      <c r="M750" s="45">
        <f t="shared" si="100"/>
        <v>1400000</v>
      </c>
      <c r="N750" s="45">
        <f t="shared" ref="N750:N757" si="104">M750</f>
        <v>1400000</v>
      </c>
      <c r="O750" s="45" t="s">
        <v>2837</v>
      </c>
      <c r="P750" s="45"/>
      <c r="Q750" s="45"/>
      <c r="R750" s="45"/>
      <c r="S750" s="45">
        <f t="shared" si="99"/>
        <v>0</v>
      </c>
      <c r="T750" s="44" t="s">
        <v>720</v>
      </c>
      <c r="U750" s="44" t="s">
        <v>721</v>
      </c>
      <c r="V750" s="43" t="s">
        <v>21</v>
      </c>
      <c r="W750">
        <f>VLOOKUP(C750,'Data_HS t5'!$B$2:$K$412,10,FALSE)</f>
        <v>0</v>
      </c>
      <c r="X750">
        <f>VLOOKUP(C750,'Data_HS t9'!$B$2:$K$454,10,FALSE)</f>
        <v>0</v>
      </c>
      <c r="Y750" t="s">
        <v>3151</v>
      </c>
    </row>
    <row r="751" spans="1:25">
      <c r="A751" s="2">
        <v>742</v>
      </c>
      <c r="B751" s="119">
        <v>202510</v>
      </c>
      <c r="C751" s="44" t="s">
        <v>1483</v>
      </c>
      <c r="D751" s="44" t="s">
        <v>1484</v>
      </c>
      <c r="E751" s="44" t="s">
        <v>1414</v>
      </c>
      <c r="F751" s="44">
        <v>6</v>
      </c>
      <c r="G751" s="44">
        <v>8</v>
      </c>
      <c r="H751" s="44">
        <v>0</v>
      </c>
      <c r="I751" s="44">
        <v>0</v>
      </c>
      <c r="J751" s="44">
        <v>0</v>
      </c>
      <c r="K751" s="123">
        <v>100000</v>
      </c>
      <c r="L751" s="124">
        <f t="shared" si="97"/>
        <v>14</v>
      </c>
      <c r="M751" s="45">
        <f t="shared" si="100"/>
        <v>1400000</v>
      </c>
      <c r="N751" s="45">
        <f t="shared" si="104"/>
        <v>1400000</v>
      </c>
      <c r="O751" s="45" t="s">
        <v>2158</v>
      </c>
      <c r="P751" s="45"/>
      <c r="Q751" s="45"/>
      <c r="R751" s="45"/>
      <c r="S751" s="45">
        <f t="shared" si="99"/>
        <v>0</v>
      </c>
      <c r="T751" s="44" t="s">
        <v>720</v>
      </c>
      <c r="U751" s="44" t="s">
        <v>721</v>
      </c>
      <c r="V751" s="43" t="s">
        <v>21</v>
      </c>
      <c r="W751">
        <f>VLOOKUP(C751,'Data_HS t5'!$B$2:$K$412,10,FALSE)</f>
        <v>0</v>
      </c>
      <c r="X751">
        <f>VLOOKUP(C751,'Data_HS t9'!$B$2:$K$454,10,FALSE)</f>
        <v>0</v>
      </c>
      <c r="Y751" t="s">
        <v>3151</v>
      </c>
    </row>
    <row r="752" spans="1:25">
      <c r="A752" s="2">
        <v>743</v>
      </c>
      <c r="B752" s="119">
        <v>202510</v>
      </c>
      <c r="C752" s="44" t="s">
        <v>1485</v>
      </c>
      <c r="D752" s="44" t="s">
        <v>1486</v>
      </c>
      <c r="E752" s="44" t="s">
        <v>1414</v>
      </c>
      <c r="F752" s="44">
        <v>6</v>
      </c>
      <c r="G752" s="44">
        <v>8</v>
      </c>
      <c r="H752" s="44">
        <v>0</v>
      </c>
      <c r="I752" s="44">
        <v>0</v>
      </c>
      <c r="J752" s="44">
        <v>0</v>
      </c>
      <c r="K752" s="123">
        <v>100000</v>
      </c>
      <c r="L752" s="124">
        <f t="shared" si="97"/>
        <v>14</v>
      </c>
      <c r="M752" s="45">
        <f t="shared" si="100"/>
        <v>1400000</v>
      </c>
      <c r="N752" s="45">
        <f t="shared" si="104"/>
        <v>1400000</v>
      </c>
      <c r="O752" s="45" t="s">
        <v>2177</v>
      </c>
      <c r="P752" s="45"/>
      <c r="Q752" s="45"/>
      <c r="R752" s="45"/>
      <c r="S752" s="45">
        <f t="shared" si="99"/>
        <v>0</v>
      </c>
      <c r="T752" s="44" t="s">
        <v>720</v>
      </c>
      <c r="U752" s="44" t="s">
        <v>721</v>
      </c>
      <c r="V752" s="43" t="s">
        <v>21</v>
      </c>
      <c r="W752" t="str">
        <f>VLOOKUP(C752,'Data_HS t5'!$B$2:$K$412,10,FALSE)</f>
        <v>Tổ 18, Thượng Thanh, LB</v>
      </c>
      <c r="X752" t="str">
        <f>VLOOKUP(C752,'Data_HS t9'!$B$2:$K$454,10,FALSE)</f>
        <v>Tổ 18, Thượng Thanh, LB</v>
      </c>
      <c r="Y752" t="s">
        <v>3151</v>
      </c>
    </row>
    <row r="753" spans="1:25">
      <c r="A753" s="2">
        <v>744</v>
      </c>
      <c r="B753" s="119">
        <v>202510</v>
      </c>
      <c r="C753" s="44" t="s">
        <v>1487</v>
      </c>
      <c r="D753" s="44" t="s">
        <v>1488</v>
      </c>
      <c r="E753" s="44" t="s">
        <v>1414</v>
      </c>
      <c r="F753" s="44">
        <v>6</v>
      </c>
      <c r="G753" s="44">
        <v>8</v>
      </c>
      <c r="H753" s="44">
        <v>0</v>
      </c>
      <c r="I753" s="44">
        <v>0</v>
      </c>
      <c r="J753" s="44">
        <v>0</v>
      </c>
      <c r="K753" s="123">
        <v>100000</v>
      </c>
      <c r="L753" s="124">
        <f t="shared" si="97"/>
        <v>14</v>
      </c>
      <c r="M753" s="45">
        <f t="shared" si="100"/>
        <v>1400000</v>
      </c>
      <c r="N753" s="45">
        <f t="shared" si="104"/>
        <v>1400000</v>
      </c>
      <c r="O753" s="45" t="s">
        <v>1750</v>
      </c>
      <c r="P753" s="45"/>
      <c r="Q753" s="45"/>
      <c r="R753" s="45"/>
      <c r="S753" s="45">
        <f t="shared" si="99"/>
        <v>0</v>
      </c>
      <c r="T753" s="44" t="s">
        <v>720</v>
      </c>
      <c r="U753" s="44" t="s">
        <v>721</v>
      </c>
      <c r="V753" s="43" t="s">
        <v>21</v>
      </c>
      <c r="W753">
        <f>VLOOKUP(C753,'Data_HS t5'!$B$2:$K$412,10,FALSE)</f>
        <v>0</v>
      </c>
      <c r="X753">
        <f>VLOOKUP(C753,'Data_HS t9'!$B$2:$K$454,10,FALSE)</f>
        <v>0</v>
      </c>
      <c r="Y753" t="s">
        <v>3151</v>
      </c>
    </row>
    <row r="754" spans="1:25">
      <c r="A754" s="2">
        <v>745</v>
      </c>
      <c r="B754" s="119">
        <v>202510</v>
      </c>
      <c r="C754" s="44" t="s">
        <v>1489</v>
      </c>
      <c r="D754" s="44" t="s">
        <v>1490</v>
      </c>
      <c r="E754" s="44" t="s">
        <v>1414</v>
      </c>
      <c r="F754" s="44">
        <v>6</v>
      </c>
      <c r="G754" s="44">
        <v>8</v>
      </c>
      <c r="H754" s="44">
        <v>0</v>
      </c>
      <c r="I754" s="44">
        <v>0</v>
      </c>
      <c r="J754" s="44">
        <v>0</v>
      </c>
      <c r="K754" s="123">
        <v>100000</v>
      </c>
      <c r="L754" s="124">
        <f t="shared" si="97"/>
        <v>14</v>
      </c>
      <c r="M754" s="45">
        <f t="shared" si="100"/>
        <v>1400000</v>
      </c>
      <c r="N754" s="45">
        <f t="shared" si="104"/>
        <v>1400000</v>
      </c>
      <c r="O754" s="45"/>
      <c r="P754" s="45" t="s">
        <v>6644</v>
      </c>
      <c r="Q754" s="45"/>
      <c r="R754" s="45"/>
      <c r="S754" s="45">
        <f t="shared" si="99"/>
        <v>0</v>
      </c>
      <c r="T754" s="44" t="s">
        <v>720</v>
      </c>
      <c r="U754" s="44" t="s">
        <v>721</v>
      </c>
      <c r="V754" s="43" t="s">
        <v>21</v>
      </c>
      <c r="W754" t="str">
        <f>VLOOKUP(C754,'Data_HS t5'!$B$2:$K$412,10,FALSE)</f>
        <v>Tổ 17, Ngọc Thuỵ, LB</v>
      </c>
      <c r="X754" t="str">
        <f>VLOOKUP(C754,'Data_HS t9'!$B$2:$K$454,10,FALSE)</f>
        <v>Tổ 17, Ngọc Thuỵ, LB</v>
      </c>
    </row>
    <row r="755" spans="1:25">
      <c r="A755" s="2">
        <v>746</v>
      </c>
      <c r="B755" s="119">
        <v>202510</v>
      </c>
      <c r="C755" s="44" t="s">
        <v>1491</v>
      </c>
      <c r="D755" s="44" t="s">
        <v>1492</v>
      </c>
      <c r="E755" s="44" t="s">
        <v>1493</v>
      </c>
      <c r="F755" s="44">
        <v>0</v>
      </c>
      <c r="G755" s="44">
        <v>0</v>
      </c>
      <c r="H755" s="44">
        <v>6</v>
      </c>
      <c r="I755" s="44">
        <v>0</v>
      </c>
      <c r="J755" s="44">
        <v>0</v>
      </c>
      <c r="K755" s="123">
        <v>100000</v>
      </c>
      <c r="L755" s="124">
        <f t="shared" si="97"/>
        <v>6</v>
      </c>
      <c r="M755" s="45">
        <f t="shared" si="100"/>
        <v>600000</v>
      </c>
      <c r="N755" s="45">
        <f t="shared" si="104"/>
        <v>600000</v>
      </c>
      <c r="O755" s="45"/>
      <c r="P755" s="45" t="s">
        <v>7109</v>
      </c>
      <c r="Q755" s="45"/>
      <c r="R755" s="45"/>
      <c r="S755" s="45">
        <f t="shared" si="99"/>
        <v>0</v>
      </c>
      <c r="T755" s="44" t="s">
        <v>19</v>
      </c>
      <c r="U755" s="44" t="s">
        <v>20</v>
      </c>
      <c r="V755" s="43" t="s">
        <v>21</v>
      </c>
      <c r="W755">
        <f>VLOOKUP(C755,'Data_HS t5'!$B$2:$K$412,10,TRUE)</f>
        <v>0</v>
      </c>
      <c r="X755" t="str">
        <f>VLOOKUP(C755,'Data_HS t9'!$B$2:$K$454,10,TRUE)</f>
        <v>Tổ 13, Khu Đô thị Việt Hưng, Phường Giang Biên, Quận Long Biên.</v>
      </c>
    </row>
    <row r="756" spans="1:25">
      <c r="A756" s="2">
        <v>747</v>
      </c>
      <c r="B756" s="119">
        <v>202510</v>
      </c>
      <c r="C756" s="44" t="s">
        <v>1494</v>
      </c>
      <c r="D756" s="44" t="s">
        <v>1495</v>
      </c>
      <c r="E756" s="44" t="s">
        <v>1493</v>
      </c>
      <c r="F756" s="44">
        <v>0</v>
      </c>
      <c r="G756" s="44">
        <v>0</v>
      </c>
      <c r="H756" s="44">
        <v>6</v>
      </c>
      <c r="I756" s="44">
        <v>0</v>
      </c>
      <c r="J756" s="44">
        <v>0</v>
      </c>
      <c r="K756" s="123">
        <v>100000</v>
      </c>
      <c r="L756" s="124">
        <f t="shared" si="97"/>
        <v>6</v>
      </c>
      <c r="M756" s="45">
        <f t="shared" si="100"/>
        <v>600000</v>
      </c>
      <c r="N756" s="45">
        <f t="shared" si="104"/>
        <v>600000</v>
      </c>
      <c r="O756" s="45"/>
      <c r="P756" s="45" t="s">
        <v>6071</v>
      </c>
      <c r="Q756" s="45"/>
      <c r="R756" s="45"/>
      <c r="S756" s="45">
        <f t="shared" si="99"/>
        <v>0</v>
      </c>
      <c r="T756" s="44" t="s">
        <v>19</v>
      </c>
      <c r="U756" s="44" t="s">
        <v>20</v>
      </c>
      <c r="V756" s="43" t="s">
        <v>21</v>
      </c>
      <c r="W756" t="str">
        <f>VLOOKUP(C756,'Data_HS t5'!$B$2:$K$412,10,TRUE)</f>
        <v>Phường Thạch Bàn, Quận Long Biên, Thành phố Hà Nội</v>
      </c>
      <c r="X756" t="str">
        <f>VLOOKUP(C756,'Data_HS t9'!$B$2:$K$454,10,TRUE)</f>
        <v>Tổ dân phố số 36, Phường Ngọc Thụy, Quận Long Biên, Thành phố Hà Nội</v>
      </c>
    </row>
    <row r="757" spans="1:25">
      <c r="A757" s="2">
        <v>748</v>
      </c>
      <c r="B757" s="119">
        <v>202510</v>
      </c>
      <c r="C757" s="44" t="s">
        <v>1496</v>
      </c>
      <c r="D757" s="44" t="s">
        <v>1497</v>
      </c>
      <c r="E757" s="44" t="s">
        <v>1493</v>
      </c>
      <c r="F757" s="44">
        <v>0</v>
      </c>
      <c r="G757" s="44">
        <v>0</v>
      </c>
      <c r="H757" s="44">
        <v>6</v>
      </c>
      <c r="I757" s="44">
        <v>0</v>
      </c>
      <c r="J757" s="44">
        <v>0</v>
      </c>
      <c r="K757" s="123">
        <v>100000</v>
      </c>
      <c r="L757" s="124">
        <f t="shared" si="97"/>
        <v>6</v>
      </c>
      <c r="M757" s="45">
        <f t="shared" si="100"/>
        <v>600000</v>
      </c>
      <c r="N757" s="45">
        <f t="shared" si="104"/>
        <v>600000</v>
      </c>
      <c r="O757" s="45"/>
      <c r="P757" s="45" t="s">
        <v>6655</v>
      </c>
      <c r="Q757" s="45"/>
      <c r="R757" s="45"/>
      <c r="S757" s="45">
        <f t="shared" si="99"/>
        <v>0</v>
      </c>
      <c r="T757" s="44" t="s">
        <v>19</v>
      </c>
      <c r="U757" s="44" t="s">
        <v>20</v>
      </c>
      <c r="V757" s="43" t="s">
        <v>21</v>
      </c>
      <c r="W757">
        <f>VLOOKUP(C757,'Data_HS t5'!$B$2:$K$412,10,TRUE)</f>
        <v>0</v>
      </c>
      <c r="X757" t="str">
        <f>VLOOKUP(C757,'Data_HS t9'!$B$2:$K$454,10,TRUE)</f>
        <v>Tổ dân phố số 11, Phường Sài Đồng, Quận Long Biên, Thành phố Hà Nội</v>
      </c>
    </row>
    <row r="758" spans="1:25">
      <c r="A758" s="2">
        <v>749</v>
      </c>
      <c r="B758" s="119">
        <v>202510</v>
      </c>
      <c r="C758" s="44" t="s">
        <v>1498</v>
      </c>
      <c r="D758" s="44" t="s">
        <v>1499</v>
      </c>
      <c r="E758" s="44" t="s">
        <v>1493</v>
      </c>
      <c r="F758" s="44">
        <v>0</v>
      </c>
      <c r="G758" s="44">
        <v>0</v>
      </c>
      <c r="H758" s="44">
        <v>6</v>
      </c>
      <c r="I758" s="44">
        <v>0</v>
      </c>
      <c r="J758" s="44">
        <v>0</v>
      </c>
      <c r="K758" s="123">
        <v>100000</v>
      </c>
      <c r="L758" s="124">
        <f t="shared" si="97"/>
        <v>6</v>
      </c>
      <c r="M758" s="45">
        <f t="shared" si="100"/>
        <v>600000</v>
      </c>
      <c r="N758" s="45">
        <f>M758</f>
        <v>600000</v>
      </c>
      <c r="O758" s="45"/>
      <c r="P758" s="45" t="s">
        <v>7148</v>
      </c>
      <c r="Q758" s="45"/>
      <c r="R758" s="45"/>
      <c r="S758" s="45">
        <f t="shared" si="99"/>
        <v>0</v>
      </c>
      <c r="T758" s="44" t="s">
        <v>19</v>
      </c>
      <c r="U758" s="44" t="s">
        <v>20</v>
      </c>
      <c r="V758" s="43" t="s">
        <v>21</v>
      </c>
      <c r="W758" t="str">
        <f>VLOOKUP(C758,'Data_HS t5'!$B$2:$K$412,10,TRUE)</f>
        <v>Tổ dân phố 21, Phường Phúc Xá, Quận Ba Đình, Thành phố Hà Nội</v>
      </c>
      <c r="X758" t="str">
        <f>VLOOKUP(C758,'Data_HS t9'!$B$2:$K$454,10,TRUE)</f>
        <v>Tổ dân phố số 11, Phường Sài Đồng, Quận Long Biên, Thành phố Hà Nội</v>
      </c>
    </row>
    <row r="759" spans="1:25">
      <c r="A759" s="2">
        <v>750</v>
      </c>
      <c r="B759" s="119">
        <v>202510</v>
      </c>
      <c r="C759" s="44" t="s">
        <v>108</v>
      </c>
      <c r="D759" s="44" t="s">
        <v>1500</v>
      </c>
      <c r="E759" s="44" t="s">
        <v>1493</v>
      </c>
      <c r="F759" s="44">
        <v>0</v>
      </c>
      <c r="G759" s="44">
        <v>0</v>
      </c>
      <c r="H759" s="44">
        <v>3</v>
      </c>
      <c r="I759" s="44">
        <v>0</v>
      </c>
      <c r="J759" s="44">
        <v>0</v>
      </c>
      <c r="K759" s="123">
        <v>100000</v>
      </c>
      <c r="L759" s="124">
        <f t="shared" si="97"/>
        <v>3</v>
      </c>
      <c r="M759" s="45">
        <f t="shared" si="100"/>
        <v>300000</v>
      </c>
      <c r="N759" s="45">
        <f>M759</f>
        <v>300000</v>
      </c>
      <c r="O759" s="45"/>
      <c r="P759" s="45" t="s">
        <v>6434</v>
      </c>
      <c r="Q759" s="45"/>
      <c r="R759" s="45"/>
      <c r="S759" s="45">
        <f t="shared" si="99"/>
        <v>0</v>
      </c>
      <c r="T759" s="44" t="s">
        <v>19</v>
      </c>
      <c r="U759" s="44" t="s">
        <v>20</v>
      </c>
      <c r="V759" s="43" t="s">
        <v>21</v>
      </c>
      <c r="W759">
        <f>VLOOKUP(C759,'Data_HS t5'!$B$2:$K$412,10,TRUE)</f>
        <v>0</v>
      </c>
      <c r="X759" t="str">
        <f>VLOOKUP(C759,'Data_HS t9'!$B$2:$K$454,10,TRUE)</f>
        <v>Phường Phúc Lợi, Quận Long Biên, Thành phố Hà Nội</v>
      </c>
    </row>
    <row r="760" spans="1:25">
      <c r="A760" s="2">
        <v>751</v>
      </c>
      <c r="B760" s="119">
        <v>202510</v>
      </c>
      <c r="C760" s="44" t="s">
        <v>1501</v>
      </c>
      <c r="D760" s="44" t="s">
        <v>1502</v>
      </c>
      <c r="E760" s="44" t="s">
        <v>1493</v>
      </c>
      <c r="F760" s="44">
        <v>0</v>
      </c>
      <c r="G760" s="44">
        <v>0</v>
      </c>
      <c r="H760" s="44">
        <v>5</v>
      </c>
      <c r="I760" s="44">
        <v>0</v>
      </c>
      <c r="J760" s="44">
        <v>0</v>
      </c>
      <c r="K760" s="123">
        <v>100000</v>
      </c>
      <c r="L760" s="124">
        <f t="shared" si="97"/>
        <v>5</v>
      </c>
      <c r="M760" s="45">
        <f t="shared" si="100"/>
        <v>500000</v>
      </c>
      <c r="N760" s="45">
        <f>M760</f>
        <v>500000</v>
      </c>
      <c r="O760" s="45"/>
      <c r="P760" s="45" t="s">
        <v>7110</v>
      </c>
      <c r="Q760" s="45"/>
      <c r="R760" s="45"/>
      <c r="S760" s="45">
        <f t="shared" si="99"/>
        <v>0</v>
      </c>
      <c r="T760" s="44" t="s">
        <v>19</v>
      </c>
      <c r="U760" s="44" t="s">
        <v>20</v>
      </c>
      <c r="V760" s="43" t="s">
        <v>21</v>
      </c>
      <c r="W760" t="e">
        <f>VLOOKUP(C760,'Data_HS t5'!$B$2:$K$412,10,TRUE)</f>
        <v>#N/A</v>
      </c>
      <c r="X760" t="e">
        <f>VLOOKUP(C760,'Data_HS t9'!$B$2:$K$454,10,TRUE)</f>
        <v>#N/A</v>
      </c>
    </row>
    <row r="761" spans="1:25">
      <c r="A761" s="2">
        <v>752</v>
      </c>
      <c r="B761" s="129">
        <v>202510</v>
      </c>
      <c r="C761" s="64" t="s">
        <v>1503</v>
      </c>
      <c r="D761" s="64" t="s">
        <v>1504</v>
      </c>
      <c r="E761" s="64" t="s">
        <v>1493</v>
      </c>
      <c r="F761" s="64">
        <v>0</v>
      </c>
      <c r="G761" s="64">
        <v>8</v>
      </c>
      <c r="H761" s="64">
        <v>0</v>
      </c>
      <c r="I761" s="64">
        <v>0</v>
      </c>
      <c r="J761" s="64">
        <v>0</v>
      </c>
      <c r="K761" s="126">
        <v>100000</v>
      </c>
      <c r="L761" s="134">
        <f t="shared" si="97"/>
        <v>8</v>
      </c>
      <c r="M761" s="62">
        <f t="shared" si="100"/>
        <v>800000</v>
      </c>
      <c r="N761" s="45"/>
      <c r="O761" s="45"/>
      <c r="P761" s="45"/>
      <c r="Q761" s="45"/>
      <c r="R761" s="62" t="s">
        <v>7196</v>
      </c>
      <c r="S761" s="45">
        <f t="shared" si="99"/>
        <v>800000</v>
      </c>
      <c r="T761" s="44" t="s">
        <v>19</v>
      </c>
      <c r="U761" s="44" t="s">
        <v>20</v>
      </c>
      <c r="V761" s="43" t="s">
        <v>21</v>
      </c>
      <c r="W761" t="str">
        <f>VLOOKUP(C761,'Data_HS t5'!$B$2:$K$412,10,TRUE)</f>
        <v>Phường Thạch Bàn, Quận Long Biên, Thành phố Hà Nội</v>
      </c>
      <c r="X761" t="e">
        <f>VLOOKUP(C761,'Data_HS t9'!$B$2:$K$454,10,TRUE)</f>
        <v>#N/A</v>
      </c>
    </row>
    <row r="762" spans="1:25">
      <c r="A762" s="2">
        <v>753</v>
      </c>
      <c r="B762" s="119">
        <v>202510</v>
      </c>
      <c r="C762" s="44" t="s">
        <v>1505</v>
      </c>
      <c r="D762" s="44" t="s">
        <v>1506</v>
      </c>
      <c r="E762" s="44" t="s">
        <v>1493</v>
      </c>
      <c r="F762" s="44">
        <v>0</v>
      </c>
      <c r="G762" s="44">
        <v>8</v>
      </c>
      <c r="H762" s="44">
        <v>0</v>
      </c>
      <c r="I762" s="44">
        <v>0</v>
      </c>
      <c r="J762" s="44">
        <v>0</v>
      </c>
      <c r="K762" s="123">
        <v>100000</v>
      </c>
      <c r="L762" s="124">
        <f t="shared" ref="L762:L803" si="105">SUM(F762:J762)</f>
        <v>8</v>
      </c>
      <c r="M762" s="45">
        <f t="shared" si="100"/>
        <v>800000</v>
      </c>
      <c r="N762" s="45">
        <f>M762</f>
        <v>800000</v>
      </c>
      <c r="O762" s="45"/>
      <c r="P762" s="45" t="s">
        <v>6435</v>
      </c>
      <c r="Q762" s="45"/>
      <c r="R762" s="45"/>
      <c r="S762" s="45">
        <f t="shared" si="99"/>
        <v>0</v>
      </c>
      <c r="T762" s="44" t="s">
        <v>19</v>
      </c>
      <c r="U762" s="44" t="s">
        <v>20</v>
      </c>
      <c r="V762" s="43" t="s">
        <v>21</v>
      </c>
      <c r="W762" t="str">
        <f>VLOOKUP(C762,'Data_HS t5'!$B$2:$K$412,10,TRUE)</f>
        <v>Tổ dân phố 21, Phường Phúc Xá, Quận Ba Đình, Thành phố Hà Nội</v>
      </c>
      <c r="X762" t="str">
        <f>VLOOKUP(C762,'Data_HS t9'!$B$2:$K$454,10,TRUE)</f>
        <v>Tổ dân phố số 11, Phường Sài Đồng, Quận Long Biên, Thành phố Hà Nội</v>
      </c>
    </row>
    <row r="763" spans="1:25">
      <c r="A763" s="2">
        <v>754</v>
      </c>
      <c r="B763" s="119">
        <v>202510</v>
      </c>
      <c r="C763" s="44" t="s">
        <v>1507</v>
      </c>
      <c r="D763" s="44" t="s">
        <v>1508</v>
      </c>
      <c r="E763" s="44" t="s">
        <v>1509</v>
      </c>
      <c r="F763" s="44">
        <v>0</v>
      </c>
      <c r="G763" s="44">
        <v>0</v>
      </c>
      <c r="H763" s="44">
        <v>0</v>
      </c>
      <c r="I763" s="44">
        <v>0</v>
      </c>
      <c r="J763" s="44">
        <v>0</v>
      </c>
      <c r="K763" s="123">
        <v>100000</v>
      </c>
      <c r="L763" s="124">
        <f t="shared" si="105"/>
        <v>0</v>
      </c>
      <c r="M763" s="45">
        <f t="shared" si="100"/>
        <v>0</v>
      </c>
      <c r="N763" s="45"/>
      <c r="O763" s="45"/>
      <c r="P763" s="45"/>
      <c r="Q763" s="45"/>
      <c r="R763" s="45"/>
      <c r="S763" s="45">
        <f t="shared" ref="S763:S803" si="106">M763-N763</f>
        <v>0</v>
      </c>
      <c r="T763" s="44" t="s">
        <v>19</v>
      </c>
      <c r="U763" s="44" t="s">
        <v>20</v>
      </c>
      <c r="V763" s="43" t="s">
        <v>21</v>
      </c>
      <c r="W763" t="str">
        <f>VLOOKUP(C763,'Data_HS t5'!$B$2:$K$412,10,TRUE)</f>
        <v>Phường Long Biên, Quận Long Biên, Thành phố Hà Nội</v>
      </c>
      <c r="X763" t="str">
        <f>VLOOKUP(C763,'Data_HS t9'!$B$2:$K$454,10,TRUE)</f>
        <v>P3r4 cc Happy Star No10, Giang Biên, LB</v>
      </c>
    </row>
    <row r="764" spans="1:25">
      <c r="A764" s="2">
        <v>755</v>
      </c>
      <c r="B764" s="119">
        <v>202510</v>
      </c>
      <c r="C764" s="44" t="s">
        <v>1510</v>
      </c>
      <c r="D764" s="44" t="s">
        <v>1511</v>
      </c>
      <c r="E764" s="44" t="s">
        <v>1509</v>
      </c>
      <c r="F764" s="44">
        <v>6</v>
      </c>
      <c r="G764" s="44">
        <v>0</v>
      </c>
      <c r="H764" s="44">
        <v>6</v>
      </c>
      <c r="I764" s="44">
        <v>0</v>
      </c>
      <c r="J764" s="44">
        <v>0</v>
      </c>
      <c r="K764" s="123">
        <v>100000</v>
      </c>
      <c r="L764" s="124">
        <f t="shared" si="105"/>
        <v>12</v>
      </c>
      <c r="M764" s="45">
        <f t="shared" si="100"/>
        <v>1200000</v>
      </c>
      <c r="N764" s="45">
        <f t="shared" ref="N764:N773" si="107">M764</f>
        <v>1200000</v>
      </c>
      <c r="O764" s="45"/>
      <c r="P764" s="45" t="s">
        <v>2062</v>
      </c>
      <c r="Q764" s="45"/>
      <c r="R764" s="45"/>
      <c r="S764" s="45">
        <f t="shared" si="106"/>
        <v>0</v>
      </c>
      <c r="T764" s="44" t="s">
        <v>19</v>
      </c>
      <c r="U764" s="44" t="s">
        <v>20</v>
      </c>
      <c r="V764" s="43" t="s">
        <v>21</v>
      </c>
      <c r="W764">
        <f>VLOOKUP(C764,'Data_HS t5'!$B$2:$K$412,10,TRUE)</f>
        <v>0</v>
      </c>
      <c r="X764">
        <f>VLOOKUP(C764,'Data_HS t9'!$B$2:$K$454,10,TRUE)</f>
        <v>0</v>
      </c>
    </row>
    <row r="765" spans="1:25">
      <c r="A765" s="2">
        <v>756</v>
      </c>
      <c r="B765" s="119">
        <v>202510</v>
      </c>
      <c r="C765" s="44" t="s">
        <v>1512</v>
      </c>
      <c r="D765" s="44" t="s">
        <v>1513</v>
      </c>
      <c r="E765" s="44" t="s">
        <v>1509</v>
      </c>
      <c r="F765" s="44">
        <v>0</v>
      </c>
      <c r="G765" s="44">
        <v>0</v>
      </c>
      <c r="H765" s="44">
        <v>6</v>
      </c>
      <c r="I765" s="44">
        <v>0</v>
      </c>
      <c r="J765" s="44">
        <v>0</v>
      </c>
      <c r="K765" s="123">
        <v>100000</v>
      </c>
      <c r="L765" s="124">
        <f t="shared" si="105"/>
        <v>6</v>
      </c>
      <c r="M765" s="45">
        <f t="shared" si="100"/>
        <v>600000</v>
      </c>
      <c r="N765" s="45">
        <f t="shared" si="107"/>
        <v>600000</v>
      </c>
      <c r="O765" s="45"/>
      <c r="P765" s="45" t="s">
        <v>2057</v>
      </c>
      <c r="Q765" s="45"/>
      <c r="R765" s="45"/>
      <c r="S765" s="45">
        <f t="shared" si="106"/>
        <v>0</v>
      </c>
      <c r="T765" s="44" t="s">
        <v>19</v>
      </c>
      <c r="U765" s="44" t="s">
        <v>20</v>
      </c>
      <c r="V765" s="43" t="s">
        <v>21</v>
      </c>
      <c r="W765">
        <f>VLOOKUP(C765,'Data_HS t5'!$B$2:$K$412,10,TRUE)</f>
        <v>0</v>
      </c>
      <c r="X765" t="str">
        <f>VLOOKUP(C765,'Data_HS t9'!$B$2:$K$454,10,TRUE)</f>
        <v>Phường Phúc Lợi, Quận Long Biên, Thành phố Hà Nội</v>
      </c>
    </row>
    <row r="766" spans="1:25">
      <c r="A766" s="2">
        <v>757</v>
      </c>
      <c r="B766" s="119">
        <v>202510</v>
      </c>
      <c r="C766" s="44" t="s">
        <v>1514</v>
      </c>
      <c r="D766" s="44" t="s">
        <v>1515</v>
      </c>
      <c r="E766" s="44" t="s">
        <v>1509</v>
      </c>
      <c r="F766" s="44">
        <v>8</v>
      </c>
      <c r="G766" s="44">
        <v>0</v>
      </c>
      <c r="H766" s="44">
        <v>6</v>
      </c>
      <c r="I766" s="44">
        <v>0</v>
      </c>
      <c r="J766" s="44">
        <v>0</v>
      </c>
      <c r="K766" s="123">
        <v>100000</v>
      </c>
      <c r="L766" s="124">
        <f t="shared" si="105"/>
        <v>14</v>
      </c>
      <c r="M766" s="45">
        <f t="shared" si="100"/>
        <v>1400000</v>
      </c>
      <c r="N766" s="45">
        <f t="shared" si="107"/>
        <v>1400000</v>
      </c>
      <c r="O766" s="45"/>
      <c r="P766" s="45" t="s">
        <v>2730</v>
      </c>
      <c r="Q766" s="45"/>
      <c r="R766" s="45"/>
      <c r="S766" s="45">
        <f t="shared" si="106"/>
        <v>0</v>
      </c>
      <c r="T766" s="44" t="s">
        <v>19</v>
      </c>
      <c r="U766" s="44" t="s">
        <v>20</v>
      </c>
      <c r="V766" s="43" t="s">
        <v>21</v>
      </c>
      <c r="W766" t="str">
        <f>VLOOKUP(C766,'Data_HS t5'!$B$2:$K$412,10,TRUE)</f>
        <v>Số 77 Gia Quất, Thượng Thanh, LB</v>
      </c>
      <c r="X766" t="str">
        <f>VLOOKUP(C766,'Data_HS t9'!$B$2:$K$454,10,TRUE)</f>
        <v>Hiện nay: Tổ 12, Thạch Bàn, LB</v>
      </c>
    </row>
    <row r="767" spans="1:25">
      <c r="A767" s="2">
        <v>758</v>
      </c>
      <c r="B767" s="119">
        <v>202510</v>
      </c>
      <c r="C767" s="44" t="s">
        <v>1516</v>
      </c>
      <c r="D767" s="44" t="s">
        <v>1517</v>
      </c>
      <c r="E767" s="44" t="s">
        <v>1509</v>
      </c>
      <c r="F767" s="44">
        <v>8</v>
      </c>
      <c r="G767" s="44">
        <v>0</v>
      </c>
      <c r="H767" s="44">
        <v>3</v>
      </c>
      <c r="I767" s="44">
        <v>0</v>
      </c>
      <c r="J767" s="44">
        <v>0</v>
      </c>
      <c r="K767" s="123">
        <v>100000</v>
      </c>
      <c r="L767" s="124">
        <f t="shared" si="105"/>
        <v>11</v>
      </c>
      <c r="M767" s="45">
        <f t="shared" si="100"/>
        <v>1100000</v>
      </c>
      <c r="N767" s="45">
        <f t="shared" si="107"/>
        <v>1100000</v>
      </c>
      <c r="O767" s="45"/>
      <c r="P767" s="45" t="s">
        <v>7111</v>
      </c>
      <c r="Q767" s="45"/>
      <c r="R767" s="45"/>
      <c r="S767" s="45">
        <f t="shared" si="106"/>
        <v>0</v>
      </c>
      <c r="T767" s="44" t="s">
        <v>19</v>
      </c>
      <c r="U767" s="44" t="s">
        <v>20</v>
      </c>
      <c r="V767" s="43" t="s">
        <v>21</v>
      </c>
      <c r="W767">
        <f>VLOOKUP(C767,'Data_HS t5'!$B$2:$K$412,10,TRUE)</f>
        <v>0</v>
      </c>
      <c r="X767" t="str">
        <f>VLOOKUP(C767,'Data_HS t9'!$B$2:$K$454,10,TRUE)</f>
        <v>Tổ 13, Khu Đô thị Việt Hưng, Phường Giang Biên, Quận Long Biên.</v>
      </c>
    </row>
    <row r="768" spans="1:25">
      <c r="A768" s="2">
        <v>759</v>
      </c>
      <c r="B768" s="119">
        <v>202510</v>
      </c>
      <c r="C768" s="44" t="s">
        <v>45</v>
      </c>
      <c r="D768" s="44" t="s">
        <v>1518</v>
      </c>
      <c r="E768" s="44" t="s">
        <v>1509</v>
      </c>
      <c r="F768" s="44">
        <v>0</v>
      </c>
      <c r="G768" s="44">
        <v>0</v>
      </c>
      <c r="H768" s="44">
        <v>6</v>
      </c>
      <c r="I768" s="44">
        <v>0</v>
      </c>
      <c r="J768" s="44">
        <v>0</v>
      </c>
      <c r="K768" s="123">
        <v>100000</v>
      </c>
      <c r="L768" s="124">
        <f t="shared" si="105"/>
        <v>6</v>
      </c>
      <c r="M768" s="45">
        <f t="shared" si="100"/>
        <v>600000</v>
      </c>
      <c r="N768" s="45">
        <f t="shared" si="107"/>
        <v>600000</v>
      </c>
      <c r="O768" s="45"/>
      <c r="P768" s="45" t="s">
        <v>6298</v>
      </c>
      <c r="Q768" s="45"/>
      <c r="R768" s="45"/>
      <c r="S768" s="45">
        <f t="shared" si="106"/>
        <v>0</v>
      </c>
      <c r="T768" s="44" t="s">
        <v>19</v>
      </c>
      <c r="U768" s="44" t="s">
        <v>20</v>
      </c>
      <c r="V768" s="43" t="s">
        <v>21</v>
      </c>
      <c r="W768">
        <f>VLOOKUP(C768,'Data_HS t5'!$B$2:$K$412,10,TRUE)</f>
        <v>0</v>
      </c>
      <c r="X768" t="str">
        <f>VLOOKUP(C768,'Data_HS t9'!$B$2:$K$454,10,TRUE)</f>
        <v>Phường Phúc Lợi, Quận Long Biên, Thành phố Hà Nội</v>
      </c>
    </row>
    <row r="769" spans="1:24">
      <c r="A769" s="2">
        <v>760</v>
      </c>
      <c r="B769" s="119">
        <v>202510</v>
      </c>
      <c r="C769" s="44" t="s">
        <v>1519</v>
      </c>
      <c r="D769" s="44" t="s">
        <v>1520</v>
      </c>
      <c r="E769" s="44" t="s">
        <v>1509</v>
      </c>
      <c r="F769" s="44">
        <v>8</v>
      </c>
      <c r="G769" s="44">
        <v>0</v>
      </c>
      <c r="H769" s="44">
        <v>0</v>
      </c>
      <c r="I769" s="44">
        <v>0</v>
      </c>
      <c r="J769" s="44">
        <v>0</v>
      </c>
      <c r="K769" s="123">
        <v>100000</v>
      </c>
      <c r="L769" s="124">
        <f t="shared" si="105"/>
        <v>8</v>
      </c>
      <c r="M769" s="45">
        <f t="shared" ref="M769:M803" si="108">L769*K769</f>
        <v>800000</v>
      </c>
      <c r="N769" s="45">
        <f t="shared" si="107"/>
        <v>800000</v>
      </c>
      <c r="O769" s="45"/>
      <c r="P769" s="45" t="s">
        <v>2695</v>
      </c>
      <c r="Q769" s="45"/>
      <c r="R769" s="45"/>
      <c r="S769" s="45">
        <f t="shared" si="106"/>
        <v>0</v>
      </c>
      <c r="T769" s="44" t="s">
        <v>19</v>
      </c>
      <c r="U769" s="44" t="s">
        <v>20</v>
      </c>
      <c r="V769" s="43" t="s">
        <v>21</v>
      </c>
      <c r="W769">
        <f>VLOOKUP(C769,'Data_HS t5'!$B$2:$K$412,10,TRUE)</f>
        <v>0</v>
      </c>
      <c r="X769" t="str">
        <f>VLOOKUP(C769,'Data_HS t9'!$B$2:$K$454,10,TRUE)</f>
        <v>Tổ 13, Khu Đô thị Việt Hưng, Phường Giang Biên, Quận Long Biên.</v>
      </c>
    </row>
    <row r="770" spans="1:24">
      <c r="A770" s="2">
        <v>761</v>
      </c>
      <c r="B770" s="119">
        <v>202510</v>
      </c>
      <c r="C770" s="44" t="s">
        <v>1521</v>
      </c>
      <c r="D770" s="44" t="s">
        <v>1522</v>
      </c>
      <c r="E770" s="44" t="s">
        <v>1509</v>
      </c>
      <c r="F770" s="44">
        <v>8</v>
      </c>
      <c r="G770" s="44">
        <v>0</v>
      </c>
      <c r="H770" s="44">
        <v>0</v>
      </c>
      <c r="I770" s="44">
        <v>0</v>
      </c>
      <c r="J770" s="44">
        <v>0</v>
      </c>
      <c r="K770" s="123">
        <v>100000</v>
      </c>
      <c r="L770" s="124">
        <f t="shared" si="105"/>
        <v>8</v>
      </c>
      <c r="M770" s="45">
        <f t="shared" si="108"/>
        <v>800000</v>
      </c>
      <c r="N770" s="45">
        <f t="shared" si="107"/>
        <v>800000</v>
      </c>
      <c r="O770" s="45"/>
      <c r="P770" s="45" t="s">
        <v>3123</v>
      </c>
      <c r="Q770" s="45"/>
      <c r="R770" s="45"/>
      <c r="S770" s="45">
        <f t="shared" si="106"/>
        <v>0</v>
      </c>
      <c r="T770" s="44" t="s">
        <v>19</v>
      </c>
      <c r="U770" s="44" t="s">
        <v>20</v>
      </c>
      <c r="V770" s="43" t="s">
        <v>21</v>
      </c>
      <c r="W770">
        <f>VLOOKUP(C770,'Data_HS t5'!$B$2:$K$412,10,TRUE)</f>
        <v>0</v>
      </c>
      <c r="X770" t="str">
        <f>VLOOKUP(C770,'Data_HS t9'!$B$2:$K$454,10,TRUE)</f>
        <v>Tổ dân phố số 11, Phường Sài Đồng, Quận Long Biên, Thành phố Hà Nội</v>
      </c>
    </row>
    <row r="771" spans="1:24">
      <c r="A771" s="2">
        <v>762</v>
      </c>
      <c r="B771" s="119">
        <v>202510</v>
      </c>
      <c r="C771" s="44" t="s">
        <v>1523</v>
      </c>
      <c r="D771" s="44" t="s">
        <v>1524</v>
      </c>
      <c r="E771" s="44" t="s">
        <v>1509</v>
      </c>
      <c r="F771" s="44">
        <v>8</v>
      </c>
      <c r="G771" s="44">
        <v>0</v>
      </c>
      <c r="H771" s="44">
        <v>0</v>
      </c>
      <c r="I771" s="44">
        <v>0</v>
      </c>
      <c r="J771" s="44">
        <v>0</v>
      </c>
      <c r="K771" s="123">
        <v>100000</v>
      </c>
      <c r="L771" s="124">
        <f t="shared" si="105"/>
        <v>8</v>
      </c>
      <c r="M771" s="45">
        <f t="shared" si="108"/>
        <v>800000</v>
      </c>
      <c r="N771" s="45">
        <f t="shared" si="107"/>
        <v>800000</v>
      </c>
      <c r="O771" s="45"/>
      <c r="P771" s="45" t="s">
        <v>2792</v>
      </c>
      <c r="Q771" s="45"/>
      <c r="R771" s="45"/>
      <c r="S771" s="45">
        <f t="shared" si="106"/>
        <v>0</v>
      </c>
      <c r="T771" s="44" t="s">
        <v>19</v>
      </c>
      <c r="U771" s="44" t="s">
        <v>20</v>
      </c>
      <c r="V771" s="43" t="s">
        <v>21</v>
      </c>
      <c r="W771">
        <f>VLOOKUP(C771,'Data_HS t5'!$B$2:$K$412,10,TRUE)</f>
        <v>0</v>
      </c>
      <c r="X771" t="str">
        <f>VLOOKUP(C771,'Data_HS t9'!$B$2:$K$454,10,TRUE)</f>
        <v>Tổ dân phố số 15, Phường Việt Hưng, Quận Long Biên, Thành phố Hà Nội</v>
      </c>
    </row>
    <row r="772" spans="1:24">
      <c r="A772" s="2">
        <v>763</v>
      </c>
      <c r="B772" s="119">
        <v>202510</v>
      </c>
      <c r="C772" s="44" t="s">
        <v>1525</v>
      </c>
      <c r="D772" s="44" t="s">
        <v>1526</v>
      </c>
      <c r="E772" s="44" t="s">
        <v>1509</v>
      </c>
      <c r="F772" s="44">
        <v>8</v>
      </c>
      <c r="G772" s="44">
        <v>0</v>
      </c>
      <c r="H772" s="44">
        <v>0</v>
      </c>
      <c r="I772" s="44">
        <v>0</v>
      </c>
      <c r="J772" s="44">
        <v>0</v>
      </c>
      <c r="K772" s="123">
        <v>100000</v>
      </c>
      <c r="L772" s="124">
        <f t="shared" si="105"/>
        <v>8</v>
      </c>
      <c r="M772" s="45">
        <f t="shared" si="108"/>
        <v>800000</v>
      </c>
      <c r="N772" s="45">
        <f t="shared" si="107"/>
        <v>800000</v>
      </c>
      <c r="O772" s="45"/>
      <c r="P772" s="45" t="s">
        <v>7106</v>
      </c>
      <c r="Q772" s="45"/>
      <c r="R772" s="45"/>
      <c r="S772" s="45">
        <f t="shared" si="106"/>
        <v>0</v>
      </c>
      <c r="T772" s="44" t="s">
        <v>19</v>
      </c>
      <c r="U772" s="44" t="s">
        <v>20</v>
      </c>
      <c r="V772" s="43" t="s">
        <v>21</v>
      </c>
      <c r="W772">
        <f>VLOOKUP(C772,'Data_HS t5'!$B$2:$K$412,10,TRUE)</f>
        <v>0</v>
      </c>
      <c r="X772" t="str">
        <f>VLOOKUP(C772,'Data_HS t9'!$B$2:$K$454,10,TRUE)</f>
        <v>Tổ dân phố số 11, Phường Sài Đồng, Quận Long Biên, Thành phố Hà Nội</v>
      </c>
    </row>
    <row r="773" spans="1:24">
      <c r="A773" s="2">
        <v>764</v>
      </c>
      <c r="B773" s="119">
        <v>202510</v>
      </c>
      <c r="C773" s="44" t="s">
        <v>1527</v>
      </c>
      <c r="D773" s="44" t="s">
        <v>1528</v>
      </c>
      <c r="E773" s="44" t="s">
        <v>1509</v>
      </c>
      <c r="F773" s="44">
        <v>6</v>
      </c>
      <c r="G773" s="44">
        <v>0</v>
      </c>
      <c r="H773" s="44">
        <v>0</v>
      </c>
      <c r="I773" s="44">
        <v>0</v>
      </c>
      <c r="J773" s="44">
        <v>0</v>
      </c>
      <c r="K773" s="123">
        <v>100000</v>
      </c>
      <c r="L773" s="124">
        <f t="shared" si="105"/>
        <v>6</v>
      </c>
      <c r="M773" s="45">
        <f t="shared" si="108"/>
        <v>600000</v>
      </c>
      <c r="N773" s="45">
        <f t="shared" si="107"/>
        <v>600000</v>
      </c>
      <c r="O773" s="45"/>
      <c r="P773" s="45" t="s">
        <v>2068</v>
      </c>
      <c r="Q773" s="45"/>
      <c r="R773" s="45"/>
      <c r="S773" s="45">
        <f t="shared" si="106"/>
        <v>0</v>
      </c>
      <c r="T773" s="44" t="s">
        <v>19</v>
      </c>
      <c r="U773" s="44" t="s">
        <v>20</v>
      </c>
      <c r="V773" s="43" t="s">
        <v>21</v>
      </c>
      <c r="W773" t="str">
        <f>VLOOKUP(C773,'Data_HS t5'!$B$2:$K$412,10,TRUE)</f>
        <v>Tổ dân phố 21, Phường Phúc Xá, Quận Ba Đình, Thành phố Hà Nội</v>
      </c>
      <c r="X773" t="str">
        <f>VLOOKUP(C773,'Data_HS t9'!$B$2:$K$454,10,TRUE)</f>
        <v>Tổ dân phố số 11, Phường Sài Đồng, Quận Long Biên, Thành phố Hà Nội</v>
      </c>
    </row>
    <row r="774" spans="1:24">
      <c r="A774" s="2">
        <v>765</v>
      </c>
      <c r="B774" s="119">
        <v>202510</v>
      </c>
      <c r="C774" s="44" t="s">
        <v>1529</v>
      </c>
      <c r="D774" s="44" t="s">
        <v>1530</v>
      </c>
      <c r="E774" s="44" t="s">
        <v>1509</v>
      </c>
      <c r="F774" s="44">
        <v>0</v>
      </c>
      <c r="G774" s="44">
        <v>0</v>
      </c>
      <c r="H774" s="44">
        <v>0</v>
      </c>
      <c r="I774" s="44">
        <v>0</v>
      </c>
      <c r="J774" s="44">
        <v>0</v>
      </c>
      <c r="K774" s="123">
        <v>100000</v>
      </c>
      <c r="L774" s="124">
        <f t="shared" si="105"/>
        <v>0</v>
      </c>
      <c r="M774" s="45">
        <f t="shared" si="108"/>
        <v>0</v>
      </c>
      <c r="N774" s="45"/>
      <c r="O774" s="45"/>
      <c r="P774" s="45"/>
      <c r="Q774" s="45"/>
      <c r="R774" s="45"/>
      <c r="S774" s="45">
        <f t="shared" si="106"/>
        <v>0</v>
      </c>
      <c r="T774" s="44" t="s">
        <v>19</v>
      </c>
      <c r="U774" s="44" t="s">
        <v>20</v>
      </c>
      <c r="V774" s="43" t="s">
        <v>21</v>
      </c>
      <c r="W774">
        <f>VLOOKUP(C774,'Data_HS t5'!$B$2:$K$412,10,TRUE)</f>
        <v>0</v>
      </c>
      <c r="X774" t="str">
        <f>VLOOKUP(C774,'Data_HS t9'!$B$2:$K$454,10,TRUE)</f>
        <v>Tổ 13, Khu Đô thị Việt Hưng, Phường Giang Biên, Quận Long Biên.</v>
      </c>
    </row>
    <row r="775" spans="1:24">
      <c r="A775" s="2">
        <v>766</v>
      </c>
      <c r="B775" s="119">
        <v>202510</v>
      </c>
      <c r="C775" s="44" t="s">
        <v>1531</v>
      </c>
      <c r="D775" s="44" t="s">
        <v>1532</v>
      </c>
      <c r="E775" s="44" t="s">
        <v>1509</v>
      </c>
      <c r="F775" s="44">
        <v>6</v>
      </c>
      <c r="G775" s="44">
        <v>0</v>
      </c>
      <c r="H775" s="44">
        <v>0</v>
      </c>
      <c r="I775" s="44">
        <v>0</v>
      </c>
      <c r="J775" s="44">
        <v>0</v>
      </c>
      <c r="K775" s="123">
        <v>100000</v>
      </c>
      <c r="L775" s="124">
        <f t="shared" si="105"/>
        <v>6</v>
      </c>
      <c r="M775" s="45">
        <f t="shared" si="108"/>
        <v>600000</v>
      </c>
      <c r="N775" s="45">
        <f>M775</f>
        <v>600000</v>
      </c>
      <c r="O775" s="45"/>
      <c r="P775" s="45" t="s">
        <v>2668</v>
      </c>
      <c r="Q775" s="45"/>
      <c r="R775" s="45"/>
      <c r="S775" s="45">
        <f t="shared" si="106"/>
        <v>0</v>
      </c>
      <c r="T775" s="44" t="s">
        <v>19</v>
      </c>
      <c r="U775" s="44" t="s">
        <v>20</v>
      </c>
      <c r="V775" s="43" t="s">
        <v>21</v>
      </c>
      <c r="W775" t="str">
        <f>VLOOKUP(C775,'Data_HS t5'!$B$2:$K$412,10,TRUE)</f>
        <v>Tổ dân phố số 23, Phường Bồ Đề, Quận Long Biên, Thành phố Hà Nội</v>
      </c>
      <c r="X775" t="str">
        <f>VLOOKUP(C775,'Data_HS t9'!$B$2:$K$454,10,TRUE)</f>
        <v>5/366/36/4, Ngọc Lâm, LB</v>
      </c>
    </row>
    <row r="776" spans="1:24">
      <c r="A776" s="2">
        <v>767</v>
      </c>
      <c r="B776" s="119">
        <v>202510</v>
      </c>
      <c r="C776" s="44" t="s">
        <v>1533</v>
      </c>
      <c r="D776" s="44" t="s">
        <v>1534</v>
      </c>
      <c r="E776" s="44" t="s">
        <v>1509</v>
      </c>
      <c r="F776" s="44">
        <v>8</v>
      </c>
      <c r="G776" s="44">
        <v>0</v>
      </c>
      <c r="H776" s="44">
        <v>0</v>
      </c>
      <c r="I776" s="44">
        <v>0</v>
      </c>
      <c r="J776" s="44">
        <v>0</v>
      </c>
      <c r="K776" s="123">
        <v>100000</v>
      </c>
      <c r="L776" s="124">
        <f t="shared" si="105"/>
        <v>8</v>
      </c>
      <c r="M776" s="45">
        <f t="shared" si="108"/>
        <v>800000</v>
      </c>
      <c r="N776" s="45">
        <f>M776</f>
        <v>800000</v>
      </c>
      <c r="O776" s="45"/>
      <c r="P776" s="45" t="s">
        <v>3118</v>
      </c>
      <c r="Q776" s="45"/>
      <c r="R776" s="45"/>
      <c r="S776" s="45">
        <f t="shared" si="106"/>
        <v>0</v>
      </c>
      <c r="T776" s="44" t="s">
        <v>19</v>
      </c>
      <c r="U776" s="44" t="s">
        <v>20</v>
      </c>
      <c r="V776" s="43" t="s">
        <v>21</v>
      </c>
      <c r="W776">
        <f>VLOOKUP(C776,'Data_HS t5'!$B$2:$K$412,10,TRUE)</f>
        <v>0</v>
      </c>
      <c r="X776" t="str">
        <f>VLOOKUP(C776,'Data_HS t9'!$B$2:$K$454,10,TRUE)</f>
        <v>Tổ dân phố số 11, Phường Sài Đồng, Quận Long Biên, Thành phố Hà Nội</v>
      </c>
    </row>
    <row r="777" spans="1:24">
      <c r="A777" s="2">
        <v>768</v>
      </c>
      <c r="B777" s="119">
        <v>202510</v>
      </c>
      <c r="C777" s="44" t="s">
        <v>1535</v>
      </c>
      <c r="D777" s="44" t="s">
        <v>1536</v>
      </c>
      <c r="E777" s="44" t="s">
        <v>1509</v>
      </c>
      <c r="F777" s="44">
        <v>8</v>
      </c>
      <c r="G777" s="44">
        <v>0</v>
      </c>
      <c r="H777" s="44">
        <v>0</v>
      </c>
      <c r="I777" s="44">
        <v>0</v>
      </c>
      <c r="J777" s="44">
        <v>0</v>
      </c>
      <c r="K777" s="123">
        <v>100000</v>
      </c>
      <c r="L777" s="124">
        <f t="shared" si="105"/>
        <v>8</v>
      </c>
      <c r="M777" s="45">
        <f t="shared" si="108"/>
        <v>800000</v>
      </c>
      <c r="N777" s="45">
        <f>M777</f>
        <v>800000</v>
      </c>
      <c r="O777" s="45"/>
      <c r="P777" s="45" t="s">
        <v>7075</v>
      </c>
      <c r="Q777" s="45"/>
      <c r="R777" s="45"/>
      <c r="S777" s="45">
        <f t="shared" si="106"/>
        <v>0</v>
      </c>
      <c r="T777" s="44" t="s">
        <v>19</v>
      </c>
      <c r="U777" s="44" t="s">
        <v>20</v>
      </c>
      <c r="V777" s="43" t="s">
        <v>21</v>
      </c>
      <c r="W777" t="str">
        <f>VLOOKUP(C777,'Data_HS t5'!$B$2:$K$412,10,TRUE)</f>
        <v>Tổ dân phố 21, Phường Phúc Xá, Quận Ba Đình, Thành phố Hà Nội</v>
      </c>
      <c r="X777" t="str">
        <f>VLOOKUP(C777,'Data_HS t9'!$B$2:$K$454,10,TRUE)</f>
        <v>Tổ dân phố số 5, Phường Ngọc Lâm, Quận Long Biên, Thành phố Hà Nội</v>
      </c>
    </row>
    <row r="778" spans="1:24">
      <c r="A778" s="2">
        <v>769</v>
      </c>
      <c r="B778" s="119">
        <v>202510</v>
      </c>
      <c r="C778" s="44" t="s">
        <v>1537</v>
      </c>
      <c r="D778" s="44" t="s">
        <v>1538</v>
      </c>
      <c r="E778" s="44" t="s">
        <v>1509</v>
      </c>
      <c r="F778" s="44">
        <v>8</v>
      </c>
      <c r="G778" s="44">
        <v>0</v>
      </c>
      <c r="H778" s="44">
        <v>0</v>
      </c>
      <c r="I778" s="44">
        <v>0</v>
      </c>
      <c r="J778" s="44">
        <v>0</v>
      </c>
      <c r="K778" s="123">
        <v>100000</v>
      </c>
      <c r="L778" s="124">
        <f t="shared" si="105"/>
        <v>8</v>
      </c>
      <c r="M778" s="45">
        <f t="shared" si="108"/>
        <v>800000</v>
      </c>
      <c r="N778" s="45">
        <f>M778</f>
        <v>800000</v>
      </c>
      <c r="O778" s="45"/>
      <c r="P778" s="45"/>
      <c r="Q778" s="45" t="s">
        <v>3150</v>
      </c>
      <c r="R778" s="45">
        <v>10000</v>
      </c>
      <c r="S778" s="45">
        <f t="shared" si="106"/>
        <v>0</v>
      </c>
      <c r="T778" s="44" t="s">
        <v>19</v>
      </c>
      <c r="U778" s="44" t="s">
        <v>20</v>
      </c>
      <c r="V778" s="43" t="s">
        <v>21</v>
      </c>
      <c r="W778" t="e">
        <f>VLOOKUP(C778,'Data_HS t5'!$B$2:$K$412,10,TRUE)</f>
        <v>#N/A</v>
      </c>
      <c r="X778" t="e">
        <f>VLOOKUP(C778,'Data_HS t9'!$B$2:$K$454,10,TRUE)</f>
        <v>#N/A</v>
      </c>
    </row>
    <row r="779" spans="1:24">
      <c r="A779" s="2">
        <v>770</v>
      </c>
      <c r="B779" s="119">
        <v>202510</v>
      </c>
      <c r="C779" s="44" t="s">
        <v>1539</v>
      </c>
      <c r="D779" s="44" t="s">
        <v>1540</v>
      </c>
      <c r="E779" s="44" t="s">
        <v>1509</v>
      </c>
      <c r="F779" s="44">
        <v>8</v>
      </c>
      <c r="G779" s="44">
        <v>0</v>
      </c>
      <c r="H779" s="44">
        <v>0</v>
      </c>
      <c r="I779" s="44">
        <v>0</v>
      </c>
      <c r="J779" s="44">
        <v>0</v>
      </c>
      <c r="K779" s="123">
        <v>100000</v>
      </c>
      <c r="L779" s="124">
        <f t="shared" si="105"/>
        <v>8</v>
      </c>
      <c r="M779" s="45">
        <f t="shared" si="108"/>
        <v>800000</v>
      </c>
      <c r="N779" s="45">
        <f>M779</f>
        <v>800000</v>
      </c>
      <c r="O779" s="45"/>
      <c r="P779" s="45" t="s">
        <v>6082</v>
      </c>
      <c r="Q779" s="45"/>
      <c r="R779" s="45"/>
      <c r="S779" s="45">
        <f t="shared" si="106"/>
        <v>0</v>
      </c>
      <c r="T779" s="44" t="s">
        <v>19</v>
      </c>
      <c r="U779" s="44" t="s">
        <v>20</v>
      </c>
      <c r="V779" s="43" t="s">
        <v>21</v>
      </c>
      <c r="W779" t="str">
        <f>VLOOKUP(C779,'Data_HS t5'!$B$2:$K$412,10,TRUE)</f>
        <v>Phường Thạch Bàn, Quận Long Biên, Thành phố Hà Nội</v>
      </c>
      <c r="X779" t="str">
        <f>VLOOKUP(C779,'Data_HS t9'!$B$2:$K$454,10,TRUE)</f>
        <v>Phường Sài Đồng, Quận Long Biên, Thành phố Hà Nội</v>
      </c>
    </row>
    <row r="780" spans="1:24">
      <c r="A780" s="2">
        <v>771</v>
      </c>
      <c r="B780" s="119">
        <v>202510</v>
      </c>
      <c r="C780" s="44" t="s">
        <v>1541</v>
      </c>
      <c r="D780" s="44" t="s">
        <v>1542</v>
      </c>
      <c r="E780" s="44" t="s">
        <v>1509</v>
      </c>
      <c r="F780" s="44">
        <v>0</v>
      </c>
      <c r="G780" s="44">
        <v>0</v>
      </c>
      <c r="H780" s="44">
        <v>0</v>
      </c>
      <c r="I780" s="44">
        <v>0</v>
      </c>
      <c r="J780" s="44">
        <v>0</v>
      </c>
      <c r="K780" s="123">
        <v>100000</v>
      </c>
      <c r="L780" s="124">
        <f t="shared" si="105"/>
        <v>0</v>
      </c>
      <c r="M780" s="45">
        <f t="shared" si="108"/>
        <v>0</v>
      </c>
      <c r="N780" s="45"/>
      <c r="O780" s="45"/>
      <c r="P780" s="45"/>
      <c r="Q780" s="45"/>
      <c r="R780" s="45"/>
      <c r="S780" s="45">
        <f t="shared" si="106"/>
        <v>0</v>
      </c>
      <c r="T780" s="44" t="s">
        <v>19</v>
      </c>
      <c r="U780" s="44" t="s">
        <v>20</v>
      </c>
      <c r="V780" s="43" t="s">
        <v>21</v>
      </c>
      <c r="W780">
        <f>VLOOKUP(C780,'Data_HS t5'!$B$2:$K$412,10,TRUE)</f>
        <v>0</v>
      </c>
      <c r="X780" t="str">
        <f>VLOOKUP(C780,'Data_HS t9'!$B$2:$K$454,10,TRUE)</f>
        <v>Phường Phúc Lợi, Quận Long Biên, Thành phố Hà Nội</v>
      </c>
    </row>
    <row r="781" spans="1:24">
      <c r="A781" s="2">
        <v>772</v>
      </c>
      <c r="B781" s="119">
        <v>202510</v>
      </c>
      <c r="C781" s="44" t="s">
        <v>1543</v>
      </c>
      <c r="D781" s="44" t="s">
        <v>1544</v>
      </c>
      <c r="E781" s="44" t="s">
        <v>1509</v>
      </c>
      <c r="F781" s="44">
        <v>0</v>
      </c>
      <c r="G781" s="44">
        <v>0</v>
      </c>
      <c r="H781" s="44">
        <v>6</v>
      </c>
      <c r="I781" s="44">
        <v>0</v>
      </c>
      <c r="J781" s="44">
        <v>0</v>
      </c>
      <c r="K781" s="123">
        <v>100000</v>
      </c>
      <c r="L781" s="124">
        <f t="shared" si="105"/>
        <v>6</v>
      </c>
      <c r="M781" s="45">
        <f t="shared" si="108"/>
        <v>600000</v>
      </c>
      <c r="N781" s="45">
        <f t="shared" ref="N781:N786" si="109">M781</f>
        <v>600000</v>
      </c>
      <c r="O781" s="45"/>
      <c r="P781" s="45" t="s">
        <v>7083</v>
      </c>
      <c r="Q781" s="45"/>
      <c r="R781" s="45"/>
      <c r="S781" s="45">
        <f t="shared" si="106"/>
        <v>0</v>
      </c>
      <c r="T781" s="44" t="s">
        <v>19</v>
      </c>
      <c r="U781" s="44" t="s">
        <v>20</v>
      </c>
      <c r="V781" s="43" t="s">
        <v>21</v>
      </c>
      <c r="W781" t="e">
        <f>VLOOKUP(C781,'Data_HS t5'!$B$2:$K$412,10,TRUE)</f>
        <v>#N/A</v>
      </c>
      <c r="X781" t="str">
        <f>VLOOKUP(C781,'Data_HS t9'!$B$2:$K$454,10,TRUE)</f>
        <v>Tổ dân phố số 36, Phường Ngọc Thụy, Quận Long Biên, Thành phố Hà Nội</v>
      </c>
    </row>
    <row r="782" spans="1:24">
      <c r="A782" s="2">
        <v>773</v>
      </c>
      <c r="B782" s="119">
        <v>202510</v>
      </c>
      <c r="C782" s="44" t="s">
        <v>1545</v>
      </c>
      <c r="D782" s="44" t="s">
        <v>1546</v>
      </c>
      <c r="E782" s="44" t="s">
        <v>1509</v>
      </c>
      <c r="F782" s="44">
        <v>8</v>
      </c>
      <c r="G782" s="44">
        <v>0</v>
      </c>
      <c r="H782" s="44">
        <v>6</v>
      </c>
      <c r="I782" s="44">
        <v>0</v>
      </c>
      <c r="J782" s="44">
        <v>0</v>
      </c>
      <c r="K782" s="123">
        <v>100000</v>
      </c>
      <c r="L782" s="124">
        <f t="shared" si="105"/>
        <v>14</v>
      </c>
      <c r="M782" s="45">
        <f t="shared" si="108"/>
        <v>1400000</v>
      </c>
      <c r="N782" s="45">
        <f t="shared" si="109"/>
        <v>1400000</v>
      </c>
      <c r="O782" s="45"/>
      <c r="P782" s="45" t="s">
        <v>6283</v>
      </c>
      <c r="Q782" s="45"/>
      <c r="R782" s="45"/>
      <c r="S782" s="45">
        <f t="shared" si="106"/>
        <v>0</v>
      </c>
      <c r="T782" s="44" t="s">
        <v>19</v>
      </c>
      <c r="U782" s="44" t="s">
        <v>20</v>
      </c>
      <c r="V782" s="43" t="s">
        <v>21</v>
      </c>
      <c r="W782">
        <f>VLOOKUP(C782,'Data_HS t5'!$B$2:$K$412,10,TRUE)</f>
        <v>0</v>
      </c>
      <c r="X782" t="str">
        <f>VLOOKUP(C782,'Data_HS t9'!$B$2:$K$454,10,TRUE)</f>
        <v>Phường Phúc Lợi, Quận Long Biên, Thành phố Hà Nội</v>
      </c>
    </row>
    <row r="783" spans="1:24">
      <c r="A783" s="2">
        <v>774</v>
      </c>
      <c r="B783" s="119">
        <v>202510</v>
      </c>
      <c r="C783" s="44" t="s">
        <v>1547</v>
      </c>
      <c r="D783" s="44" t="s">
        <v>1548</v>
      </c>
      <c r="E783" s="44" t="s">
        <v>1509</v>
      </c>
      <c r="F783" s="44">
        <v>8</v>
      </c>
      <c r="G783" s="44">
        <v>6</v>
      </c>
      <c r="H783" s="44">
        <v>5</v>
      </c>
      <c r="I783" s="44">
        <v>0</v>
      </c>
      <c r="J783" s="44">
        <v>0</v>
      </c>
      <c r="K783" s="123">
        <v>100000</v>
      </c>
      <c r="L783" s="124">
        <f t="shared" si="105"/>
        <v>19</v>
      </c>
      <c r="M783" s="45">
        <f t="shared" si="108"/>
        <v>1900000</v>
      </c>
      <c r="N783" s="45">
        <f t="shared" si="109"/>
        <v>1900000</v>
      </c>
      <c r="O783" s="45"/>
      <c r="P783" s="45" t="s">
        <v>6320</v>
      </c>
      <c r="Q783" s="45"/>
      <c r="R783" s="45"/>
      <c r="S783" s="45">
        <f t="shared" si="106"/>
        <v>0</v>
      </c>
      <c r="T783" s="44" t="s">
        <v>19</v>
      </c>
      <c r="U783" s="44" t="s">
        <v>20</v>
      </c>
      <c r="V783" s="43" t="s">
        <v>21</v>
      </c>
      <c r="W783">
        <f>VLOOKUP(C783,'Data_HS t5'!$B$2:$K$412,10,TRUE)</f>
        <v>0</v>
      </c>
      <c r="X783" t="str">
        <f>VLOOKUP(C783,'Data_HS t9'!$B$2:$K$454,10,TRUE)</f>
        <v>Tổ dân phố số 11, Phường Sài Đồng, Quận Long Biên, Thành phố Hà Nội</v>
      </c>
    </row>
    <row r="784" spans="1:24">
      <c r="A784" s="2">
        <v>775</v>
      </c>
      <c r="B784" s="119">
        <v>202510</v>
      </c>
      <c r="C784" s="44" t="s">
        <v>1549</v>
      </c>
      <c r="D784" s="44" t="s">
        <v>1550</v>
      </c>
      <c r="E784" s="44" t="s">
        <v>1509</v>
      </c>
      <c r="F784" s="44">
        <v>8</v>
      </c>
      <c r="G784" s="44">
        <v>8</v>
      </c>
      <c r="H784" s="44">
        <v>6</v>
      </c>
      <c r="I784" s="44">
        <v>0</v>
      </c>
      <c r="J784" s="44">
        <v>0</v>
      </c>
      <c r="K784" s="123">
        <v>100000</v>
      </c>
      <c r="L784" s="124">
        <f t="shared" si="105"/>
        <v>22</v>
      </c>
      <c r="M784" s="45">
        <f t="shared" si="108"/>
        <v>2200000</v>
      </c>
      <c r="N784" s="45">
        <f t="shared" si="109"/>
        <v>2200000</v>
      </c>
      <c r="O784" s="45"/>
      <c r="P784" s="45" t="s">
        <v>2714</v>
      </c>
      <c r="Q784" s="45"/>
      <c r="R784" s="45"/>
      <c r="S784" s="45">
        <f t="shared" si="106"/>
        <v>0</v>
      </c>
      <c r="T784" s="44" t="s">
        <v>19</v>
      </c>
      <c r="U784" s="44" t="s">
        <v>20</v>
      </c>
      <c r="V784" s="43" t="s">
        <v>21</v>
      </c>
      <c r="W784" t="str">
        <f>VLOOKUP(C784,'Data_HS t5'!$B$2:$K$412,10,TRUE)</f>
        <v>Tổ dân phố số 4, Phường Thạch Bàn, Quận Long Biên, Thành phố Hà Nội</v>
      </c>
      <c r="X784" t="e">
        <f>VLOOKUP(C784,'Data_HS t9'!$B$2:$K$454,10,TRUE)</f>
        <v>#N/A</v>
      </c>
    </row>
    <row r="785" spans="1:24">
      <c r="A785" s="2">
        <v>776</v>
      </c>
      <c r="B785" s="119">
        <v>202510</v>
      </c>
      <c r="C785" s="44" t="s">
        <v>1551</v>
      </c>
      <c r="D785" s="44" t="s">
        <v>1552</v>
      </c>
      <c r="E785" s="44" t="s">
        <v>1509</v>
      </c>
      <c r="F785" s="44">
        <v>8</v>
      </c>
      <c r="G785" s="44">
        <v>0</v>
      </c>
      <c r="H785" s="44">
        <v>6</v>
      </c>
      <c r="I785" s="44">
        <v>0</v>
      </c>
      <c r="J785" s="44">
        <v>0</v>
      </c>
      <c r="K785" s="123">
        <v>100000</v>
      </c>
      <c r="L785" s="124">
        <f t="shared" si="105"/>
        <v>14</v>
      </c>
      <c r="M785" s="45">
        <f t="shared" si="108"/>
        <v>1400000</v>
      </c>
      <c r="N785" s="45">
        <f t="shared" si="109"/>
        <v>1400000</v>
      </c>
      <c r="O785" s="45"/>
      <c r="P785" s="45" t="s">
        <v>2750</v>
      </c>
      <c r="Q785" s="45"/>
      <c r="R785" s="45"/>
      <c r="S785" s="45">
        <f t="shared" si="106"/>
        <v>0</v>
      </c>
      <c r="T785" s="44" t="s">
        <v>19</v>
      </c>
      <c r="U785" s="44" t="s">
        <v>20</v>
      </c>
      <c r="V785" s="43" t="s">
        <v>21</v>
      </c>
      <c r="W785" t="e">
        <f>VLOOKUP(C785,'Data_HS t5'!$B$2:$K$412,10,TRUE)</f>
        <v>#N/A</v>
      </c>
      <c r="X785" t="e">
        <f>VLOOKUP(C785,'Data_HS t9'!$B$2:$K$454,10,TRUE)</f>
        <v>#N/A</v>
      </c>
    </row>
    <row r="786" spans="1:24">
      <c r="A786" s="2">
        <v>777</v>
      </c>
      <c r="B786" s="119">
        <v>202510</v>
      </c>
      <c r="C786" s="44" t="s">
        <v>1553</v>
      </c>
      <c r="D786" s="44" t="s">
        <v>1554</v>
      </c>
      <c r="E786" s="44" t="s">
        <v>1509</v>
      </c>
      <c r="F786" s="44">
        <v>0</v>
      </c>
      <c r="G786" s="44">
        <v>5</v>
      </c>
      <c r="H786" s="44">
        <v>6</v>
      </c>
      <c r="I786" s="44">
        <v>0</v>
      </c>
      <c r="J786" s="44">
        <v>0</v>
      </c>
      <c r="K786" s="123">
        <v>100000</v>
      </c>
      <c r="L786" s="124">
        <f t="shared" si="105"/>
        <v>11</v>
      </c>
      <c r="M786" s="45">
        <f t="shared" si="108"/>
        <v>1100000</v>
      </c>
      <c r="N786" s="45">
        <f t="shared" si="109"/>
        <v>1100000</v>
      </c>
      <c r="O786" s="45"/>
      <c r="P786" s="45" t="s">
        <v>2100</v>
      </c>
      <c r="Q786" s="45"/>
      <c r="R786" s="45"/>
      <c r="S786" s="45">
        <f t="shared" si="106"/>
        <v>0</v>
      </c>
      <c r="T786" s="44" t="s">
        <v>19</v>
      </c>
      <c r="U786" s="44" t="s">
        <v>20</v>
      </c>
      <c r="V786" s="43" t="s">
        <v>21</v>
      </c>
      <c r="W786" t="str">
        <f>VLOOKUP(C786,'Data_HS t5'!$B$2:$K$412,10,TRUE)</f>
        <v>Phường Thạch Bàn, Quận Long Biên, Thành phố Hà Nội</v>
      </c>
      <c r="X786" t="e">
        <f>VLOOKUP(C786,'Data_HS t9'!$B$2:$K$454,10,TRUE)</f>
        <v>#N/A</v>
      </c>
    </row>
    <row r="787" spans="1:24" ht="29.4" customHeight="1">
      <c r="A787" s="2">
        <v>778</v>
      </c>
      <c r="B787" s="119">
        <v>202510</v>
      </c>
      <c r="C787" s="44" t="s">
        <v>1555</v>
      </c>
      <c r="D787" s="44" t="s">
        <v>1556</v>
      </c>
      <c r="E787" s="44" t="s">
        <v>1557</v>
      </c>
      <c r="F787" s="44">
        <v>8</v>
      </c>
      <c r="G787" s="44">
        <v>0</v>
      </c>
      <c r="H787" s="44">
        <v>0</v>
      </c>
      <c r="I787" s="44">
        <v>0</v>
      </c>
      <c r="J787" s="44">
        <v>0</v>
      </c>
      <c r="K787" s="123">
        <v>100000</v>
      </c>
      <c r="L787" s="124">
        <f t="shared" si="105"/>
        <v>8</v>
      </c>
      <c r="M787" s="45">
        <f t="shared" si="108"/>
        <v>800000</v>
      </c>
      <c r="N787" s="45">
        <f>M787+100000</f>
        <v>900000</v>
      </c>
      <c r="O787" s="45"/>
      <c r="P787" s="61" t="s">
        <v>6651</v>
      </c>
      <c r="Q787" s="45"/>
      <c r="R787" s="45"/>
      <c r="S787" s="62">
        <f t="shared" si="106"/>
        <v>-100000</v>
      </c>
      <c r="T787" s="44" t="s">
        <v>19</v>
      </c>
      <c r="U787" s="44" t="s">
        <v>20</v>
      </c>
      <c r="V787" s="43" t="s">
        <v>21</v>
      </c>
      <c r="W787">
        <f>VLOOKUP(C787,'Data_HS t5'!$B$2:$K$412,10,TRUE)</f>
        <v>0</v>
      </c>
      <c r="X787" t="str">
        <f>VLOOKUP(C787,'Data_HS t9'!$B$2:$K$454,10,TRUE)</f>
        <v>Tổ dân phố số 2, Phường Long Biên, Quận Long Biên, Thành phố Hà Nội</v>
      </c>
    </row>
    <row r="788" spans="1:24">
      <c r="A788" s="2">
        <v>779</v>
      </c>
      <c r="B788" s="119">
        <v>202510</v>
      </c>
      <c r="C788" s="44" t="s">
        <v>1558</v>
      </c>
      <c r="D788" s="44" t="s">
        <v>1559</v>
      </c>
      <c r="E788" s="44" t="s">
        <v>1557</v>
      </c>
      <c r="F788" s="44">
        <v>8</v>
      </c>
      <c r="G788" s="44">
        <v>0</v>
      </c>
      <c r="H788" s="44">
        <v>0</v>
      </c>
      <c r="I788" s="44">
        <v>0</v>
      </c>
      <c r="J788" s="44">
        <v>0</v>
      </c>
      <c r="K788" s="123">
        <v>100000</v>
      </c>
      <c r="L788" s="124">
        <f t="shared" si="105"/>
        <v>8</v>
      </c>
      <c r="M788" s="45">
        <f t="shared" si="108"/>
        <v>800000</v>
      </c>
      <c r="N788" s="45">
        <f>M788</f>
        <v>800000</v>
      </c>
      <c r="O788" s="45"/>
      <c r="P788" s="45" t="s">
        <v>6284</v>
      </c>
      <c r="Q788" s="45"/>
      <c r="R788" s="45"/>
      <c r="S788" s="45">
        <f t="shared" si="106"/>
        <v>0</v>
      </c>
      <c r="T788" s="44" t="s">
        <v>19</v>
      </c>
      <c r="U788" s="44" t="s">
        <v>20</v>
      </c>
      <c r="V788" s="43" t="s">
        <v>21</v>
      </c>
      <c r="W788" t="str">
        <f>VLOOKUP(C788,'Data_HS t5'!$B$2:$K$412,10,TRUE)</f>
        <v>Tổ dân phố 21, Phường Phúc Xá, Quận Ba Đình, Thành phố Hà Nội</v>
      </c>
      <c r="X788" t="str">
        <f>VLOOKUP(C788,'Data_HS t9'!$B$2:$K$454,10,TRUE)</f>
        <v>Tổ dân phố số 11, Phường Sài Đồng, Quận Long Biên, Thành phố Hà Nội</v>
      </c>
    </row>
    <row r="789" spans="1:24">
      <c r="A789" s="2">
        <v>780</v>
      </c>
      <c r="B789" s="119">
        <v>202510</v>
      </c>
      <c r="C789" s="44" t="s">
        <v>1560</v>
      </c>
      <c r="D789" s="44" t="s">
        <v>1561</v>
      </c>
      <c r="E789" s="44" t="s">
        <v>1557</v>
      </c>
      <c r="F789" s="44">
        <v>8</v>
      </c>
      <c r="G789" s="44">
        <v>0</v>
      </c>
      <c r="H789" s="44">
        <v>0</v>
      </c>
      <c r="I789" s="44">
        <v>0</v>
      </c>
      <c r="J789" s="44">
        <v>0</v>
      </c>
      <c r="K789" s="123">
        <v>100000</v>
      </c>
      <c r="L789" s="124">
        <f t="shared" si="105"/>
        <v>8</v>
      </c>
      <c r="M789" s="45">
        <f t="shared" si="108"/>
        <v>800000</v>
      </c>
      <c r="N789" s="45">
        <f>M789</f>
        <v>800000</v>
      </c>
      <c r="O789" s="45"/>
      <c r="P789" s="45" t="s">
        <v>7116</v>
      </c>
      <c r="Q789" s="45"/>
      <c r="R789" s="45"/>
      <c r="S789" s="45">
        <f t="shared" si="106"/>
        <v>0</v>
      </c>
      <c r="T789" s="44" t="s">
        <v>19</v>
      </c>
      <c r="U789" s="44" t="s">
        <v>20</v>
      </c>
      <c r="V789" s="43" t="s">
        <v>21</v>
      </c>
      <c r="W789" t="e">
        <f>VLOOKUP(C789,'Data_HS t5'!$B$2:$K$412,10,TRUE)</f>
        <v>#N/A</v>
      </c>
      <c r="X789" t="str">
        <f>VLOOKUP(C789,'Data_HS t9'!$B$2:$K$454,10,TRUE)</f>
        <v>Tổ dân phố số 36, Phường Ngọc Thụy, Quận Long Biên, Thành phố Hà Nội</v>
      </c>
    </row>
    <row r="790" spans="1:24">
      <c r="A790" s="2">
        <v>781</v>
      </c>
      <c r="B790" s="119">
        <v>202510</v>
      </c>
      <c r="C790" s="44" t="s">
        <v>1562</v>
      </c>
      <c r="D790" s="44" t="s">
        <v>1563</v>
      </c>
      <c r="E790" s="44" t="s">
        <v>1557</v>
      </c>
      <c r="F790" s="44">
        <v>8</v>
      </c>
      <c r="G790" s="44">
        <v>0</v>
      </c>
      <c r="H790" s="44">
        <v>0</v>
      </c>
      <c r="I790" s="44">
        <v>0</v>
      </c>
      <c r="J790" s="44">
        <v>0</v>
      </c>
      <c r="K790" s="123">
        <v>100000</v>
      </c>
      <c r="L790" s="124">
        <f t="shared" si="105"/>
        <v>8</v>
      </c>
      <c r="M790" s="45">
        <f t="shared" si="108"/>
        <v>800000</v>
      </c>
      <c r="N790" s="45">
        <f>M790</f>
        <v>800000</v>
      </c>
      <c r="O790" s="45"/>
      <c r="P790" s="45" t="s">
        <v>3135</v>
      </c>
      <c r="Q790" s="45"/>
      <c r="R790" s="45"/>
      <c r="S790" s="45">
        <f t="shared" si="106"/>
        <v>0</v>
      </c>
      <c r="T790" s="44" t="s">
        <v>19</v>
      </c>
      <c r="U790" s="44" t="s">
        <v>20</v>
      </c>
      <c r="V790" s="43" t="s">
        <v>21</v>
      </c>
      <c r="W790" t="str">
        <f>VLOOKUP(C790,'Data_HS t5'!$B$2:$K$412,10,TRUE)</f>
        <v>Phường Thạch Bàn, Quận Long Biên, Thành phố Hà Nội</v>
      </c>
      <c r="X790" t="e">
        <f>VLOOKUP(C790,'Data_HS t9'!$B$2:$K$454,10,TRUE)</f>
        <v>#N/A</v>
      </c>
    </row>
    <row r="791" spans="1:24">
      <c r="A791" s="2">
        <v>782</v>
      </c>
      <c r="B791" s="119">
        <v>202510</v>
      </c>
      <c r="C791" s="44" t="s">
        <v>612</v>
      </c>
      <c r="D791" s="44" t="s">
        <v>1564</v>
      </c>
      <c r="E791" s="44" t="s">
        <v>1557</v>
      </c>
      <c r="F791" s="44">
        <v>8</v>
      </c>
      <c r="G791" s="44">
        <v>0</v>
      </c>
      <c r="H791" s="44">
        <v>0</v>
      </c>
      <c r="I791" s="44">
        <v>0</v>
      </c>
      <c r="J791" s="44">
        <v>0</v>
      </c>
      <c r="K791" s="123">
        <v>100000</v>
      </c>
      <c r="L791" s="124">
        <f t="shared" si="105"/>
        <v>8</v>
      </c>
      <c r="M791" s="45">
        <f t="shared" si="108"/>
        <v>800000</v>
      </c>
      <c r="N791" s="45">
        <f>M791</f>
        <v>800000</v>
      </c>
      <c r="O791" s="45"/>
      <c r="P791" s="45" t="s">
        <v>3078</v>
      </c>
      <c r="Q791" s="45"/>
      <c r="R791" s="45"/>
      <c r="S791" s="45">
        <f t="shared" si="106"/>
        <v>0</v>
      </c>
      <c r="T791" s="44" t="s">
        <v>19</v>
      </c>
      <c r="U791" s="44" t="s">
        <v>20</v>
      </c>
      <c r="V791" s="43" t="s">
        <v>21</v>
      </c>
      <c r="W791" t="str">
        <f>VLOOKUP(C791,'Data_HS t5'!$B$2:$K$412,10,TRUE)</f>
        <v>Tổ dân phố số 4, Phường Thạch Bàn, Quận Long Biên, Thành phố Hà Nội</v>
      </c>
      <c r="X791" t="e">
        <f>VLOOKUP(C791,'Data_HS t9'!$B$2:$K$454,10,TRUE)</f>
        <v>#N/A</v>
      </c>
    </row>
    <row r="792" spans="1:24">
      <c r="A792" s="2">
        <v>783</v>
      </c>
      <c r="B792" s="119">
        <v>202510</v>
      </c>
      <c r="C792" s="44" t="s">
        <v>1565</v>
      </c>
      <c r="D792" s="44" t="s">
        <v>1566</v>
      </c>
      <c r="E792" s="44" t="s">
        <v>1557</v>
      </c>
      <c r="F792" s="44">
        <v>8</v>
      </c>
      <c r="G792" s="44">
        <v>0</v>
      </c>
      <c r="H792" s="44">
        <v>0</v>
      </c>
      <c r="I792" s="44">
        <v>0</v>
      </c>
      <c r="J792" s="44">
        <v>0</v>
      </c>
      <c r="K792" s="123">
        <v>100000</v>
      </c>
      <c r="L792" s="124">
        <f t="shared" si="105"/>
        <v>8</v>
      </c>
      <c r="M792" s="45">
        <f t="shared" si="108"/>
        <v>800000</v>
      </c>
      <c r="N792" s="65">
        <f>M793</f>
        <v>800000</v>
      </c>
      <c r="O792" s="45"/>
      <c r="P792" s="65" t="s">
        <v>2698</v>
      </c>
      <c r="Q792" s="45"/>
      <c r="R792" s="45"/>
      <c r="S792" s="45">
        <f t="shared" si="106"/>
        <v>0</v>
      </c>
      <c r="T792" s="44" t="s">
        <v>19</v>
      </c>
      <c r="U792" s="44" t="s">
        <v>20</v>
      </c>
      <c r="V792" s="43" t="s">
        <v>21</v>
      </c>
      <c r="W792" t="e">
        <f>VLOOKUP(C792,'Data_HS t5'!$B$2:$K$412,10,TRUE)</f>
        <v>#N/A</v>
      </c>
      <c r="X792" t="e">
        <f>VLOOKUP(C792,'Data_HS t9'!$B$2:$K$454,10,TRUE)</f>
        <v>#N/A</v>
      </c>
    </row>
    <row r="793" spans="1:24">
      <c r="A793" s="2">
        <v>784</v>
      </c>
      <c r="B793" s="119">
        <v>202510</v>
      </c>
      <c r="C793" s="44" t="s">
        <v>1567</v>
      </c>
      <c r="D793" s="44" t="s">
        <v>1568</v>
      </c>
      <c r="E793" s="44" t="s">
        <v>1557</v>
      </c>
      <c r="F793" s="44">
        <v>8</v>
      </c>
      <c r="G793" s="44">
        <v>0</v>
      </c>
      <c r="H793" s="44">
        <v>0</v>
      </c>
      <c r="I793" s="44">
        <v>0</v>
      </c>
      <c r="J793" s="44">
        <v>0</v>
      </c>
      <c r="K793" s="123">
        <v>100000</v>
      </c>
      <c r="L793" s="124">
        <f t="shared" si="105"/>
        <v>8</v>
      </c>
      <c r="M793" s="45">
        <f t="shared" si="108"/>
        <v>800000</v>
      </c>
      <c r="N793" s="45">
        <f>M794</f>
        <v>800000</v>
      </c>
      <c r="O793" s="45"/>
      <c r="P793" s="45" t="s">
        <v>3143</v>
      </c>
      <c r="Q793" s="45"/>
      <c r="R793" s="45"/>
      <c r="S793" s="45">
        <f t="shared" si="106"/>
        <v>0</v>
      </c>
      <c r="T793" s="44" t="s">
        <v>19</v>
      </c>
      <c r="U793" s="44" t="s">
        <v>20</v>
      </c>
      <c r="V793" s="43" t="s">
        <v>21</v>
      </c>
      <c r="W793" t="e">
        <f>VLOOKUP(C793,'Data_HS t5'!$B$2:$K$412,10,TRUE)</f>
        <v>#N/A</v>
      </c>
      <c r="X793" t="e">
        <f>VLOOKUP(C793,'Data_HS t9'!$B$2:$K$454,10,TRUE)</f>
        <v>#N/A</v>
      </c>
    </row>
    <row r="794" spans="1:24">
      <c r="A794" s="2">
        <v>785</v>
      </c>
      <c r="B794" s="119">
        <v>202510</v>
      </c>
      <c r="C794" s="44" t="s">
        <v>1510</v>
      </c>
      <c r="D794" s="44" t="s">
        <v>1569</v>
      </c>
      <c r="E794" s="44" t="s">
        <v>1557</v>
      </c>
      <c r="F794" s="44">
        <v>8</v>
      </c>
      <c r="G794" s="44">
        <v>0</v>
      </c>
      <c r="H794" s="44">
        <v>0</v>
      </c>
      <c r="I794" s="44">
        <v>0</v>
      </c>
      <c r="J794" s="44">
        <v>0</v>
      </c>
      <c r="K794" s="123">
        <v>100000</v>
      </c>
      <c r="L794" s="124">
        <f t="shared" si="105"/>
        <v>8</v>
      </c>
      <c r="M794" s="45">
        <f t="shared" si="108"/>
        <v>800000</v>
      </c>
      <c r="N794" s="45">
        <f>M794</f>
        <v>800000</v>
      </c>
      <c r="O794" s="45"/>
      <c r="P794" s="45" t="s">
        <v>6360</v>
      </c>
      <c r="Q794" s="45"/>
      <c r="R794" s="45"/>
      <c r="S794" s="45">
        <f t="shared" si="106"/>
        <v>0</v>
      </c>
      <c r="T794" s="44" t="s">
        <v>19</v>
      </c>
      <c r="U794" s="44" t="s">
        <v>20</v>
      </c>
      <c r="V794" s="43" t="s">
        <v>21</v>
      </c>
      <c r="W794">
        <f>VLOOKUP(C794,'Data_HS t5'!$B$2:$K$412,10,TRUE)</f>
        <v>0</v>
      </c>
      <c r="X794">
        <f>VLOOKUP(C794,'Data_HS t9'!$B$2:$K$454,10,TRUE)</f>
        <v>0</v>
      </c>
    </row>
    <row r="795" spans="1:24">
      <c r="A795" s="2">
        <v>786</v>
      </c>
      <c r="B795" s="119">
        <v>202510</v>
      </c>
      <c r="C795" s="44" t="s">
        <v>1570</v>
      </c>
      <c r="D795" s="44" t="s">
        <v>1571</v>
      </c>
      <c r="E795" s="44" t="s">
        <v>1557</v>
      </c>
      <c r="F795" s="44">
        <v>0</v>
      </c>
      <c r="G795" s="44">
        <v>5</v>
      </c>
      <c r="H795" s="44">
        <v>0</v>
      </c>
      <c r="I795" s="44">
        <v>0</v>
      </c>
      <c r="J795" s="44">
        <v>0</v>
      </c>
      <c r="K795" s="123">
        <v>100000</v>
      </c>
      <c r="L795" s="124">
        <f t="shared" si="105"/>
        <v>5</v>
      </c>
      <c r="M795" s="45">
        <f t="shared" si="108"/>
        <v>500000</v>
      </c>
      <c r="N795" s="45">
        <f>M795</f>
        <v>500000</v>
      </c>
      <c r="O795" s="45"/>
      <c r="P795" s="40" t="s">
        <v>6374</v>
      </c>
      <c r="Q795" s="45"/>
      <c r="R795" s="45"/>
      <c r="S795" s="45">
        <f t="shared" si="106"/>
        <v>0</v>
      </c>
      <c r="T795" s="44" t="s">
        <v>19</v>
      </c>
      <c r="U795" s="44" t="s">
        <v>20</v>
      </c>
      <c r="V795" s="43" t="s">
        <v>21</v>
      </c>
      <c r="W795" t="e">
        <f>VLOOKUP(C795,'Data_HS t5'!$B$2:$K$412,10,TRUE)</f>
        <v>#N/A</v>
      </c>
      <c r="X795" t="e">
        <f>VLOOKUP(C795,'Data_HS t9'!$B$2:$K$454,10,TRUE)</f>
        <v>#N/A</v>
      </c>
    </row>
    <row r="796" spans="1:24">
      <c r="A796" s="2">
        <v>787</v>
      </c>
      <c r="B796" s="119">
        <v>202510</v>
      </c>
      <c r="C796" s="44" t="s">
        <v>1572</v>
      </c>
      <c r="D796" s="44" t="s">
        <v>1573</v>
      </c>
      <c r="E796" s="44" t="s">
        <v>1557</v>
      </c>
      <c r="F796" s="44">
        <v>8</v>
      </c>
      <c r="G796" s="44">
        <v>0</v>
      </c>
      <c r="H796" s="44">
        <v>0</v>
      </c>
      <c r="I796" s="44">
        <v>0</v>
      </c>
      <c r="J796" s="44">
        <v>0</v>
      </c>
      <c r="K796" s="123">
        <v>100000</v>
      </c>
      <c r="L796" s="124">
        <f t="shared" si="105"/>
        <v>8</v>
      </c>
      <c r="M796" s="45">
        <f t="shared" si="108"/>
        <v>800000</v>
      </c>
      <c r="N796" s="45">
        <f>M797</f>
        <v>800000</v>
      </c>
      <c r="O796" s="45"/>
      <c r="P796" s="45" t="s">
        <v>3072</v>
      </c>
      <c r="Q796" s="45"/>
      <c r="R796" s="45"/>
      <c r="S796" s="45">
        <f t="shared" si="106"/>
        <v>0</v>
      </c>
      <c r="T796" s="44" t="s">
        <v>19</v>
      </c>
      <c r="U796" s="44" t="s">
        <v>20</v>
      </c>
      <c r="V796" s="43" t="s">
        <v>21</v>
      </c>
      <c r="W796" t="str">
        <f>VLOOKUP(C796,'Data_HS t5'!$B$2:$K$412,10,TRUE)</f>
        <v>Phường Thạch Bàn, Quận Long Biên, Thành phố Hà Nội</v>
      </c>
      <c r="X796" t="str">
        <f>VLOOKUP(C796,'Data_HS t9'!$B$2:$K$454,10,TRUE)</f>
        <v>Tổ dân phố số 1, Phường Cự Khối, Quận Long Biên, Thành phố Hà Nội</v>
      </c>
    </row>
    <row r="797" spans="1:24">
      <c r="A797" s="2">
        <v>788</v>
      </c>
      <c r="B797" s="119">
        <v>202510</v>
      </c>
      <c r="C797" s="44" t="s">
        <v>1574</v>
      </c>
      <c r="D797" s="44" t="s">
        <v>1575</v>
      </c>
      <c r="E797" s="44" t="s">
        <v>1557</v>
      </c>
      <c r="F797" s="44">
        <v>8</v>
      </c>
      <c r="G797" s="44">
        <v>0</v>
      </c>
      <c r="H797" s="44">
        <v>0</v>
      </c>
      <c r="I797" s="44">
        <v>0</v>
      </c>
      <c r="J797" s="44">
        <v>0</v>
      </c>
      <c r="K797" s="123">
        <v>100000</v>
      </c>
      <c r="L797" s="124">
        <f t="shared" si="105"/>
        <v>8</v>
      </c>
      <c r="M797" s="45">
        <f t="shared" si="108"/>
        <v>800000</v>
      </c>
      <c r="N797" s="45">
        <f>M797</f>
        <v>800000</v>
      </c>
      <c r="O797" s="45"/>
      <c r="P797" s="45" t="s">
        <v>3098</v>
      </c>
      <c r="Q797" s="45"/>
      <c r="R797" s="45"/>
      <c r="S797" s="45">
        <f t="shared" si="106"/>
        <v>0</v>
      </c>
      <c r="T797" s="44" t="s">
        <v>19</v>
      </c>
      <c r="U797" s="44" t="s">
        <v>20</v>
      </c>
      <c r="V797" s="43" t="s">
        <v>21</v>
      </c>
      <c r="W797" t="str">
        <f>VLOOKUP(C797,'Data_HS t5'!$B$2:$K$412,10,TRUE)</f>
        <v>Tổ dân phố số 1, Phường Ngọc Lâm, Quận Long Biên, Thành phố Hà Nội</v>
      </c>
      <c r="X797" t="str">
        <f>VLOOKUP(C797,'Data_HS t9'!$B$2:$K$454,10,TRUE)</f>
        <v>Tổ 1, Phường Long Biên, Quận Long Biên, Thành phố Hà Nội</v>
      </c>
    </row>
    <row r="798" spans="1:24">
      <c r="A798" s="2">
        <v>789</v>
      </c>
      <c r="B798" s="119">
        <v>202510</v>
      </c>
      <c r="C798" s="44" t="s">
        <v>1576</v>
      </c>
      <c r="D798" s="44" t="s">
        <v>1577</v>
      </c>
      <c r="E798" s="44" t="s">
        <v>1557</v>
      </c>
      <c r="F798" s="44">
        <v>8</v>
      </c>
      <c r="G798" s="44">
        <v>0</v>
      </c>
      <c r="H798" s="44">
        <v>0</v>
      </c>
      <c r="I798" s="44">
        <v>0</v>
      </c>
      <c r="J798" s="44">
        <v>0</v>
      </c>
      <c r="K798" s="123">
        <v>100000</v>
      </c>
      <c r="L798" s="124">
        <f t="shared" si="105"/>
        <v>8</v>
      </c>
      <c r="M798" s="45">
        <f t="shared" si="108"/>
        <v>800000</v>
      </c>
      <c r="N798" s="45">
        <f>M798</f>
        <v>800000</v>
      </c>
      <c r="O798" s="45"/>
      <c r="P798" s="45" t="s">
        <v>6372</v>
      </c>
      <c r="Q798" s="45"/>
      <c r="R798" s="45"/>
      <c r="S798" s="45">
        <f t="shared" si="106"/>
        <v>0</v>
      </c>
      <c r="T798" s="44" t="s">
        <v>19</v>
      </c>
      <c r="U798" s="44" t="s">
        <v>20</v>
      </c>
      <c r="V798" s="43" t="s">
        <v>21</v>
      </c>
      <c r="W798" t="str">
        <f>VLOOKUP(C798,'Data_HS t5'!$B$2:$K$412,10,TRUE)</f>
        <v>Tổ dân phố số 23, Phường Bồ Đề, Quận Long Biên, Thành phố Hà Nội</v>
      </c>
      <c r="X798" t="str">
        <f>VLOOKUP(C798,'Data_HS t9'!$B$2:$K$454,10,TRUE)</f>
        <v>Tổ 3, Thạch Bàn, LB</v>
      </c>
    </row>
    <row r="799" spans="1:24">
      <c r="A799" s="2">
        <v>790</v>
      </c>
      <c r="B799" s="119">
        <v>202510</v>
      </c>
      <c r="C799" s="44" t="s">
        <v>1578</v>
      </c>
      <c r="D799" s="44" t="s">
        <v>1579</v>
      </c>
      <c r="E799" s="44" t="s">
        <v>1557</v>
      </c>
      <c r="F799" s="44">
        <v>8</v>
      </c>
      <c r="G799" s="44">
        <v>0</v>
      </c>
      <c r="H799" s="44">
        <v>0</v>
      </c>
      <c r="I799" s="44">
        <v>0</v>
      </c>
      <c r="J799" s="44">
        <v>0</v>
      </c>
      <c r="K799" s="123">
        <v>100000</v>
      </c>
      <c r="L799" s="124">
        <f t="shared" si="105"/>
        <v>8</v>
      </c>
      <c r="M799" s="45">
        <f t="shared" si="108"/>
        <v>800000</v>
      </c>
      <c r="N799" s="45">
        <f>M799</f>
        <v>800000</v>
      </c>
      <c r="O799" s="45"/>
      <c r="P799" s="45" t="s">
        <v>3077</v>
      </c>
      <c r="Q799" s="45"/>
      <c r="R799" s="45"/>
      <c r="S799" s="45">
        <f t="shared" si="106"/>
        <v>0</v>
      </c>
      <c r="T799" s="44" t="s">
        <v>19</v>
      </c>
      <c r="U799" s="44" t="s">
        <v>20</v>
      </c>
      <c r="V799" s="43" t="s">
        <v>21</v>
      </c>
      <c r="W799" t="e">
        <f>VLOOKUP(C799,'Data_HS t5'!$B$2:$K$412,10,TRUE)</f>
        <v>#N/A</v>
      </c>
      <c r="X799" t="e">
        <f>VLOOKUP(C799,'Data_HS t9'!$B$2:$K$454,10,TRUE)</f>
        <v>#N/A</v>
      </c>
    </row>
    <row r="800" spans="1:24">
      <c r="A800" s="2">
        <v>791</v>
      </c>
      <c r="B800" s="119">
        <v>202510</v>
      </c>
      <c r="C800" s="44" t="s">
        <v>1580</v>
      </c>
      <c r="D800" s="44" t="s">
        <v>1581</v>
      </c>
      <c r="E800" s="44" t="s">
        <v>1557</v>
      </c>
      <c r="F800" s="44">
        <v>8</v>
      </c>
      <c r="G800" s="44">
        <v>0</v>
      </c>
      <c r="H800" s="44">
        <v>0</v>
      </c>
      <c r="I800" s="44">
        <v>0</v>
      </c>
      <c r="J800" s="44">
        <v>0</v>
      </c>
      <c r="K800" s="123">
        <v>100000</v>
      </c>
      <c r="L800" s="124">
        <f t="shared" si="105"/>
        <v>8</v>
      </c>
      <c r="M800" s="45">
        <f t="shared" si="108"/>
        <v>800000</v>
      </c>
      <c r="N800" s="65">
        <f>M801</f>
        <v>800000</v>
      </c>
      <c r="O800" s="45"/>
      <c r="P800" s="65" t="s">
        <v>2691</v>
      </c>
      <c r="Q800" s="45"/>
      <c r="R800" s="45"/>
      <c r="S800" s="45">
        <f t="shared" si="106"/>
        <v>0</v>
      </c>
      <c r="T800" s="44" t="s">
        <v>19</v>
      </c>
      <c r="U800" s="44" t="s">
        <v>20</v>
      </c>
      <c r="V800" s="43" t="s">
        <v>21</v>
      </c>
      <c r="W800">
        <f>VLOOKUP(C800,'Data_HS t5'!$B$2:$K$412,10,TRUE)</f>
        <v>0</v>
      </c>
      <c r="X800">
        <f>VLOOKUP(C800,'Data_HS t9'!$B$2:$K$454,10,TRUE)</f>
        <v>0</v>
      </c>
    </row>
    <row r="801" spans="1:24">
      <c r="A801" s="2">
        <v>792</v>
      </c>
      <c r="B801" s="119">
        <v>202510</v>
      </c>
      <c r="C801" s="44" t="s">
        <v>1582</v>
      </c>
      <c r="D801" s="44" t="s">
        <v>1583</v>
      </c>
      <c r="E801" s="44" t="s">
        <v>1557</v>
      </c>
      <c r="F801" s="44">
        <v>8</v>
      </c>
      <c r="G801" s="44">
        <v>0</v>
      </c>
      <c r="H801" s="44">
        <v>0</v>
      </c>
      <c r="I801" s="44">
        <v>0</v>
      </c>
      <c r="J801" s="44">
        <v>0</v>
      </c>
      <c r="K801" s="123">
        <v>100000</v>
      </c>
      <c r="L801" s="124">
        <f t="shared" si="105"/>
        <v>8</v>
      </c>
      <c r="M801" s="45">
        <f t="shared" si="108"/>
        <v>800000</v>
      </c>
      <c r="N801" s="45">
        <f>M801</f>
        <v>800000</v>
      </c>
      <c r="O801" s="45"/>
      <c r="P801" s="45" t="s">
        <v>6639</v>
      </c>
      <c r="Q801" s="45"/>
      <c r="R801" s="45"/>
      <c r="S801" s="45">
        <f t="shared" si="106"/>
        <v>0</v>
      </c>
      <c r="T801" s="44" t="s">
        <v>19</v>
      </c>
      <c r="U801" s="44" t="s">
        <v>20</v>
      </c>
      <c r="V801" s="43" t="s">
        <v>21</v>
      </c>
      <c r="W801" t="str">
        <f>VLOOKUP(C801,'Data_HS t5'!$B$2:$K$412,10,TRUE)</f>
        <v>Phường Thạch Bàn, Quận Long Biên, Thành phố Hà Nội</v>
      </c>
      <c r="X801" t="str">
        <f>VLOOKUP(C801,'Data_HS t9'!$B$2:$K$454,10,TRUE)</f>
        <v>Tổ dân phố số 36, Phường Ngọc Thụy, Quận Long Biên, Thành phố Hà Nội</v>
      </c>
    </row>
    <row r="802" spans="1:24">
      <c r="A802" s="2">
        <v>793</v>
      </c>
      <c r="B802" s="119">
        <v>202510</v>
      </c>
      <c r="C802" s="44" t="s">
        <v>1584</v>
      </c>
      <c r="D802" s="44" t="s">
        <v>1585</v>
      </c>
      <c r="E802" s="44" t="s">
        <v>1557</v>
      </c>
      <c r="F802" s="44">
        <v>8</v>
      </c>
      <c r="G802" s="44">
        <v>0</v>
      </c>
      <c r="H802" s="44">
        <v>0</v>
      </c>
      <c r="I802" s="44">
        <v>0</v>
      </c>
      <c r="J802" s="44">
        <v>0</v>
      </c>
      <c r="K802" s="123">
        <v>100000</v>
      </c>
      <c r="L802" s="124">
        <f t="shared" si="105"/>
        <v>8</v>
      </c>
      <c r="M802" s="45">
        <f t="shared" si="108"/>
        <v>800000</v>
      </c>
      <c r="N802" s="45">
        <f>M802</f>
        <v>800000</v>
      </c>
      <c r="O802" s="45"/>
      <c r="P802" s="45" t="s">
        <v>7103</v>
      </c>
      <c r="Q802" s="45"/>
      <c r="R802" s="45"/>
      <c r="S802" s="45">
        <f t="shared" si="106"/>
        <v>0</v>
      </c>
      <c r="T802" s="44" t="s">
        <v>19</v>
      </c>
      <c r="U802" s="44" t="s">
        <v>20</v>
      </c>
      <c r="V802" s="43" t="s">
        <v>21</v>
      </c>
      <c r="W802">
        <f>VLOOKUP(C802,'Data_HS t5'!$B$2:$K$412,10,TRUE)</f>
        <v>0</v>
      </c>
      <c r="X802">
        <f>VLOOKUP(C802,'Data_HS t9'!$B$2:$K$454,10,TRUE)</f>
        <v>0</v>
      </c>
    </row>
    <row r="803" spans="1:24">
      <c r="A803" s="3">
        <v>794</v>
      </c>
      <c r="B803" s="121">
        <v>202510</v>
      </c>
      <c r="C803" s="46" t="s">
        <v>1586</v>
      </c>
      <c r="D803" s="46" t="s">
        <v>1587</v>
      </c>
      <c r="E803" s="46" t="s">
        <v>1557</v>
      </c>
      <c r="F803" s="46">
        <v>8</v>
      </c>
      <c r="G803" s="46">
        <v>0</v>
      </c>
      <c r="H803" s="46">
        <v>0</v>
      </c>
      <c r="I803" s="46">
        <v>0</v>
      </c>
      <c r="J803" s="46">
        <v>0</v>
      </c>
      <c r="K803" s="125">
        <v>100000</v>
      </c>
      <c r="L803" s="133">
        <f t="shared" si="105"/>
        <v>8</v>
      </c>
      <c r="M803" s="45">
        <f t="shared" si="108"/>
        <v>800000</v>
      </c>
      <c r="N803" s="47">
        <f>M803</f>
        <v>800000</v>
      </c>
      <c r="O803" s="47"/>
      <c r="P803" s="47" t="s">
        <v>7178</v>
      </c>
      <c r="Q803" s="47"/>
      <c r="R803" s="47"/>
      <c r="S803" s="45">
        <f t="shared" si="106"/>
        <v>0</v>
      </c>
      <c r="T803" s="46" t="s">
        <v>19</v>
      </c>
      <c r="U803" s="46" t="s">
        <v>20</v>
      </c>
      <c r="V803" s="66" t="s">
        <v>21</v>
      </c>
      <c r="W803" t="str">
        <f>VLOOKUP(C803,'Data_HS t5'!$B$2:$K$412,10,TRUE)</f>
        <v>Tổ dân phố số 4, Phường Thạch Bàn, Quận Long Biên, Thành phố Hà Nội</v>
      </c>
      <c r="X803" t="e">
        <f>VLOOKUP(C803,'Data_HS t9'!$B$2:$K$454,10,TRUE)</f>
        <v>#N/A</v>
      </c>
    </row>
    <row r="804" spans="1:24">
      <c r="C804" s="59">
        <f>COUNTA(C2:C803)</f>
        <v>802</v>
      </c>
      <c r="D804" s="59"/>
      <c r="E804" s="59"/>
      <c r="F804" s="48">
        <f>SUM(F2:F803)</f>
        <v>3300</v>
      </c>
      <c r="G804" s="70">
        <f>SUM(G2:G803)</f>
        <v>1017.5</v>
      </c>
      <c r="H804" s="70">
        <f>SUM(H2:H803)</f>
        <v>949</v>
      </c>
      <c r="I804" s="70">
        <f>SUM(I2:I803)</f>
        <v>1494</v>
      </c>
      <c r="J804" s="70">
        <f>SUM(J2:J803)</f>
        <v>1144</v>
      </c>
      <c r="L804" s="176">
        <f>SUM(L2:L803)</f>
        <v>7904.5</v>
      </c>
      <c r="M804" s="70">
        <f>SUM(M2:M803)</f>
        <v>790450000</v>
      </c>
      <c r="N804" s="70">
        <f>SUM(N2:N803)</f>
        <v>788207000</v>
      </c>
      <c r="O804" s="70">
        <f>COUNTA(O2:O803)</f>
        <v>148</v>
      </c>
      <c r="P804" s="70">
        <f>COUNTA(P2:P803)</f>
        <v>554</v>
      </c>
      <c r="Q804" s="70">
        <f>COUNTA(Q2:Q803)</f>
        <v>72</v>
      </c>
    </row>
    <row r="805" spans="1:24" ht="6" hidden="1" customHeight="1"/>
    <row r="806" spans="1:24">
      <c r="C806" s="49" t="s">
        <v>1872</v>
      </c>
      <c r="D806" s="50">
        <f>C804-O804-P804-Q804-21</f>
        <v>7</v>
      </c>
    </row>
    <row r="807" spans="1:24">
      <c r="C807" s="51" t="s">
        <v>1873</v>
      </c>
      <c r="D807" s="54">
        <f>SUMIF(N2:N803,"",M2:M803)</f>
        <v>5800000</v>
      </c>
    </row>
    <row r="808" spans="1:24">
      <c r="C808" s="52" t="s">
        <v>1874</v>
      </c>
      <c r="D808" s="53">
        <f>C804</f>
        <v>802</v>
      </c>
    </row>
    <row r="809" spans="1:24">
      <c r="C809" s="52" t="s">
        <v>1875</v>
      </c>
      <c r="D809" s="54">
        <f>M804</f>
        <v>790450000</v>
      </c>
    </row>
    <row r="810" spans="1:24">
      <c r="C810" s="52" t="s">
        <v>1876</v>
      </c>
      <c r="D810" s="54">
        <f>N804</f>
        <v>788207000</v>
      </c>
    </row>
    <row r="811" spans="1:24">
      <c r="C811" s="52" t="s">
        <v>1877</v>
      </c>
      <c r="D811" s="54">
        <f>D807</f>
        <v>5800000</v>
      </c>
    </row>
    <row r="812" spans="1:24">
      <c r="C812" s="52" t="s">
        <v>1878</v>
      </c>
      <c r="D812" s="55">
        <f>D810/D809*100</f>
        <v>99.716237586185088</v>
      </c>
    </row>
    <row r="813" spans="1:24">
      <c r="C813" s="52" t="s">
        <v>1879</v>
      </c>
      <c r="D813" s="54">
        <f>SUMIF(O2:O803,"*",M2:M803)</f>
        <v>215400000</v>
      </c>
    </row>
    <row r="814" spans="1:24">
      <c r="C814" s="52" t="s">
        <v>1880</v>
      </c>
      <c r="D814" s="54">
        <f>SUMIF(P2:P803,"*",M2:M803)</f>
        <v>477100000</v>
      </c>
    </row>
    <row r="815" spans="1:24">
      <c r="C815" s="52" t="s">
        <v>1881</v>
      </c>
      <c r="D815" s="54">
        <f>SUMIF(Q2:Q803,"*",M2:M803)</f>
        <v>89750000</v>
      </c>
    </row>
    <row r="816" spans="1:24">
      <c r="C816" s="56" t="s">
        <v>1882</v>
      </c>
      <c r="D816" s="57">
        <f>SUM(R2:R803)</f>
        <v>975000</v>
      </c>
    </row>
  </sheetData>
  <autoFilter ref="C1:Y804" xr:uid="{00000000-0001-0000-0000-000000000000}"/>
  <pageMargins left="0.51181102362204722" right="0" top="0.19685039370078741" bottom="0.15748031496062992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F6446-9C62-4010-864B-E149A7048B62}">
  <sheetPr>
    <outlinePr summaryBelow="0"/>
    <pageSetUpPr fitToPage="1"/>
  </sheetPr>
  <dimension ref="A1:V162"/>
  <sheetViews>
    <sheetView topLeftCell="A4" workbookViewId="0">
      <selection activeCell="R10" sqref="R10:T10"/>
    </sheetView>
  </sheetViews>
  <sheetFormatPr defaultRowHeight="13.8"/>
  <cols>
    <col min="1" max="1" width="0.69921875" style="101" customWidth="1"/>
    <col min="2" max="2" width="2.69921875" style="101" customWidth="1"/>
    <col min="3" max="3" width="1.69921875" style="101" customWidth="1"/>
    <col min="4" max="4" width="15" style="101" customWidth="1"/>
    <col min="5" max="5" width="1.69921875" style="101" hidden="1" customWidth="1"/>
    <col min="6" max="6" width="3.296875" style="101" hidden="1" customWidth="1"/>
    <col min="7" max="7" width="18.296875" style="101" hidden="1" customWidth="1"/>
    <col min="8" max="8" width="12.69921875" style="101" hidden="1" customWidth="1"/>
    <col min="9" max="9" width="11.69921875" style="101" customWidth="1"/>
    <col min="10" max="10" width="23.19921875" style="101" hidden="1" customWidth="1"/>
    <col min="11" max="11" width="11.3984375" style="101" hidden="1" customWidth="1"/>
    <col min="12" max="12" width="25.796875" style="101" customWidth="1"/>
    <col min="13" max="13" width="23.296875" style="101" customWidth="1"/>
    <col min="14" max="14" width="1.69921875" style="101" customWidth="1"/>
    <col min="15" max="15" width="11.69921875" style="101" customWidth="1"/>
    <col min="16" max="16" width="1.19921875" style="101" customWidth="1"/>
    <col min="17" max="17" width="18.796875" style="101" customWidth="1"/>
    <col min="18" max="18" width="24.69921875" style="101" customWidth="1"/>
    <col min="19" max="20" width="0.19921875" style="101" customWidth="1"/>
    <col min="21" max="21" width="12.59765625" style="100" bestFit="1" customWidth="1"/>
    <col min="22" max="22" width="12" style="101" customWidth="1"/>
    <col min="23" max="16384" width="8.796875" style="101"/>
  </cols>
  <sheetData>
    <row r="1" spans="1:20" ht="60" customHeight="1">
      <c r="A1" s="99"/>
      <c r="B1" s="198"/>
      <c r="C1" s="198"/>
      <c r="D1" s="198"/>
      <c r="E1" s="99"/>
      <c r="F1" s="199" t="s">
        <v>1588</v>
      </c>
      <c r="G1" s="199"/>
      <c r="H1" s="199"/>
      <c r="I1" s="199"/>
      <c r="J1" s="199"/>
      <c r="K1" s="199"/>
      <c r="L1" s="199"/>
      <c r="M1" s="199"/>
      <c r="N1" s="99"/>
      <c r="O1" s="199" t="s">
        <v>1589</v>
      </c>
      <c r="P1" s="199"/>
      <c r="Q1" s="199"/>
      <c r="R1" s="199"/>
      <c r="S1" s="199"/>
      <c r="T1" s="99"/>
    </row>
    <row r="2" spans="1:20" ht="19.95" customHeight="1">
      <c r="A2" s="99"/>
      <c r="B2" s="99"/>
      <c r="C2" s="99"/>
      <c r="D2" s="99"/>
      <c r="E2" s="99"/>
      <c r="F2" s="200" t="s">
        <v>1590</v>
      </c>
      <c r="G2" s="200"/>
      <c r="H2" s="200"/>
      <c r="I2" s="200"/>
      <c r="J2" s="200"/>
      <c r="K2" s="200"/>
      <c r="L2" s="200"/>
      <c r="M2" s="200"/>
      <c r="N2" s="99"/>
      <c r="O2" s="200" t="s">
        <v>1591</v>
      </c>
      <c r="P2" s="200"/>
      <c r="Q2" s="200"/>
      <c r="R2" s="200"/>
      <c r="S2" s="200"/>
      <c r="T2" s="99"/>
    </row>
    <row r="3" spans="1:20" ht="1.05" customHeight="1">
      <c r="A3" s="201"/>
      <c r="B3" s="201"/>
      <c r="C3" s="201"/>
      <c r="D3" s="201"/>
      <c r="E3" s="201"/>
      <c r="F3" s="201"/>
      <c r="G3" s="201"/>
      <c r="H3" s="201"/>
      <c r="I3" s="201"/>
      <c r="J3" s="201"/>
      <c r="K3" s="201"/>
      <c r="L3" s="201"/>
      <c r="M3" s="201"/>
      <c r="N3" s="201"/>
      <c r="O3" s="201"/>
      <c r="P3" s="201"/>
      <c r="Q3" s="201"/>
      <c r="R3" s="201"/>
      <c r="S3" s="201"/>
      <c r="T3" s="201"/>
    </row>
    <row r="4" spans="1:20" ht="94.95" customHeight="1">
      <c r="A4" s="202" t="s">
        <v>1592</v>
      </c>
      <c r="B4" s="202"/>
      <c r="C4" s="202"/>
      <c r="D4" s="202"/>
      <c r="E4" s="202"/>
      <c r="F4" s="202"/>
      <c r="G4" s="202"/>
      <c r="H4" s="202"/>
      <c r="I4" s="202"/>
      <c r="J4" s="202"/>
      <c r="K4" s="202"/>
      <c r="L4" s="202"/>
      <c r="M4" s="202"/>
      <c r="N4" s="202"/>
      <c r="O4" s="202"/>
      <c r="P4" s="99"/>
      <c r="Q4" s="202" t="s">
        <v>1593</v>
      </c>
      <c r="R4" s="202"/>
      <c r="S4" s="202"/>
      <c r="T4" s="202"/>
    </row>
    <row r="5" spans="1:20" ht="1.05" customHeight="1">
      <c r="A5" s="201"/>
      <c r="B5" s="201"/>
      <c r="C5" s="201"/>
      <c r="D5" s="201"/>
      <c r="E5" s="201"/>
      <c r="F5" s="201"/>
      <c r="G5" s="201"/>
      <c r="H5" s="201"/>
      <c r="I5" s="201"/>
      <c r="J5" s="201"/>
      <c r="K5" s="201"/>
      <c r="L5" s="201"/>
      <c r="M5" s="201"/>
      <c r="N5" s="201"/>
      <c r="O5" s="201"/>
      <c r="P5" s="201"/>
      <c r="Q5" s="201"/>
      <c r="R5" s="201"/>
      <c r="S5" s="201"/>
      <c r="T5" s="201"/>
    </row>
    <row r="6" spans="1:20" ht="70.05" customHeight="1">
      <c r="A6" s="99"/>
      <c r="B6" s="99"/>
      <c r="C6" s="203" t="s">
        <v>1594</v>
      </c>
      <c r="D6" s="203"/>
      <c r="E6" s="203"/>
      <c r="F6" s="203"/>
      <c r="G6" s="203"/>
      <c r="H6" s="203"/>
      <c r="I6" s="203"/>
      <c r="J6" s="203"/>
      <c r="K6" s="203"/>
      <c r="L6" s="203"/>
      <c r="M6" s="203"/>
      <c r="N6" s="203"/>
      <c r="O6" s="203"/>
      <c r="P6" s="203"/>
      <c r="Q6" s="203"/>
      <c r="R6" s="203"/>
      <c r="S6" s="203"/>
      <c r="T6" s="99"/>
    </row>
    <row r="7" spans="1:20" ht="49.95" customHeight="1">
      <c r="A7" s="204" t="s">
        <v>1595</v>
      </c>
      <c r="B7" s="204"/>
      <c r="C7" s="204"/>
      <c r="D7" s="205" t="s">
        <v>1596</v>
      </c>
      <c r="E7" s="205"/>
      <c r="F7" s="205"/>
      <c r="G7" s="103" t="s">
        <v>1597</v>
      </c>
      <c r="H7" s="102" t="s">
        <v>1598</v>
      </c>
      <c r="I7" s="102" t="s">
        <v>1599</v>
      </c>
      <c r="J7" s="204" t="s">
        <v>1600</v>
      </c>
      <c r="K7" s="204"/>
      <c r="L7" s="102" t="s">
        <v>1601</v>
      </c>
      <c r="M7" s="204" t="s">
        <v>1602</v>
      </c>
      <c r="N7" s="204"/>
      <c r="O7" s="204"/>
      <c r="P7" s="204"/>
      <c r="Q7" s="204"/>
      <c r="R7" s="204" t="s">
        <v>1603</v>
      </c>
      <c r="S7" s="204"/>
      <c r="T7" s="204"/>
    </row>
    <row r="8" spans="1:20" ht="49.95" customHeight="1">
      <c r="A8" s="178" t="s">
        <v>6758</v>
      </c>
      <c r="B8" s="178"/>
      <c r="C8" s="178"/>
      <c r="D8" s="179" t="s">
        <v>7187</v>
      </c>
      <c r="E8" s="179"/>
      <c r="F8" s="179"/>
      <c r="G8" s="23" t="s">
        <v>7188</v>
      </c>
      <c r="H8" s="24" t="s">
        <v>1606</v>
      </c>
      <c r="I8" s="24" t="s">
        <v>6103</v>
      </c>
      <c r="J8" s="180" t="s">
        <v>7189</v>
      </c>
      <c r="K8" s="180"/>
      <c r="L8" s="25" t="s">
        <v>2136</v>
      </c>
      <c r="M8" s="181" t="s">
        <v>7190</v>
      </c>
      <c r="N8" s="181"/>
      <c r="O8" s="181"/>
      <c r="P8" s="181"/>
      <c r="Q8" s="181"/>
      <c r="R8" s="182" t="s">
        <v>7191</v>
      </c>
      <c r="S8" s="182"/>
      <c r="T8" s="182"/>
    </row>
    <row r="9" spans="1:20" ht="49.95" customHeight="1">
      <c r="A9" s="178" t="s">
        <v>6771</v>
      </c>
      <c r="B9" s="178"/>
      <c r="C9" s="178"/>
      <c r="D9" s="179" t="s">
        <v>7180</v>
      </c>
      <c r="E9" s="179"/>
      <c r="F9" s="179"/>
      <c r="G9" s="23" t="s">
        <v>7181</v>
      </c>
      <c r="H9" s="24" t="s">
        <v>1606</v>
      </c>
      <c r="I9" s="24" t="s">
        <v>6119</v>
      </c>
      <c r="J9" s="180" t="s">
        <v>7182</v>
      </c>
      <c r="K9" s="180"/>
      <c r="L9" s="25" t="s">
        <v>7183</v>
      </c>
      <c r="M9" s="181" t="s">
        <v>7184</v>
      </c>
      <c r="N9" s="181"/>
      <c r="O9" s="181"/>
      <c r="P9" s="181"/>
      <c r="Q9" s="181"/>
      <c r="R9" s="182" t="s">
        <v>7185</v>
      </c>
      <c r="S9" s="182"/>
      <c r="T9" s="182"/>
    </row>
    <row r="10" spans="1:20" ht="49.95" customHeight="1">
      <c r="A10" s="178" t="s">
        <v>6758</v>
      </c>
      <c r="B10" s="178"/>
      <c r="C10" s="178"/>
      <c r="D10" s="179" t="s">
        <v>7152</v>
      </c>
      <c r="E10" s="179"/>
      <c r="F10" s="179"/>
      <c r="G10" s="23" t="s">
        <v>7153</v>
      </c>
      <c r="H10" s="24" t="s">
        <v>1606</v>
      </c>
      <c r="I10" s="24" t="s">
        <v>7154</v>
      </c>
      <c r="J10" s="180" t="s">
        <v>7155</v>
      </c>
      <c r="K10" s="180"/>
      <c r="L10" s="25" t="s">
        <v>7156</v>
      </c>
      <c r="M10" s="181" t="s">
        <v>7157</v>
      </c>
      <c r="N10" s="181"/>
      <c r="O10" s="181"/>
      <c r="P10" s="181"/>
      <c r="Q10" s="181"/>
      <c r="R10" s="182" t="s">
        <v>7158</v>
      </c>
      <c r="S10" s="182"/>
      <c r="T10" s="182"/>
    </row>
    <row r="11" spans="1:20" ht="49.95" customHeight="1">
      <c r="A11" s="178" t="s">
        <v>6758</v>
      </c>
      <c r="B11" s="178"/>
      <c r="C11" s="178"/>
      <c r="D11" s="179" t="s">
        <v>7134</v>
      </c>
      <c r="E11" s="179"/>
      <c r="F11" s="179"/>
      <c r="G11" s="23" t="s">
        <v>6919</v>
      </c>
      <c r="H11" s="24" t="s">
        <v>1606</v>
      </c>
      <c r="I11" s="24" t="s">
        <v>6119</v>
      </c>
      <c r="J11" s="180" t="s">
        <v>7135</v>
      </c>
      <c r="K11" s="180"/>
      <c r="L11" s="25" t="s">
        <v>7136</v>
      </c>
      <c r="M11" s="181" t="s">
        <v>7137</v>
      </c>
      <c r="N11" s="181"/>
      <c r="O11" s="181"/>
      <c r="P11" s="181"/>
      <c r="Q11" s="181"/>
      <c r="R11" s="182" t="s">
        <v>7138</v>
      </c>
      <c r="S11" s="182"/>
      <c r="T11" s="182"/>
    </row>
    <row r="12" spans="1:20" ht="49.95" customHeight="1">
      <c r="A12" s="178" t="s">
        <v>6758</v>
      </c>
      <c r="B12" s="178"/>
      <c r="C12" s="178"/>
      <c r="D12" s="179" t="s">
        <v>7123</v>
      </c>
      <c r="E12" s="179"/>
      <c r="F12" s="179"/>
      <c r="G12" s="23" t="s">
        <v>6919</v>
      </c>
      <c r="H12" s="24" t="s">
        <v>1606</v>
      </c>
      <c r="I12" s="24" t="s">
        <v>6141</v>
      </c>
      <c r="J12" s="180" t="s">
        <v>7124</v>
      </c>
      <c r="K12" s="180"/>
      <c r="L12" s="25" t="s">
        <v>7125</v>
      </c>
      <c r="M12" s="181" t="s">
        <v>7126</v>
      </c>
      <c r="N12" s="181"/>
      <c r="O12" s="181"/>
      <c r="P12" s="181"/>
      <c r="Q12" s="181"/>
      <c r="R12" s="182" t="s">
        <v>7127</v>
      </c>
      <c r="S12" s="182"/>
      <c r="T12" s="182"/>
    </row>
    <row r="13" spans="1:20" ht="49.95" customHeight="1">
      <c r="A13" s="178" t="s">
        <v>6765</v>
      </c>
      <c r="B13" s="178"/>
      <c r="C13" s="178"/>
      <c r="D13" s="179" t="s">
        <v>7128</v>
      </c>
      <c r="E13" s="179"/>
      <c r="F13" s="179"/>
      <c r="G13" s="23" t="s">
        <v>6919</v>
      </c>
      <c r="H13" s="24" t="s">
        <v>1606</v>
      </c>
      <c r="I13" s="24" t="s">
        <v>6410</v>
      </c>
      <c r="J13" s="180" t="s">
        <v>7129</v>
      </c>
      <c r="K13" s="180"/>
      <c r="L13" s="25" t="s">
        <v>7130</v>
      </c>
      <c r="M13" s="181" t="s">
        <v>7131</v>
      </c>
      <c r="N13" s="181"/>
      <c r="O13" s="181"/>
      <c r="P13" s="181"/>
      <c r="Q13" s="181"/>
      <c r="R13" s="182" t="s">
        <v>7132</v>
      </c>
      <c r="S13" s="182"/>
      <c r="T13" s="182"/>
    </row>
    <row r="14" spans="1:20" ht="49.95" customHeight="1">
      <c r="A14" s="178" t="s">
        <v>6758</v>
      </c>
      <c r="B14" s="178"/>
      <c r="C14" s="178"/>
      <c r="D14" s="179" t="s">
        <v>6918</v>
      </c>
      <c r="E14" s="179"/>
      <c r="F14" s="179"/>
      <c r="G14" s="23" t="s">
        <v>6919</v>
      </c>
      <c r="H14" s="24" t="s">
        <v>1606</v>
      </c>
      <c r="I14" s="24" t="s">
        <v>6119</v>
      </c>
      <c r="J14" s="180" t="s">
        <v>6920</v>
      </c>
      <c r="K14" s="180"/>
      <c r="L14" s="25" t="s">
        <v>6921</v>
      </c>
      <c r="M14" s="181" t="s">
        <v>6922</v>
      </c>
      <c r="N14" s="181"/>
      <c r="O14" s="181"/>
      <c r="P14" s="181"/>
      <c r="Q14" s="181"/>
      <c r="R14" s="182" t="s">
        <v>6923</v>
      </c>
      <c r="S14" s="182"/>
      <c r="T14" s="182"/>
    </row>
    <row r="15" spans="1:20" ht="49.95" customHeight="1">
      <c r="A15" s="178" t="s">
        <v>6765</v>
      </c>
      <c r="B15" s="178"/>
      <c r="C15" s="178"/>
      <c r="D15" s="179" t="s">
        <v>6924</v>
      </c>
      <c r="E15" s="179"/>
      <c r="F15" s="179"/>
      <c r="G15" s="23" t="s">
        <v>6919</v>
      </c>
      <c r="H15" s="24" t="s">
        <v>1606</v>
      </c>
      <c r="I15" s="24" t="s">
        <v>6092</v>
      </c>
      <c r="J15" s="180" t="s">
        <v>6925</v>
      </c>
      <c r="K15" s="180"/>
      <c r="L15" s="25" t="s">
        <v>6926</v>
      </c>
      <c r="M15" s="181" t="s">
        <v>6927</v>
      </c>
      <c r="N15" s="181"/>
      <c r="O15" s="181"/>
      <c r="P15" s="181"/>
      <c r="Q15" s="181"/>
      <c r="R15" s="182" t="s">
        <v>6928</v>
      </c>
      <c r="S15" s="182"/>
      <c r="T15" s="182"/>
    </row>
    <row r="16" spans="1:20" ht="49.95" customHeight="1">
      <c r="A16" s="178" t="s">
        <v>6771</v>
      </c>
      <c r="B16" s="178"/>
      <c r="C16" s="178"/>
      <c r="D16" s="179" t="s">
        <v>6929</v>
      </c>
      <c r="E16" s="179"/>
      <c r="F16" s="179"/>
      <c r="G16" s="23" t="s">
        <v>6760</v>
      </c>
      <c r="H16" s="24" t="s">
        <v>1606</v>
      </c>
      <c r="I16" s="24" t="s">
        <v>6119</v>
      </c>
      <c r="J16" s="180" t="s">
        <v>6930</v>
      </c>
      <c r="K16" s="180"/>
      <c r="L16" s="25" t="s">
        <v>6931</v>
      </c>
      <c r="M16" s="181" t="s">
        <v>6932</v>
      </c>
      <c r="N16" s="181"/>
      <c r="O16" s="181"/>
      <c r="P16" s="181"/>
      <c r="Q16" s="181"/>
      <c r="R16" s="182" t="s">
        <v>6933</v>
      </c>
      <c r="S16" s="182"/>
      <c r="T16" s="182"/>
    </row>
    <row r="17" spans="1:20" ht="49.95" customHeight="1">
      <c r="A17" s="178" t="s">
        <v>6780</v>
      </c>
      <c r="B17" s="178"/>
      <c r="C17" s="178"/>
      <c r="D17" s="179" t="s">
        <v>6934</v>
      </c>
      <c r="E17" s="179"/>
      <c r="F17" s="179"/>
      <c r="G17" s="23" t="s">
        <v>6760</v>
      </c>
      <c r="H17" s="24" t="s">
        <v>1606</v>
      </c>
      <c r="I17" s="24" t="s">
        <v>6119</v>
      </c>
      <c r="J17" s="180" t="s">
        <v>6935</v>
      </c>
      <c r="K17" s="180"/>
      <c r="L17" s="25" t="s">
        <v>6936</v>
      </c>
      <c r="M17" s="181" t="s">
        <v>6937</v>
      </c>
      <c r="N17" s="181"/>
      <c r="O17" s="181"/>
      <c r="P17" s="181"/>
      <c r="Q17" s="181"/>
      <c r="R17" s="182" t="s">
        <v>6938</v>
      </c>
      <c r="S17" s="182"/>
      <c r="T17" s="182"/>
    </row>
    <row r="18" spans="1:20" ht="49.95" customHeight="1">
      <c r="A18" s="178" t="s">
        <v>6781</v>
      </c>
      <c r="B18" s="178"/>
      <c r="C18" s="178"/>
      <c r="D18" s="179" t="s">
        <v>6939</v>
      </c>
      <c r="E18" s="179"/>
      <c r="F18" s="179"/>
      <c r="G18" s="23" t="s">
        <v>6760</v>
      </c>
      <c r="H18" s="24" t="s">
        <v>1606</v>
      </c>
      <c r="I18" s="24" t="s">
        <v>6092</v>
      </c>
      <c r="J18" s="180" t="s">
        <v>6940</v>
      </c>
      <c r="K18" s="180"/>
      <c r="L18" s="25" t="s">
        <v>6941</v>
      </c>
      <c r="M18" s="181" t="s">
        <v>6942</v>
      </c>
      <c r="N18" s="181"/>
      <c r="O18" s="181"/>
      <c r="P18" s="181"/>
      <c r="Q18" s="181"/>
      <c r="R18" s="182" t="s">
        <v>6943</v>
      </c>
      <c r="S18" s="182"/>
      <c r="T18" s="182"/>
    </row>
    <row r="19" spans="1:20" ht="49.95" customHeight="1">
      <c r="A19" s="178" t="s">
        <v>6782</v>
      </c>
      <c r="B19" s="178"/>
      <c r="C19" s="178"/>
      <c r="D19" s="179" t="s">
        <v>6944</v>
      </c>
      <c r="E19" s="179"/>
      <c r="F19" s="179"/>
      <c r="G19" s="23" t="s">
        <v>6760</v>
      </c>
      <c r="H19" s="24" t="s">
        <v>1606</v>
      </c>
      <c r="I19" s="24" t="s">
        <v>6119</v>
      </c>
      <c r="J19" s="180" t="s">
        <v>6945</v>
      </c>
      <c r="K19" s="180"/>
      <c r="L19" s="25" t="s">
        <v>6946</v>
      </c>
      <c r="M19" s="181" t="s">
        <v>6947</v>
      </c>
      <c r="N19" s="181"/>
      <c r="O19" s="181"/>
      <c r="P19" s="181"/>
      <c r="Q19" s="181"/>
      <c r="R19" s="182" t="s">
        <v>6948</v>
      </c>
      <c r="S19" s="182"/>
      <c r="T19" s="182"/>
    </row>
    <row r="20" spans="1:20" ht="49.95" customHeight="1">
      <c r="A20" s="178" t="s">
        <v>6783</v>
      </c>
      <c r="B20" s="178"/>
      <c r="C20" s="178"/>
      <c r="D20" s="179" t="s">
        <v>6949</v>
      </c>
      <c r="E20" s="179"/>
      <c r="F20" s="179"/>
      <c r="G20" s="23" t="s">
        <v>6760</v>
      </c>
      <c r="H20" s="24" t="s">
        <v>1606</v>
      </c>
      <c r="I20" s="24" t="s">
        <v>6152</v>
      </c>
      <c r="J20" s="180" t="s">
        <v>6950</v>
      </c>
      <c r="K20" s="180"/>
      <c r="L20" s="25" t="s">
        <v>6951</v>
      </c>
      <c r="M20" s="181" t="s">
        <v>6952</v>
      </c>
      <c r="N20" s="181"/>
      <c r="O20" s="181"/>
      <c r="P20" s="181"/>
      <c r="Q20" s="181"/>
      <c r="R20" s="182" t="s">
        <v>6953</v>
      </c>
      <c r="S20" s="182"/>
      <c r="T20" s="182"/>
    </row>
    <row r="21" spans="1:20" ht="49.95" customHeight="1">
      <c r="A21" s="178" t="s">
        <v>6758</v>
      </c>
      <c r="B21" s="178"/>
      <c r="C21" s="178"/>
      <c r="D21" s="179" t="s">
        <v>6759</v>
      </c>
      <c r="E21" s="179"/>
      <c r="F21" s="179"/>
      <c r="G21" s="23" t="s">
        <v>6760</v>
      </c>
      <c r="H21" s="24" t="s">
        <v>1606</v>
      </c>
      <c r="I21" s="24" t="s">
        <v>6704</v>
      </c>
      <c r="J21" s="180" t="s">
        <v>6761</v>
      </c>
      <c r="K21" s="180"/>
      <c r="L21" s="25" t="s">
        <v>6762</v>
      </c>
      <c r="M21" s="181" t="s">
        <v>6763</v>
      </c>
      <c r="N21" s="181"/>
      <c r="O21" s="181"/>
      <c r="P21" s="181"/>
      <c r="Q21" s="181"/>
      <c r="R21" s="182" t="s">
        <v>6764</v>
      </c>
      <c r="S21" s="182"/>
      <c r="T21" s="182"/>
    </row>
    <row r="22" spans="1:20" ht="49.95" customHeight="1">
      <c r="A22" s="178" t="s">
        <v>6765</v>
      </c>
      <c r="B22" s="178"/>
      <c r="C22" s="178"/>
      <c r="D22" s="179" t="s">
        <v>6766</v>
      </c>
      <c r="E22" s="179"/>
      <c r="F22" s="179"/>
      <c r="G22" s="23" t="s">
        <v>6760</v>
      </c>
      <c r="H22" s="24" t="s">
        <v>1606</v>
      </c>
      <c r="I22" s="24" t="s">
        <v>6097</v>
      </c>
      <c r="J22" s="180" t="s">
        <v>6767</v>
      </c>
      <c r="K22" s="180"/>
      <c r="L22" s="25" t="s">
        <v>6768</v>
      </c>
      <c r="M22" s="181" t="s">
        <v>6769</v>
      </c>
      <c r="N22" s="181"/>
      <c r="O22" s="181"/>
      <c r="P22" s="181"/>
      <c r="Q22" s="181"/>
      <c r="R22" s="182" t="s">
        <v>6770</v>
      </c>
      <c r="S22" s="182"/>
      <c r="T22" s="182"/>
    </row>
    <row r="23" spans="1:20" ht="49.95" customHeight="1">
      <c r="A23" s="178" t="s">
        <v>6771</v>
      </c>
      <c r="B23" s="178"/>
      <c r="C23" s="178"/>
      <c r="D23" s="179" t="s">
        <v>6772</v>
      </c>
      <c r="E23" s="179"/>
      <c r="F23" s="179"/>
      <c r="G23" s="23" t="s">
        <v>6760</v>
      </c>
      <c r="H23" s="24" t="s">
        <v>1606</v>
      </c>
      <c r="I23" s="24" t="s">
        <v>6773</v>
      </c>
      <c r="J23" s="180" t="s">
        <v>6774</v>
      </c>
      <c r="K23" s="180"/>
      <c r="L23" s="25" t="s">
        <v>6768</v>
      </c>
      <c r="M23" s="181" t="s">
        <v>6775</v>
      </c>
      <c r="N23" s="181"/>
      <c r="O23" s="181"/>
      <c r="P23" s="181"/>
      <c r="Q23" s="181"/>
      <c r="R23" s="182" t="s">
        <v>6776</v>
      </c>
      <c r="S23" s="182"/>
      <c r="T23" s="182"/>
    </row>
    <row r="24" spans="1:20" ht="49.95" customHeight="1">
      <c r="A24" s="178" t="s">
        <v>6780</v>
      </c>
      <c r="B24" s="178"/>
      <c r="C24" s="178"/>
      <c r="D24" s="179" t="s">
        <v>6693</v>
      </c>
      <c r="E24" s="179"/>
      <c r="F24" s="179"/>
      <c r="G24" s="23" t="s">
        <v>6694</v>
      </c>
      <c r="H24" s="24" t="s">
        <v>1606</v>
      </c>
      <c r="I24" s="24" t="s">
        <v>6141</v>
      </c>
      <c r="J24" s="180" t="s">
        <v>6695</v>
      </c>
      <c r="K24" s="180"/>
      <c r="L24" s="25" t="s">
        <v>6696</v>
      </c>
      <c r="M24" s="181" t="s">
        <v>6697</v>
      </c>
      <c r="N24" s="181"/>
      <c r="O24" s="181"/>
      <c r="P24" s="181"/>
      <c r="Q24" s="181"/>
      <c r="R24" s="182" t="s">
        <v>6698</v>
      </c>
      <c r="S24" s="182"/>
      <c r="T24" s="182"/>
    </row>
    <row r="25" spans="1:20" ht="49.95" customHeight="1">
      <c r="A25" s="178" t="s">
        <v>6781</v>
      </c>
      <c r="B25" s="178"/>
      <c r="C25" s="178"/>
      <c r="D25" s="179" t="s">
        <v>6699</v>
      </c>
      <c r="E25" s="179"/>
      <c r="F25" s="179"/>
      <c r="G25" s="23" t="s">
        <v>6694</v>
      </c>
      <c r="H25" s="24" t="s">
        <v>1606</v>
      </c>
      <c r="I25" s="24" t="s">
        <v>6141</v>
      </c>
      <c r="J25" s="180" t="s">
        <v>6700</v>
      </c>
      <c r="K25" s="180"/>
      <c r="L25" s="25" t="s">
        <v>2131</v>
      </c>
      <c r="M25" s="181" t="s">
        <v>6701</v>
      </c>
      <c r="N25" s="181"/>
      <c r="O25" s="181"/>
      <c r="P25" s="181"/>
      <c r="Q25" s="181"/>
      <c r="R25" s="182" t="s">
        <v>6702</v>
      </c>
      <c r="S25" s="182"/>
      <c r="T25" s="182"/>
    </row>
    <row r="26" spans="1:20" ht="49.95" customHeight="1">
      <c r="A26" s="178" t="s">
        <v>6782</v>
      </c>
      <c r="B26" s="178"/>
      <c r="C26" s="178"/>
      <c r="D26" s="179" t="s">
        <v>6703</v>
      </c>
      <c r="E26" s="179"/>
      <c r="F26" s="179"/>
      <c r="G26" s="23" t="s">
        <v>6694</v>
      </c>
      <c r="H26" s="24" t="s">
        <v>1606</v>
      </c>
      <c r="I26" s="24" t="s">
        <v>6704</v>
      </c>
      <c r="J26" s="180" t="s">
        <v>6705</v>
      </c>
      <c r="K26" s="180"/>
      <c r="L26" s="25" t="s">
        <v>6706</v>
      </c>
      <c r="M26" s="181" t="s">
        <v>6707</v>
      </c>
      <c r="N26" s="181"/>
      <c r="O26" s="181"/>
      <c r="P26" s="181"/>
      <c r="Q26" s="181"/>
      <c r="R26" s="182" t="s">
        <v>6708</v>
      </c>
      <c r="S26" s="182"/>
      <c r="T26" s="182"/>
    </row>
    <row r="27" spans="1:20" ht="49.95" customHeight="1">
      <c r="A27" s="178" t="s">
        <v>6783</v>
      </c>
      <c r="B27" s="178"/>
      <c r="C27" s="178"/>
      <c r="D27" s="183" t="s">
        <v>6659</v>
      </c>
      <c r="E27" s="183"/>
      <c r="F27" s="183"/>
      <c r="G27" s="163" t="s">
        <v>6660</v>
      </c>
      <c r="H27" s="164" t="s">
        <v>1606</v>
      </c>
      <c r="I27" s="164" t="s">
        <v>6661</v>
      </c>
      <c r="J27" s="184" t="s">
        <v>6662</v>
      </c>
      <c r="K27" s="184"/>
      <c r="L27" s="165" t="s">
        <v>6663</v>
      </c>
      <c r="M27" s="185" t="s">
        <v>6664</v>
      </c>
      <c r="N27" s="185"/>
      <c r="O27" s="185"/>
      <c r="P27" s="185"/>
      <c r="Q27" s="185"/>
      <c r="R27" s="186" t="s">
        <v>6665</v>
      </c>
      <c r="S27" s="186"/>
      <c r="T27" s="186"/>
    </row>
    <row r="28" spans="1:20" ht="49.95" customHeight="1">
      <c r="A28" s="178" t="s">
        <v>6784</v>
      </c>
      <c r="B28" s="178"/>
      <c r="C28" s="178"/>
      <c r="D28" s="183" t="s">
        <v>6666</v>
      </c>
      <c r="E28" s="183"/>
      <c r="F28" s="183"/>
      <c r="G28" s="163" t="s">
        <v>6660</v>
      </c>
      <c r="H28" s="164" t="s">
        <v>1606</v>
      </c>
      <c r="I28" s="164" t="s">
        <v>6119</v>
      </c>
      <c r="J28" s="184" t="s">
        <v>6667</v>
      </c>
      <c r="K28" s="184"/>
      <c r="L28" s="165" t="s">
        <v>6668</v>
      </c>
      <c r="M28" s="185" t="s">
        <v>6669</v>
      </c>
      <c r="N28" s="185"/>
      <c r="O28" s="185"/>
      <c r="P28" s="185"/>
      <c r="Q28" s="185"/>
      <c r="R28" s="186" t="s">
        <v>6670</v>
      </c>
      <c r="S28" s="186"/>
      <c r="T28" s="186"/>
    </row>
    <row r="29" spans="1:20" ht="49.95" customHeight="1">
      <c r="A29" s="178" t="s">
        <v>6785</v>
      </c>
      <c r="B29" s="178"/>
      <c r="C29" s="178"/>
      <c r="D29" s="183" t="s">
        <v>6671</v>
      </c>
      <c r="E29" s="183"/>
      <c r="F29" s="183"/>
      <c r="G29" s="163" t="s">
        <v>6660</v>
      </c>
      <c r="H29" s="164" t="s">
        <v>1606</v>
      </c>
      <c r="I29" s="164" t="s">
        <v>6672</v>
      </c>
      <c r="J29" s="184" t="s">
        <v>6673</v>
      </c>
      <c r="K29" s="184"/>
      <c r="L29" s="165" t="s">
        <v>6674</v>
      </c>
      <c r="M29" s="185" t="s">
        <v>6675</v>
      </c>
      <c r="N29" s="185"/>
      <c r="O29" s="185"/>
      <c r="P29" s="185"/>
      <c r="Q29" s="185"/>
      <c r="R29" s="186" t="s">
        <v>6676</v>
      </c>
      <c r="S29" s="186"/>
      <c r="T29" s="186"/>
    </row>
    <row r="30" spans="1:20" ht="49.95" customHeight="1">
      <c r="A30" s="178" t="s">
        <v>6786</v>
      </c>
      <c r="B30" s="178"/>
      <c r="C30" s="178"/>
      <c r="D30" s="183" t="s">
        <v>6677</v>
      </c>
      <c r="E30" s="183"/>
      <c r="F30" s="183"/>
      <c r="G30" s="163" t="s">
        <v>6660</v>
      </c>
      <c r="H30" s="164" t="s">
        <v>1606</v>
      </c>
      <c r="I30" s="164" t="s">
        <v>6119</v>
      </c>
      <c r="J30" s="184" t="s">
        <v>6678</v>
      </c>
      <c r="K30" s="184"/>
      <c r="L30" s="165" t="s">
        <v>6596</v>
      </c>
      <c r="M30" s="185" t="s">
        <v>6679</v>
      </c>
      <c r="N30" s="185"/>
      <c r="O30" s="185"/>
      <c r="P30" s="185"/>
      <c r="Q30" s="185"/>
      <c r="R30" s="186" t="s">
        <v>6680</v>
      </c>
      <c r="S30" s="186"/>
      <c r="T30" s="186"/>
    </row>
    <row r="31" spans="1:20" ht="49.95" customHeight="1">
      <c r="A31" s="178" t="s">
        <v>6787</v>
      </c>
      <c r="B31" s="178"/>
      <c r="C31" s="178"/>
      <c r="D31" s="183" t="s">
        <v>6681</v>
      </c>
      <c r="E31" s="183"/>
      <c r="F31" s="183"/>
      <c r="G31" s="163" t="s">
        <v>6660</v>
      </c>
      <c r="H31" s="164" t="s">
        <v>1606</v>
      </c>
      <c r="I31" s="164" t="s">
        <v>6119</v>
      </c>
      <c r="J31" s="184" t="s">
        <v>6682</v>
      </c>
      <c r="K31" s="184"/>
      <c r="L31" s="165" t="s">
        <v>6683</v>
      </c>
      <c r="M31" s="185" t="s">
        <v>6684</v>
      </c>
      <c r="N31" s="185"/>
      <c r="O31" s="185"/>
      <c r="P31" s="185"/>
      <c r="Q31" s="185"/>
      <c r="R31" s="186" t="s">
        <v>6685</v>
      </c>
      <c r="S31" s="186"/>
      <c r="T31" s="186"/>
    </row>
    <row r="32" spans="1:20" ht="49.95" customHeight="1">
      <c r="A32" s="178" t="s">
        <v>6788</v>
      </c>
      <c r="B32" s="178"/>
      <c r="C32" s="178"/>
      <c r="D32" s="183" t="s">
        <v>6686</v>
      </c>
      <c r="E32" s="183"/>
      <c r="F32" s="183"/>
      <c r="G32" s="163" t="s">
        <v>6660</v>
      </c>
      <c r="H32" s="164" t="s">
        <v>1606</v>
      </c>
      <c r="I32" s="164" t="s">
        <v>6092</v>
      </c>
      <c r="J32" s="184" t="s">
        <v>6687</v>
      </c>
      <c r="K32" s="184"/>
      <c r="L32" s="165" t="s">
        <v>6596</v>
      </c>
      <c r="M32" s="185" t="s">
        <v>6688</v>
      </c>
      <c r="N32" s="185"/>
      <c r="O32" s="185"/>
      <c r="P32" s="185"/>
      <c r="Q32" s="185"/>
      <c r="R32" s="186" t="s">
        <v>6594</v>
      </c>
      <c r="S32" s="186"/>
      <c r="T32" s="186"/>
    </row>
    <row r="33" spans="1:21" ht="49.95" customHeight="1">
      <c r="A33" s="178" t="s">
        <v>6789</v>
      </c>
      <c r="B33" s="178"/>
      <c r="C33" s="178"/>
      <c r="D33" s="183" t="s">
        <v>6689</v>
      </c>
      <c r="E33" s="183"/>
      <c r="F33" s="183"/>
      <c r="G33" s="163" t="s">
        <v>6394</v>
      </c>
      <c r="H33" s="164" t="s">
        <v>1606</v>
      </c>
      <c r="I33" s="164" t="s">
        <v>6405</v>
      </c>
      <c r="J33" s="184" t="s">
        <v>6690</v>
      </c>
      <c r="K33" s="184"/>
      <c r="L33" s="165" t="s">
        <v>6595</v>
      </c>
      <c r="M33" s="185" t="s">
        <v>6691</v>
      </c>
      <c r="N33" s="185"/>
      <c r="O33" s="185"/>
      <c r="P33" s="185"/>
      <c r="Q33" s="185"/>
      <c r="R33" s="186" t="s">
        <v>6593</v>
      </c>
      <c r="S33" s="186"/>
      <c r="T33" s="186"/>
    </row>
    <row r="34" spans="1:21" ht="49.95" customHeight="1">
      <c r="A34" s="178" t="s">
        <v>6790</v>
      </c>
      <c r="B34" s="178"/>
      <c r="C34" s="178"/>
      <c r="D34" s="179" t="s">
        <v>6393</v>
      </c>
      <c r="E34" s="179"/>
      <c r="F34" s="179"/>
      <c r="G34" s="23" t="s">
        <v>6394</v>
      </c>
      <c r="H34" s="24" t="s">
        <v>1606</v>
      </c>
      <c r="I34" s="24" t="s">
        <v>6141</v>
      </c>
      <c r="J34" s="180" t="s">
        <v>6395</v>
      </c>
      <c r="K34" s="180"/>
      <c r="L34" s="25" t="s">
        <v>6396</v>
      </c>
      <c r="M34" s="181" t="s">
        <v>6397</v>
      </c>
      <c r="N34" s="181"/>
      <c r="O34" s="181"/>
      <c r="P34" s="181"/>
      <c r="Q34" s="181"/>
      <c r="R34" s="182" t="s">
        <v>6398</v>
      </c>
      <c r="S34" s="182"/>
      <c r="T34" s="182"/>
    </row>
    <row r="35" spans="1:21" ht="49.95" customHeight="1">
      <c r="A35" s="178" t="s">
        <v>6791</v>
      </c>
      <c r="B35" s="178"/>
      <c r="C35" s="178"/>
      <c r="D35" s="179" t="s">
        <v>6399</v>
      </c>
      <c r="E35" s="179"/>
      <c r="F35" s="179"/>
      <c r="G35" s="23" t="s">
        <v>6394</v>
      </c>
      <c r="H35" s="24" t="s">
        <v>1606</v>
      </c>
      <c r="I35" s="24" t="s">
        <v>6119</v>
      </c>
      <c r="J35" s="180" t="s">
        <v>6400</v>
      </c>
      <c r="K35" s="180"/>
      <c r="L35" s="25" t="s">
        <v>6401</v>
      </c>
      <c r="M35" s="181" t="s">
        <v>6402</v>
      </c>
      <c r="N35" s="181"/>
      <c r="O35" s="181"/>
      <c r="P35" s="181"/>
      <c r="Q35" s="181"/>
      <c r="R35" s="182" t="s">
        <v>6403</v>
      </c>
      <c r="S35" s="182"/>
      <c r="T35" s="182"/>
    </row>
    <row r="36" spans="1:21" ht="49.95" customHeight="1">
      <c r="A36" s="178" t="s">
        <v>6792</v>
      </c>
      <c r="B36" s="178"/>
      <c r="C36" s="178"/>
      <c r="D36" s="179" t="s">
        <v>6404</v>
      </c>
      <c r="E36" s="179"/>
      <c r="F36" s="179"/>
      <c r="G36" s="23" t="s">
        <v>6394</v>
      </c>
      <c r="H36" s="24" t="s">
        <v>1606</v>
      </c>
      <c r="I36" s="24" t="s">
        <v>6405</v>
      </c>
      <c r="J36" s="180" t="s">
        <v>6406</v>
      </c>
      <c r="K36" s="180"/>
      <c r="L36" s="25" t="s">
        <v>2131</v>
      </c>
      <c r="M36" s="181" t="s">
        <v>6407</v>
      </c>
      <c r="N36" s="181"/>
      <c r="O36" s="181"/>
      <c r="P36" s="181"/>
      <c r="Q36" s="181"/>
      <c r="R36" s="182" t="s">
        <v>6408</v>
      </c>
      <c r="S36" s="182"/>
      <c r="T36" s="182"/>
    </row>
    <row r="37" spans="1:21" ht="49.95" customHeight="1">
      <c r="A37" s="178" t="s">
        <v>6793</v>
      </c>
      <c r="B37" s="178"/>
      <c r="C37" s="178"/>
      <c r="D37" s="179" t="s">
        <v>6409</v>
      </c>
      <c r="E37" s="179"/>
      <c r="F37" s="179"/>
      <c r="G37" s="23" t="s">
        <v>6394</v>
      </c>
      <c r="H37" s="24" t="s">
        <v>1606</v>
      </c>
      <c r="I37" s="24" t="s">
        <v>6410</v>
      </c>
      <c r="J37" s="180" t="s">
        <v>6411</v>
      </c>
      <c r="K37" s="180"/>
      <c r="L37" s="25" t="s">
        <v>6115</v>
      </c>
      <c r="M37" s="181" t="s">
        <v>6412</v>
      </c>
      <c r="N37" s="181"/>
      <c r="O37" s="181"/>
      <c r="P37" s="181"/>
      <c r="Q37" s="181"/>
      <c r="R37" s="182" t="s">
        <v>6413</v>
      </c>
      <c r="S37" s="182"/>
      <c r="T37" s="182"/>
      <c r="U37" s="143"/>
    </row>
    <row r="38" spans="1:21" ht="49.95" customHeight="1">
      <c r="A38" s="178" t="s">
        <v>6794</v>
      </c>
      <c r="B38" s="178"/>
      <c r="C38" s="178"/>
      <c r="D38" s="179" t="s">
        <v>6414</v>
      </c>
      <c r="E38" s="179"/>
      <c r="F38" s="179"/>
      <c r="G38" s="23" t="s">
        <v>6394</v>
      </c>
      <c r="H38" s="24" t="s">
        <v>1606</v>
      </c>
      <c r="I38" s="24" t="s">
        <v>6092</v>
      </c>
      <c r="J38" s="180" t="s">
        <v>6415</v>
      </c>
      <c r="K38" s="180"/>
      <c r="L38" s="25" t="s">
        <v>6416</v>
      </c>
      <c r="M38" s="181" t="s">
        <v>6417</v>
      </c>
      <c r="N38" s="181"/>
      <c r="O38" s="181"/>
      <c r="P38" s="181"/>
      <c r="Q38" s="181"/>
      <c r="R38" s="182" t="s">
        <v>6418</v>
      </c>
      <c r="S38" s="182"/>
      <c r="T38" s="182"/>
    </row>
    <row r="39" spans="1:21" ht="49.95" customHeight="1">
      <c r="A39" s="178" t="s">
        <v>6795</v>
      </c>
      <c r="B39" s="178"/>
      <c r="C39" s="178"/>
      <c r="D39" s="179" t="s">
        <v>6419</v>
      </c>
      <c r="E39" s="179"/>
      <c r="F39" s="179"/>
      <c r="G39" s="23" t="s">
        <v>6096</v>
      </c>
      <c r="H39" s="24" t="s">
        <v>1606</v>
      </c>
      <c r="I39" s="24" t="s">
        <v>6092</v>
      </c>
      <c r="J39" s="180" t="s">
        <v>6420</v>
      </c>
      <c r="K39" s="180"/>
      <c r="L39" s="25" t="s">
        <v>6421</v>
      </c>
      <c r="M39" s="181" t="s">
        <v>6422</v>
      </c>
      <c r="N39" s="181"/>
      <c r="O39" s="181"/>
      <c r="P39" s="181"/>
      <c r="Q39" s="181"/>
      <c r="R39" s="182" t="s">
        <v>6423</v>
      </c>
      <c r="S39" s="182"/>
      <c r="T39" s="182"/>
    </row>
    <row r="40" spans="1:21" ht="49.95" customHeight="1">
      <c r="A40" s="178" t="s">
        <v>6796</v>
      </c>
      <c r="B40" s="178"/>
      <c r="C40" s="178"/>
      <c r="D40" s="179" t="s">
        <v>6392</v>
      </c>
      <c r="E40" s="179"/>
      <c r="F40" s="179"/>
      <c r="G40" s="23" t="s">
        <v>6096</v>
      </c>
      <c r="H40" s="24" t="s">
        <v>1606</v>
      </c>
      <c r="I40" s="24" t="s">
        <v>6152</v>
      </c>
      <c r="J40" s="180" t="s">
        <v>6388</v>
      </c>
      <c r="K40" s="180"/>
      <c r="L40" s="25" t="s">
        <v>6389</v>
      </c>
      <c r="M40" s="181" t="s">
        <v>6390</v>
      </c>
      <c r="N40" s="181"/>
      <c r="O40" s="181"/>
      <c r="P40" s="181"/>
      <c r="Q40" s="181"/>
      <c r="R40" s="182" t="s">
        <v>6391</v>
      </c>
      <c r="S40" s="182"/>
      <c r="T40" s="182"/>
    </row>
    <row r="41" spans="1:21" ht="49.95" customHeight="1">
      <c r="A41" s="178" t="s">
        <v>6797</v>
      </c>
      <c r="B41" s="178"/>
      <c r="C41" s="178"/>
      <c r="D41" s="179" t="s">
        <v>6377</v>
      </c>
      <c r="E41" s="179"/>
      <c r="F41" s="179"/>
      <c r="G41" s="23" t="s">
        <v>6096</v>
      </c>
      <c r="H41" s="24" t="s">
        <v>1606</v>
      </c>
      <c r="I41" s="24" t="s">
        <v>6378</v>
      </c>
      <c r="J41" s="180" t="s">
        <v>6379</v>
      </c>
      <c r="K41" s="180"/>
      <c r="L41" s="25" t="s">
        <v>6380</v>
      </c>
      <c r="M41" s="181" t="s">
        <v>6381</v>
      </c>
      <c r="N41" s="181"/>
      <c r="O41" s="181"/>
      <c r="P41" s="181"/>
      <c r="Q41" s="181"/>
      <c r="R41" s="182" t="s">
        <v>6382</v>
      </c>
      <c r="S41" s="182"/>
      <c r="T41" s="182"/>
    </row>
    <row r="42" spans="1:21" ht="49.95" customHeight="1">
      <c r="A42" s="178" t="s">
        <v>6798</v>
      </c>
      <c r="B42" s="178"/>
      <c r="C42" s="178"/>
      <c r="D42" s="179" t="s">
        <v>6383</v>
      </c>
      <c r="E42" s="179"/>
      <c r="F42" s="179"/>
      <c r="G42" s="23" t="s">
        <v>6096</v>
      </c>
      <c r="H42" s="24" t="s">
        <v>1606</v>
      </c>
      <c r="I42" s="24" t="s">
        <v>6119</v>
      </c>
      <c r="J42" s="180" t="s">
        <v>6384</v>
      </c>
      <c r="K42" s="180"/>
      <c r="L42" s="25" t="s">
        <v>6385</v>
      </c>
      <c r="M42" s="181" t="s">
        <v>6386</v>
      </c>
      <c r="N42" s="181"/>
      <c r="O42" s="181"/>
      <c r="P42" s="181"/>
      <c r="Q42" s="181"/>
      <c r="R42" s="182" t="s">
        <v>6387</v>
      </c>
      <c r="S42" s="182"/>
      <c r="T42" s="182"/>
      <c r="U42" s="44" t="s">
        <v>1397</v>
      </c>
    </row>
    <row r="43" spans="1:21" ht="49.95" customHeight="1">
      <c r="A43" s="178" t="s">
        <v>6799</v>
      </c>
      <c r="B43" s="178"/>
      <c r="C43" s="178"/>
      <c r="D43" s="179" t="s">
        <v>6095</v>
      </c>
      <c r="E43" s="179"/>
      <c r="F43" s="179"/>
      <c r="G43" s="23" t="s">
        <v>6096</v>
      </c>
      <c r="H43" s="24" t="s">
        <v>1606</v>
      </c>
      <c r="I43" s="24" t="s">
        <v>6097</v>
      </c>
      <c r="J43" s="180" t="s">
        <v>6098</v>
      </c>
      <c r="K43" s="180"/>
      <c r="L43" s="25" t="s">
        <v>6099</v>
      </c>
      <c r="M43" s="181" t="s">
        <v>6100</v>
      </c>
      <c r="N43" s="181"/>
      <c r="O43" s="181"/>
      <c r="P43" s="181"/>
      <c r="Q43" s="181"/>
      <c r="R43" s="182" t="s">
        <v>6101</v>
      </c>
      <c r="S43" s="182"/>
      <c r="T43" s="182"/>
    </row>
    <row r="44" spans="1:21" ht="49.95" customHeight="1">
      <c r="A44" s="178" t="s">
        <v>6800</v>
      </c>
      <c r="B44" s="178"/>
      <c r="C44" s="178"/>
      <c r="D44" s="179" t="s">
        <v>6102</v>
      </c>
      <c r="E44" s="179"/>
      <c r="F44" s="179"/>
      <c r="G44" s="23" t="s">
        <v>6096</v>
      </c>
      <c r="H44" s="24" t="s">
        <v>1606</v>
      </c>
      <c r="I44" s="24" t="s">
        <v>6103</v>
      </c>
      <c r="J44" s="180" t="s">
        <v>6104</v>
      </c>
      <c r="K44" s="180"/>
      <c r="L44" s="25" t="s">
        <v>6105</v>
      </c>
      <c r="M44" s="181" t="s">
        <v>6106</v>
      </c>
      <c r="N44" s="181"/>
      <c r="O44" s="181"/>
      <c r="P44" s="181"/>
      <c r="Q44" s="181"/>
      <c r="R44" s="182" t="s">
        <v>6107</v>
      </c>
      <c r="S44" s="182"/>
      <c r="T44" s="182"/>
    </row>
    <row r="45" spans="1:21" ht="49.95" customHeight="1">
      <c r="A45" s="178" t="s">
        <v>6801</v>
      </c>
      <c r="B45" s="178"/>
      <c r="C45" s="178"/>
      <c r="D45" s="179" t="s">
        <v>6108</v>
      </c>
      <c r="E45" s="179"/>
      <c r="F45" s="179"/>
      <c r="G45" s="23" t="s">
        <v>6096</v>
      </c>
      <c r="H45" s="24" t="s">
        <v>1606</v>
      </c>
      <c r="I45" s="24" t="s">
        <v>6086</v>
      </c>
      <c r="J45" s="180" t="s">
        <v>6109</v>
      </c>
      <c r="K45" s="180"/>
      <c r="L45" s="25" t="s">
        <v>1718</v>
      </c>
      <c r="M45" s="181" t="s">
        <v>6110</v>
      </c>
      <c r="N45" s="181"/>
      <c r="O45" s="181"/>
      <c r="P45" s="181"/>
      <c r="Q45" s="181"/>
      <c r="R45" s="182" t="s">
        <v>6111</v>
      </c>
      <c r="S45" s="182"/>
      <c r="T45" s="182"/>
    </row>
    <row r="46" spans="1:21" ht="49.95" customHeight="1">
      <c r="A46" s="178" t="s">
        <v>6802</v>
      </c>
      <c r="B46" s="178"/>
      <c r="C46" s="178"/>
      <c r="D46" s="179" t="s">
        <v>6112</v>
      </c>
      <c r="E46" s="179"/>
      <c r="F46" s="179"/>
      <c r="G46" s="23" t="s">
        <v>6096</v>
      </c>
      <c r="H46" s="24" t="s">
        <v>1606</v>
      </c>
      <c r="I46" s="24" t="s">
        <v>6113</v>
      </c>
      <c r="J46" s="180" t="s">
        <v>6114</v>
      </c>
      <c r="K46" s="180"/>
      <c r="L46" s="25" t="s">
        <v>6115</v>
      </c>
      <c r="M46" s="181" t="s">
        <v>6116</v>
      </c>
      <c r="N46" s="181"/>
      <c r="O46" s="181"/>
      <c r="P46" s="181"/>
      <c r="Q46" s="181"/>
      <c r="R46" s="182" t="s">
        <v>6117</v>
      </c>
      <c r="S46" s="182"/>
      <c r="T46" s="182"/>
      <c r="U46" s="116"/>
    </row>
    <row r="47" spans="1:21" ht="49.95" customHeight="1">
      <c r="A47" s="178" t="s">
        <v>6803</v>
      </c>
      <c r="B47" s="178"/>
      <c r="C47" s="178"/>
      <c r="D47" s="179" t="s">
        <v>6118</v>
      </c>
      <c r="E47" s="179"/>
      <c r="F47" s="179"/>
      <c r="G47" s="23" t="s">
        <v>6096</v>
      </c>
      <c r="H47" s="24" t="s">
        <v>1606</v>
      </c>
      <c r="I47" s="24" t="s">
        <v>6119</v>
      </c>
      <c r="J47" s="180" t="s">
        <v>6120</v>
      </c>
      <c r="K47" s="180"/>
      <c r="L47" s="25" t="s">
        <v>6121</v>
      </c>
      <c r="M47" s="181" t="s">
        <v>6122</v>
      </c>
      <c r="N47" s="181"/>
      <c r="O47" s="181"/>
      <c r="P47" s="181"/>
      <c r="Q47" s="181"/>
      <c r="R47" s="182" t="s">
        <v>6123</v>
      </c>
      <c r="S47" s="182"/>
      <c r="T47" s="182"/>
    </row>
    <row r="48" spans="1:21" ht="49.95" customHeight="1">
      <c r="A48" s="178" t="s">
        <v>6804</v>
      </c>
      <c r="B48" s="178"/>
      <c r="C48" s="178"/>
      <c r="D48" s="179" t="s">
        <v>6124</v>
      </c>
      <c r="E48" s="179"/>
      <c r="F48" s="179"/>
      <c r="G48" s="23" t="s">
        <v>6085</v>
      </c>
      <c r="H48" s="24" t="s">
        <v>1606</v>
      </c>
      <c r="I48" s="24" t="s">
        <v>6125</v>
      </c>
      <c r="J48" s="180" t="s">
        <v>6126</v>
      </c>
      <c r="K48" s="180"/>
      <c r="L48" s="25" t="s">
        <v>6127</v>
      </c>
      <c r="M48" s="181" t="s">
        <v>6128</v>
      </c>
      <c r="N48" s="181"/>
      <c r="O48" s="181"/>
      <c r="P48" s="181"/>
      <c r="Q48" s="181"/>
      <c r="R48" s="182" t="s">
        <v>6129</v>
      </c>
      <c r="S48" s="182"/>
      <c r="T48" s="182"/>
    </row>
    <row r="49" spans="1:22" ht="49.95" customHeight="1">
      <c r="A49" s="178" t="s">
        <v>6805</v>
      </c>
      <c r="B49" s="178"/>
      <c r="C49" s="178"/>
      <c r="D49" s="179" t="s">
        <v>6130</v>
      </c>
      <c r="E49" s="179"/>
      <c r="F49" s="179"/>
      <c r="G49" s="23" t="s">
        <v>6085</v>
      </c>
      <c r="H49" s="24" t="s">
        <v>1606</v>
      </c>
      <c r="I49" s="24" t="s">
        <v>6119</v>
      </c>
      <c r="J49" s="180" t="s">
        <v>6131</v>
      </c>
      <c r="K49" s="180"/>
      <c r="L49" s="25" t="s">
        <v>6132</v>
      </c>
      <c r="M49" s="181" t="s">
        <v>6133</v>
      </c>
      <c r="N49" s="181"/>
      <c r="O49" s="181"/>
      <c r="P49" s="181"/>
      <c r="Q49" s="181"/>
      <c r="R49" s="182" t="s">
        <v>6134</v>
      </c>
      <c r="S49" s="182"/>
      <c r="T49" s="182"/>
    </row>
    <row r="50" spans="1:22" ht="49.95" customHeight="1">
      <c r="A50" s="178" t="s">
        <v>6806</v>
      </c>
      <c r="B50" s="178"/>
      <c r="C50" s="178"/>
      <c r="D50" s="179" t="s">
        <v>6135</v>
      </c>
      <c r="E50" s="179"/>
      <c r="F50" s="179"/>
      <c r="G50" s="23" t="s">
        <v>6085</v>
      </c>
      <c r="H50" s="24" t="s">
        <v>1606</v>
      </c>
      <c r="I50" s="24" t="s">
        <v>6103</v>
      </c>
      <c r="J50" s="180" t="s">
        <v>6136</v>
      </c>
      <c r="K50" s="180"/>
      <c r="L50" s="25" t="s">
        <v>6137</v>
      </c>
      <c r="M50" s="181" t="s">
        <v>6138</v>
      </c>
      <c r="N50" s="181"/>
      <c r="O50" s="181"/>
      <c r="P50" s="181"/>
      <c r="Q50" s="181"/>
      <c r="R50" s="182" t="s">
        <v>6139</v>
      </c>
      <c r="S50" s="182"/>
      <c r="T50" s="182"/>
    </row>
    <row r="51" spans="1:22" ht="49.95" customHeight="1">
      <c r="A51" s="178" t="s">
        <v>6807</v>
      </c>
      <c r="B51" s="178"/>
      <c r="C51" s="178"/>
      <c r="D51" s="179" t="s">
        <v>6140</v>
      </c>
      <c r="E51" s="179"/>
      <c r="F51" s="179"/>
      <c r="G51" s="23" t="s">
        <v>6085</v>
      </c>
      <c r="H51" s="24" t="s">
        <v>1606</v>
      </c>
      <c r="I51" s="24" t="s">
        <v>6141</v>
      </c>
      <c r="J51" s="180" t="s">
        <v>6142</v>
      </c>
      <c r="K51" s="180"/>
      <c r="L51" s="25" t="s">
        <v>6143</v>
      </c>
      <c r="M51" s="181" t="s">
        <v>6144</v>
      </c>
      <c r="N51" s="181"/>
      <c r="O51" s="181"/>
      <c r="P51" s="181"/>
      <c r="Q51" s="181"/>
      <c r="R51" s="182" t="s">
        <v>6145</v>
      </c>
      <c r="S51" s="182"/>
      <c r="T51" s="182"/>
    </row>
    <row r="52" spans="1:22" ht="49.95" customHeight="1">
      <c r="A52" s="178" t="s">
        <v>6808</v>
      </c>
      <c r="B52" s="178"/>
      <c r="C52" s="178"/>
      <c r="D52" s="179" t="s">
        <v>6146</v>
      </c>
      <c r="E52" s="179"/>
      <c r="F52" s="179"/>
      <c r="G52" s="23" t="s">
        <v>6085</v>
      </c>
      <c r="H52" s="24" t="s">
        <v>1606</v>
      </c>
      <c r="I52" s="24" t="s">
        <v>6092</v>
      </c>
      <c r="J52" s="180" t="s">
        <v>6147</v>
      </c>
      <c r="K52" s="180"/>
      <c r="L52" s="25" t="s">
        <v>6148</v>
      </c>
      <c r="M52" s="181" t="s">
        <v>6149</v>
      </c>
      <c r="N52" s="181"/>
      <c r="O52" s="181"/>
      <c r="P52" s="181"/>
      <c r="Q52" s="181"/>
      <c r="R52" s="182" t="s">
        <v>6150</v>
      </c>
      <c r="S52" s="182"/>
      <c r="T52" s="182"/>
    </row>
    <row r="53" spans="1:22" ht="49.95" customHeight="1">
      <c r="A53" s="178" t="s">
        <v>6809</v>
      </c>
      <c r="B53" s="178"/>
      <c r="C53" s="178"/>
      <c r="D53" s="179" t="s">
        <v>6151</v>
      </c>
      <c r="E53" s="179"/>
      <c r="F53" s="179"/>
      <c r="G53" s="23" t="s">
        <v>6085</v>
      </c>
      <c r="H53" s="24" t="s">
        <v>1606</v>
      </c>
      <c r="I53" s="24" t="s">
        <v>6152</v>
      </c>
      <c r="J53" s="180" t="s">
        <v>6153</v>
      </c>
      <c r="K53" s="180"/>
      <c r="L53" s="25" t="s">
        <v>6154</v>
      </c>
      <c r="M53" s="181" t="s">
        <v>6155</v>
      </c>
      <c r="N53" s="181"/>
      <c r="O53" s="181"/>
      <c r="P53" s="181"/>
      <c r="Q53" s="181"/>
      <c r="R53" s="182" t="s">
        <v>6156</v>
      </c>
      <c r="S53" s="182"/>
      <c r="T53" s="182"/>
    </row>
    <row r="54" spans="1:22" ht="49.95" customHeight="1">
      <c r="A54" s="178" t="s">
        <v>6810</v>
      </c>
      <c r="B54" s="178"/>
      <c r="C54" s="178"/>
      <c r="D54" s="179" t="s">
        <v>6084</v>
      </c>
      <c r="E54" s="179"/>
      <c r="F54" s="179"/>
      <c r="G54" s="23" t="s">
        <v>6085</v>
      </c>
      <c r="H54" s="24" t="s">
        <v>1606</v>
      </c>
      <c r="I54" s="24" t="s">
        <v>6086</v>
      </c>
      <c r="J54" s="180" t="s">
        <v>6087</v>
      </c>
      <c r="K54" s="180"/>
      <c r="L54" s="25" t="s">
        <v>6088</v>
      </c>
      <c r="M54" s="181" t="s">
        <v>6089</v>
      </c>
      <c r="N54" s="181"/>
      <c r="O54" s="181"/>
      <c r="P54" s="181"/>
      <c r="Q54" s="181"/>
      <c r="R54" s="182" t="s">
        <v>6090</v>
      </c>
      <c r="S54" s="182"/>
      <c r="T54" s="182"/>
    </row>
    <row r="55" spans="1:22" ht="49.95" customHeight="1">
      <c r="A55" s="178" t="s">
        <v>6811</v>
      </c>
      <c r="B55" s="178"/>
      <c r="C55" s="178"/>
      <c r="D55" s="179" t="s">
        <v>6091</v>
      </c>
      <c r="E55" s="179"/>
      <c r="F55" s="179"/>
      <c r="G55" s="23" t="s">
        <v>2833</v>
      </c>
      <c r="H55" s="24" t="s">
        <v>1606</v>
      </c>
      <c r="I55" s="24" t="s">
        <v>6092</v>
      </c>
      <c r="J55" s="180" t="s">
        <v>6093</v>
      </c>
      <c r="K55" s="180"/>
      <c r="L55" s="25" t="s">
        <v>2190</v>
      </c>
      <c r="M55" s="181" t="s">
        <v>6094</v>
      </c>
      <c r="N55" s="181"/>
      <c r="O55" s="181"/>
      <c r="P55" s="181"/>
      <c r="Q55" s="181"/>
      <c r="R55" s="182" t="s">
        <v>6080</v>
      </c>
      <c r="S55" s="182"/>
      <c r="T55" s="182"/>
    </row>
    <row r="56" spans="1:22" ht="49.95" customHeight="1">
      <c r="A56" s="178" t="s">
        <v>6812</v>
      </c>
      <c r="B56" s="178"/>
      <c r="C56" s="178"/>
      <c r="D56" s="194" t="s">
        <v>3152</v>
      </c>
      <c r="E56" s="194"/>
      <c r="F56" s="194"/>
      <c r="G56" s="104" t="s">
        <v>2833</v>
      </c>
      <c r="H56" s="105" t="s">
        <v>1606</v>
      </c>
      <c r="I56" s="106">
        <v>900000</v>
      </c>
      <c r="J56" s="195" t="s">
        <v>3153</v>
      </c>
      <c r="K56" s="195"/>
      <c r="L56" s="107" t="s">
        <v>3154</v>
      </c>
      <c r="M56" s="196" t="s">
        <v>3155</v>
      </c>
      <c r="N56" s="196"/>
      <c r="O56" s="196"/>
      <c r="P56" s="196"/>
      <c r="Q56" s="196"/>
      <c r="R56" s="197" t="s">
        <v>3156</v>
      </c>
      <c r="S56" s="197"/>
      <c r="T56" s="197"/>
      <c r="V56" s="108"/>
    </row>
    <row r="57" spans="1:22" ht="49.95" customHeight="1">
      <c r="A57" s="178" t="s">
        <v>6813</v>
      </c>
      <c r="B57" s="178"/>
      <c r="C57" s="178"/>
      <c r="D57" s="194" t="s">
        <v>3157</v>
      </c>
      <c r="E57" s="194"/>
      <c r="F57" s="194"/>
      <c r="G57" s="104" t="s">
        <v>2833</v>
      </c>
      <c r="H57" s="105" t="s">
        <v>1606</v>
      </c>
      <c r="I57" s="106">
        <v>2500000</v>
      </c>
      <c r="J57" s="195" t="s">
        <v>3158</v>
      </c>
      <c r="K57" s="195"/>
      <c r="L57" s="107" t="s">
        <v>3159</v>
      </c>
      <c r="M57" s="196" t="s">
        <v>3160</v>
      </c>
      <c r="N57" s="196"/>
      <c r="O57" s="196"/>
      <c r="P57" s="196"/>
      <c r="Q57" s="196"/>
      <c r="R57" s="197" t="s">
        <v>3161</v>
      </c>
      <c r="S57" s="197"/>
      <c r="T57" s="197"/>
      <c r="V57" s="108"/>
    </row>
    <row r="58" spans="1:22" ht="49.95" customHeight="1">
      <c r="A58" s="178" t="s">
        <v>6814</v>
      </c>
      <c r="B58" s="178"/>
      <c r="C58" s="178"/>
      <c r="D58" s="194" t="s">
        <v>3162</v>
      </c>
      <c r="E58" s="194"/>
      <c r="F58" s="194"/>
      <c r="G58" s="104" t="s">
        <v>2833</v>
      </c>
      <c r="H58" s="105" t="s">
        <v>1606</v>
      </c>
      <c r="I58" s="106">
        <v>900000</v>
      </c>
      <c r="J58" s="195" t="s">
        <v>3163</v>
      </c>
      <c r="K58" s="195"/>
      <c r="L58" s="107" t="s">
        <v>3164</v>
      </c>
      <c r="M58" s="196" t="s">
        <v>3165</v>
      </c>
      <c r="N58" s="196"/>
      <c r="O58" s="196"/>
      <c r="P58" s="196"/>
      <c r="Q58" s="196"/>
      <c r="R58" s="197" t="s">
        <v>3166</v>
      </c>
      <c r="S58" s="197"/>
      <c r="T58" s="197"/>
      <c r="V58" s="108"/>
    </row>
    <row r="59" spans="1:22" ht="49.95" customHeight="1">
      <c r="A59" s="178" t="s">
        <v>6815</v>
      </c>
      <c r="B59" s="178"/>
      <c r="C59" s="178"/>
      <c r="D59" s="194" t="s">
        <v>3167</v>
      </c>
      <c r="E59" s="194"/>
      <c r="F59" s="194"/>
      <c r="G59" s="104" t="s">
        <v>2833</v>
      </c>
      <c r="H59" s="105" t="s">
        <v>1606</v>
      </c>
      <c r="I59" s="106">
        <v>1300000</v>
      </c>
      <c r="J59" s="195" t="s">
        <v>3168</v>
      </c>
      <c r="K59" s="195"/>
      <c r="L59" s="107" t="s">
        <v>1779</v>
      </c>
      <c r="M59" s="196" t="s">
        <v>3169</v>
      </c>
      <c r="N59" s="196"/>
      <c r="O59" s="196"/>
      <c r="P59" s="196"/>
      <c r="Q59" s="196"/>
      <c r="R59" s="197" t="s">
        <v>3170</v>
      </c>
      <c r="S59" s="197"/>
      <c r="T59" s="197"/>
      <c r="V59" s="108"/>
    </row>
    <row r="60" spans="1:22" ht="49.95" customHeight="1">
      <c r="A60" s="178" t="s">
        <v>6816</v>
      </c>
      <c r="B60" s="178"/>
      <c r="C60" s="178"/>
      <c r="D60" s="194" t="s">
        <v>3171</v>
      </c>
      <c r="E60" s="194"/>
      <c r="F60" s="194"/>
      <c r="G60" s="104" t="s">
        <v>2833</v>
      </c>
      <c r="H60" s="105" t="s">
        <v>1606</v>
      </c>
      <c r="I60" s="106">
        <v>900000</v>
      </c>
      <c r="J60" s="195" t="s">
        <v>3172</v>
      </c>
      <c r="K60" s="195"/>
      <c r="L60" s="107" t="s">
        <v>3173</v>
      </c>
      <c r="M60" s="196" t="s">
        <v>3174</v>
      </c>
      <c r="N60" s="196"/>
      <c r="O60" s="196"/>
      <c r="P60" s="196"/>
      <c r="Q60" s="196"/>
      <c r="R60" s="197" t="s">
        <v>3175</v>
      </c>
      <c r="S60" s="197"/>
      <c r="T60" s="197"/>
      <c r="V60" s="108"/>
    </row>
    <row r="61" spans="1:22" ht="49.95" customHeight="1">
      <c r="A61" s="178" t="s">
        <v>6817</v>
      </c>
      <c r="B61" s="178"/>
      <c r="C61" s="178"/>
      <c r="D61" s="194" t="s">
        <v>2832</v>
      </c>
      <c r="E61" s="194"/>
      <c r="F61" s="194"/>
      <c r="G61" s="104" t="s">
        <v>2833</v>
      </c>
      <c r="H61" s="105" t="s">
        <v>1606</v>
      </c>
      <c r="I61" s="106">
        <v>1400000</v>
      </c>
      <c r="J61" s="195" t="s">
        <v>2834</v>
      </c>
      <c r="K61" s="195"/>
      <c r="L61" s="107" t="s">
        <v>2835</v>
      </c>
      <c r="M61" s="196" t="s">
        <v>2836</v>
      </c>
      <c r="N61" s="196"/>
      <c r="O61" s="196"/>
      <c r="P61" s="196"/>
      <c r="Q61" s="196"/>
      <c r="R61" s="197" t="s">
        <v>2837</v>
      </c>
      <c r="S61" s="197"/>
      <c r="T61" s="197"/>
      <c r="V61" s="108"/>
    </row>
    <row r="62" spans="1:22" ht="49.95" customHeight="1">
      <c r="A62" s="178" t="s">
        <v>6818</v>
      </c>
      <c r="B62" s="178"/>
      <c r="C62" s="178"/>
      <c r="D62" s="194" t="s">
        <v>2838</v>
      </c>
      <c r="E62" s="194"/>
      <c r="F62" s="194"/>
      <c r="G62" s="104" t="s">
        <v>2833</v>
      </c>
      <c r="H62" s="105" t="s">
        <v>1606</v>
      </c>
      <c r="I62" s="106">
        <v>1400000</v>
      </c>
      <c r="J62" s="195" t="s">
        <v>2839</v>
      </c>
      <c r="K62" s="195"/>
      <c r="L62" s="107" t="s">
        <v>2840</v>
      </c>
      <c r="M62" s="196" t="s">
        <v>2841</v>
      </c>
      <c r="N62" s="196"/>
      <c r="O62" s="196"/>
      <c r="P62" s="196"/>
      <c r="Q62" s="196"/>
      <c r="R62" s="197" t="s">
        <v>2842</v>
      </c>
      <c r="S62" s="197"/>
      <c r="T62" s="197"/>
      <c r="V62" s="108"/>
    </row>
    <row r="63" spans="1:22" ht="49.95" customHeight="1">
      <c r="A63" s="178" t="s">
        <v>6819</v>
      </c>
      <c r="B63" s="178"/>
      <c r="C63" s="178"/>
      <c r="D63" s="194" t="s">
        <v>2843</v>
      </c>
      <c r="E63" s="194"/>
      <c r="F63" s="194"/>
      <c r="G63" s="104" t="s">
        <v>2833</v>
      </c>
      <c r="H63" s="105" t="s">
        <v>1606</v>
      </c>
      <c r="I63" s="106">
        <v>2500000</v>
      </c>
      <c r="J63" s="195" t="s">
        <v>2844</v>
      </c>
      <c r="K63" s="195"/>
      <c r="L63" s="107" t="s">
        <v>2845</v>
      </c>
      <c r="M63" s="196" t="s">
        <v>2846</v>
      </c>
      <c r="N63" s="196"/>
      <c r="O63" s="196"/>
      <c r="P63" s="196"/>
      <c r="Q63" s="196"/>
      <c r="R63" s="197" t="s">
        <v>2847</v>
      </c>
      <c r="S63" s="197"/>
      <c r="T63" s="197"/>
      <c r="V63" s="108"/>
    </row>
    <row r="64" spans="1:22" ht="49.95" customHeight="1">
      <c r="A64" s="178" t="s">
        <v>6820</v>
      </c>
      <c r="B64" s="178"/>
      <c r="C64" s="178"/>
      <c r="D64" s="194" t="s">
        <v>2848</v>
      </c>
      <c r="E64" s="194"/>
      <c r="F64" s="194"/>
      <c r="G64" s="104" t="s">
        <v>2212</v>
      </c>
      <c r="H64" s="105" t="s">
        <v>1606</v>
      </c>
      <c r="I64" s="106">
        <v>2300000</v>
      </c>
      <c r="J64" s="195" t="s">
        <v>2849</v>
      </c>
      <c r="K64" s="195"/>
      <c r="L64" s="107" t="s">
        <v>2850</v>
      </c>
      <c r="M64" s="196" t="s">
        <v>2851</v>
      </c>
      <c r="N64" s="196"/>
      <c r="O64" s="196"/>
      <c r="P64" s="196"/>
      <c r="Q64" s="196"/>
      <c r="R64" s="197" t="s">
        <v>2852</v>
      </c>
      <c r="S64" s="197"/>
      <c r="T64" s="197"/>
      <c r="V64" s="108"/>
    </row>
    <row r="65" spans="1:22" ht="49.95" customHeight="1">
      <c r="A65" s="178" t="s">
        <v>6821</v>
      </c>
      <c r="B65" s="178"/>
      <c r="C65" s="178"/>
      <c r="D65" s="194" t="s">
        <v>2211</v>
      </c>
      <c r="E65" s="194"/>
      <c r="F65" s="194"/>
      <c r="G65" s="104" t="s">
        <v>2212</v>
      </c>
      <c r="H65" s="105" t="s">
        <v>1606</v>
      </c>
      <c r="I65" s="106">
        <v>900000</v>
      </c>
      <c r="J65" s="195" t="s">
        <v>2213</v>
      </c>
      <c r="K65" s="195"/>
      <c r="L65" s="107" t="s">
        <v>2214</v>
      </c>
      <c r="M65" s="196" t="s">
        <v>2215</v>
      </c>
      <c r="N65" s="196"/>
      <c r="O65" s="196"/>
      <c r="P65" s="196"/>
      <c r="Q65" s="196"/>
      <c r="R65" s="197" t="s">
        <v>2216</v>
      </c>
      <c r="S65" s="197"/>
      <c r="T65" s="197"/>
      <c r="V65" s="108"/>
    </row>
    <row r="66" spans="1:22" ht="49.95" customHeight="1">
      <c r="A66" s="178" t="s">
        <v>6822</v>
      </c>
      <c r="B66" s="178"/>
      <c r="C66" s="178"/>
      <c r="D66" s="194" t="s">
        <v>2217</v>
      </c>
      <c r="E66" s="194"/>
      <c r="F66" s="194"/>
      <c r="G66" s="104" t="s">
        <v>2212</v>
      </c>
      <c r="H66" s="105" t="s">
        <v>1606</v>
      </c>
      <c r="I66" s="106">
        <v>900000</v>
      </c>
      <c r="J66" s="195" t="s">
        <v>2218</v>
      </c>
      <c r="K66" s="195"/>
      <c r="L66" s="107" t="s">
        <v>2219</v>
      </c>
      <c r="M66" s="196" t="s">
        <v>2220</v>
      </c>
      <c r="N66" s="196"/>
      <c r="O66" s="196"/>
      <c r="P66" s="196"/>
      <c r="Q66" s="196"/>
      <c r="R66" s="197" t="s">
        <v>2221</v>
      </c>
      <c r="S66" s="197"/>
      <c r="T66" s="197"/>
      <c r="V66" s="108"/>
    </row>
    <row r="67" spans="1:22" ht="49.95" customHeight="1">
      <c r="A67" s="178" t="s">
        <v>6823</v>
      </c>
      <c r="B67" s="178"/>
      <c r="C67" s="178"/>
      <c r="D67" s="194" t="s">
        <v>2222</v>
      </c>
      <c r="E67" s="194"/>
      <c r="F67" s="194"/>
      <c r="G67" s="104" t="s">
        <v>2212</v>
      </c>
      <c r="H67" s="105" t="s">
        <v>1606</v>
      </c>
      <c r="I67" s="106">
        <v>2500000</v>
      </c>
      <c r="J67" s="195" t="s">
        <v>2223</v>
      </c>
      <c r="K67" s="195"/>
      <c r="L67" s="107" t="s">
        <v>2224</v>
      </c>
      <c r="M67" s="196" t="s">
        <v>2225</v>
      </c>
      <c r="N67" s="196"/>
      <c r="O67" s="196"/>
      <c r="P67" s="196"/>
      <c r="Q67" s="196"/>
      <c r="R67" s="197" t="s">
        <v>2226</v>
      </c>
      <c r="S67" s="197"/>
      <c r="T67" s="197"/>
      <c r="V67" s="108"/>
    </row>
    <row r="68" spans="1:22" ht="49.95" customHeight="1">
      <c r="A68" s="178" t="s">
        <v>6824</v>
      </c>
      <c r="B68" s="178"/>
      <c r="C68" s="178"/>
      <c r="D68" s="194" t="s">
        <v>2227</v>
      </c>
      <c r="E68" s="194"/>
      <c r="F68" s="194"/>
      <c r="G68" s="104" t="s">
        <v>2212</v>
      </c>
      <c r="H68" s="105" t="s">
        <v>1606</v>
      </c>
      <c r="I68" s="106">
        <v>1800000</v>
      </c>
      <c r="J68" s="195" t="s">
        <v>2228</v>
      </c>
      <c r="K68" s="195"/>
      <c r="L68" s="107" t="s">
        <v>2229</v>
      </c>
      <c r="M68" s="196" t="s">
        <v>2230</v>
      </c>
      <c r="N68" s="196"/>
      <c r="O68" s="196"/>
      <c r="P68" s="196"/>
      <c r="Q68" s="196"/>
      <c r="R68" s="197" t="s">
        <v>2231</v>
      </c>
      <c r="S68" s="197"/>
      <c r="T68" s="197"/>
      <c r="V68" s="108"/>
    </row>
    <row r="69" spans="1:22" ht="49.95" customHeight="1">
      <c r="A69" s="178" t="s">
        <v>6825</v>
      </c>
      <c r="B69" s="178"/>
      <c r="C69" s="178"/>
      <c r="D69" s="194" t="s">
        <v>2232</v>
      </c>
      <c r="E69" s="194"/>
      <c r="F69" s="194"/>
      <c r="G69" s="104" t="s">
        <v>2212</v>
      </c>
      <c r="H69" s="105" t="s">
        <v>1606</v>
      </c>
      <c r="I69" s="106">
        <v>900000</v>
      </c>
      <c r="J69" s="195" t="s">
        <v>2233</v>
      </c>
      <c r="K69" s="195"/>
      <c r="L69" s="107" t="s">
        <v>2234</v>
      </c>
      <c r="M69" s="196" t="s">
        <v>2235</v>
      </c>
      <c r="N69" s="196"/>
      <c r="O69" s="196"/>
      <c r="P69" s="196"/>
      <c r="Q69" s="196"/>
      <c r="R69" s="197" t="s">
        <v>2236</v>
      </c>
      <c r="S69" s="197"/>
      <c r="T69" s="197"/>
      <c r="V69" s="108"/>
    </row>
    <row r="70" spans="1:22" ht="49.95" customHeight="1">
      <c r="A70" s="178" t="s">
        <v>6826</v>
      </c>
      <c r="B70" s="178"/>
      <c r="C70" s="178"/>
      <c r="D70" s="194" t="s">
        <v>2237</v>
      </c>
      <c r="E70" s="194"/>
      <c r="F70" s="194"/>
      <c r="G70" s="104" t="s">
        <v>2212</v>
      </c>
      <c r="H70" s="105" t="s">
        <v>1606</v>
      </c>
      <c r="I70" s="106">
        <v>2300000</v>
      </c>
      <c r="J70" s="195" t="s">
        <v>2238</v>
      </c>
      <c r="K70" s="195"/>
      <c r="L70" s="107" t="s">
        <v>2239</v>
      </c>
      <c r="M70" s="196" t="s">
        <v>2240</v>
      </c>
      <c r="N70" s="196"/>
      <c r="O70" s="196"/>
      <c r="P70" s="196"/>
      <c r="Q70" s="196"/>
      <c r="R70" s="197" t="s">
        <v>2241</v>
      </c>
      <c r="S70" s="197"/>
      <c r="T70" s="197"/>
      <c r="V70" s="108"/>
    </row>
    <row r="71" spans="1:22" ht="49.95" customHeight="1">
      <c r="A71" s="178" t="s">
        <v>6827</v>
      </c>
      <c r="B71" s="178"/>
      <c r="C71" s="178"/>
      <c r="D71" s="194" t="s">
        <v>2242</v>
      </c>
      <c r="E71" s="194"/>
      <c r="F71" s="194"/>
      <c r="G71" s="104" t="s">
        <v>2212</v>
      </c>
      <c r="H71" s="105" t="s">
        <v>1606</v>
      </c>
      <c r="I71" s="106">
        <v>2700000</v>
      </c>
      <c r="J71" s="195" t="s">
        <v>2243</v>
      </c>
      <c r="K71" s="195"/>
      <c r="L71" s="107" t="s">
        <v>2244</v>
      </c>
      <c r="M71" s="196" t="s">
        <v>2245</v>
      </c>
      <c r="N71" s="196"/>
      <c r="O71" s="196"/>
      <c r="P71" s="196"/>
      <c r="Q71" s="196"/>
      <c r="R71" s="197" t="s">
        <v>2246</v>
      </c>
      <c r="S71" s="197"/>
      <c r="T71" s="197"/>
      <c r="V71" s="108"/>
    </row>
    <row r="72" spans="1:22" ht="49.95" customHeight="1">
      <c r="A72" s="178" t="s">
        <v>6828</v>
      </c>
      <c r="B72" s="178"/>
      <c r="C72" s="178"/>
      <c r="D72" s="194" t="s">
        <v>2247</v>
      </c>
      <c r="E72" s="194"/>
      <c r="F72" s="194"/>
      <c r="G72" s="104" t="s">
        <v>2212</v>
      </c>
      <c r="H72" s="105" t="s">
        <v>1606</v>
      </c>
      <c r="I72" s="106">
        <v>800000</v>
      </c>
      <c r="J72" s="195" t="s">
        <v>2248</v>
      </c>
      <c r="K72" s="195"/>
      <c r="L72" s="107" t="s">
        <v>2249</v>
      </c>
      <c r="M72" s="196" t="s">
        <v>2250</v>
      </c>
      <c r="N72" s="196"/>
      <c r="O72" s="196"/>
      <c r="P72" s="196"/>
      <c r="Q72" s="196"/>
      <c r="R72" s="197" t="s">
        <v>2251</v>
      </c>
      <c r="S72" s="197"/>
      <c r="T72" s="197"/>
      <c r="V72" s="108"/>
    </row>
    <row r="73" spans="1:22" ht="49.95" customHeight="1">
      <c r="A73" s="178" t="s">
        <v>6829</v>
      </c>
      <c r="B73" s="178"/>
      <c r="C73" s="178"/>
      <c r="D73" s="194" t="s">
        <v>2252</v>
      </c>
      <c r="E73" s="194"/>
      <c r="F73" s="194"/>
      <c r="G73" s="104" t="s">
        <v>2212</v>
      </c>
      <c r="H73" s="105" t="s">
        <v>1606</v>
      </c>
      <c r="I73" s="106">
        <v>1800000</v>
      </c>
      <c r="J73" s="195" t="s">
        <v>2253</v>
      </c>
      <c r="K73" s="195"/>
      <c r="L73" s="107" t="s">
        <v>2254</v>
      </c>
      <c r="M73" s="196" t="s">
        <v>2255</v>
      </c>
      <c r="N73" s="196"/>
      <c r="O73" s="196"/>
      <c r="P73" s="196"/>
      <c r="Q73" s="196"/>
      <c r="R73" s="197" t="s">
        <v>2256</v>
      </c>
      <c r="S73" s="197"/>
      <c r="T73" s="197"/>
      <c r="V73" s="108"/>
    </row>
    <row r="74" spans="1:22" ht="49.95" customHeight="1">
      <c r="A74" s="178" t="s">
        <v>6830</v>
      </c>
      <c r="B74" s="178"/>
      <c r="C74" s="178"/>
      <c r="D74" s="194" t="s">
        <v>2257</v>
      </c>
      <c r="E74" s="194"/>
      <c r="F74" s="194"/>
      <c r="G74" s="104" t="s">
        <v>2212</v>
      </c>
      <c r="H74" s="105" t="s">
        <v>1606</v>
      </c>
      <c r="I74" s="106">
        <v>1400000</v>
      </c>
      <c r="J74" s="195" t="s">
        <v>2258</v>
      </c>
      <c r="K74" s="195"/>
      <c r="L74" s="107" t="s">
        <v>2259</v>
      </c>
      <c r="M74" s="196" t="s">
        <v>2260</v>
      </c>
      <c r="N74" s="196"/>
      <c r="O74" s="196"/>
      <c r="P74" s="196"/>
      <c r="Q74" s="196"/>
      <c r="R74" s="197" t="s">
        <v>2261</v>
      </c>
      <c r="S74" s="197"/>
      <c r="T74" s="197"/>
      <c r="V74" s="108"/>
    </row>
    <row r="75" spans="1:22" ht="49.95" customHeight="1">
      <c r="A75" s="178" t="s">
        <v>6831</v>
      </c>
      <c r="B75" s="178"/>
      <c r="C75" s="178"/>
      <c r="D75" s="194" t="s">
        <v>2262</v>
      </c>
      <c r="E75" s="194"/>
      <c r="F75" s="194"/>
      <c r="G75" s="104" t="s">
        <v>2212</v>
      </c>
      <c r="H75" s="105" t="s">
        <v>1606</v>
      </c>
      <c r="I75" s="106">
        <v>1800000</v>
      </c>
      <c r="J75" s="195" t="s">
        <v>2263</v>
      </c>
      <c r="K75" s="195"/>
      <c r="L75" s="107" t="s">
        <v>2264</v>
      </c>
      <c r="M75" s="196" t="s">
        <v>2265</v>
      </c>
      <c r="N75" s="196"/>
      <c r="O75" s="196"/>
      <c r="P75" s="196"/>
      <c r="Q75" s="196"/>
      <c r="R75" s="197" t="s">
        <v>2266</v>
      </c>
      <c r="S75" s="197"/>
      <c r="T75" s="197"/>
      <c r="V75" s="108"/>
    </row>
    <row r="76" spans="1:22" ht="49.95" customHeight="1">
      <c r="A76" s="178" t="s">
        <v>6832</v>
      </c>
      <c r="B76" s="178"/>
      <c r="C76" s="178"/>
      <c r="D76" s="194" t="s">
        <v>2267</v>
      </c>
      <c r="E76" s="194"/>
      <c r="F76" s="194"/>
      <c r="G76" s="104" t="s">
        <v>2212</v>
      </c>
      <c r="H76" s="105" t="s">
        <v>1606</v>
      </c>
      <c r="I76" s="106">
        <v>900000</v>
      </c>
      <c r="J76" s="195" t="s">
        <v>2268</v>
      </c>
      <c r="K76" s="195"/>
      <c r="L76" s="107" t="s">
        <v>2269</v>
      </c>
      <c r="M76" s="196" t="s">
        <v>2270</v>
      </c>
      <c r="N76" s="196"/>
      <c r="O76" s="196"/>
      <c r="P76" s="196"/>
      <c r="Q76" s="196"/>
      <c r="R76" s="197" t="s">
        <v>2271</v>
      </c>
      <c r="S76" s="197"/>
      <c r="T76" s="197"/>
      <c r="V76" s="108"/>
    </row>
    <row r="77" spans="1:22" ht="49.95" customHeight="1">
      <c r="A77" s="178" t="s">
        <v>6833</v>
      </c>
      <c r="B77" s="178"/>
      <c r="C77" s="178"/>
      <c r="D77" s="194" t="s">
        <v>2272</v>
      </c>
      <c r="E77" s="194"/>
      <c r="F77" s="194"/>
      <c r="G77" s="104" t="s">
        <v>2212</v>
      </c>
      <c r="H77" s="105" t="s">
        <v>1606</v>
      </c>
      <c r="I77" s="106">
        <v>1800000</v>
      </c>
      <c r="J77" s="195" t="s">
        <v>2273</v>
      </c>
      <c r="K77" s="195"/>
      <c r="L77" s="107" t="s">
        <v>2274</v>
      </c>
      <c r="M77" s="196" t="s">
        <v>2275</v>
      </c>
      <c r="N77" s="196"/>
      <c r="O77" s="196"/>
      <c r="P77" s="196"/>
      <c r="Q77" s="196"/>
      <c r="R77" s="197" t="s">
        <v>2276</v>
      </c>
      <c r="S77" s="197"/>
      <c r="T77" s="197"/>
      <c r="V77" s="108"/>
    </row>
    <row r="78" spans="1:22" ht="49.95" customHeight="1">
      <c r="A78" s="178" t="s">
        <v>6834</v>
      </c>
      <c r="B78" s="178"/>
      <c r="C78" s="178"/>
      <c r="D78" s="194" t="s">
        <v>2277</v>
      </c>
      <c r="E78" s="194"/>
      <c r="F78" s="194"/>
      <c r="G78" s="104" t="s">
        <v>2212</v>
      </c>
      <c r="H78" s="105" t="s">
        <v>1606</v>
      </c>
      <c r="I78" s="106">
        <v>1500000</v>
      </c>
      <c r="J78" s="195" t="s">
        <v>2278</v>
      </c>
      <c r="K78" s="195"/>
      <c r="L78" s="107" t="s">
        <v>2279</v>
      </c>
      <c r="M78" s="196" t="s">
        <v>2280</v>
      </c>
      <c r="N78" s="196"/>
      <c r="O78" s="196"/>
      <c r="P78" s="196"/>
      <c r="Q78" s="196"/>
      <c r="R78" s="197" t="s">
        <v>2281</v>
      </c>
      <c r="S78" s="197"/>
      <c r="T78" s="197"/>
      <c r="V78" s="108"/>
    </row>
    <row r="79" spans="1:22" ht="49.95" customHeight="1">
      <c r="A79" s="178" t="s">
        <v>6835</v>
      </c>
      <c r="B79" s="178"/>
      <c r="C79" s="178"/>
      <c r="D79" s="194" t="s">
        <v>2282</v>
      </c>
      <c r="E79" s="194"/>
      <c r="F79" s="194"/>
      <c r="G79" s="104" t="s">
        <v>2212</v>
      </c>
      <c r="H79" s="105" t="s">
        <v>1606</v>
      </c>
      <c r="I79" s="106">
        <v>1400000</v>
      </c>
      <c r="J79" s="195" t="s">
        <v>2283</v>
      </c>
      <c r="K79" s="195"/>
      <c r="L79" s="107" t="s">
        <v>2284</v>
      </c>
      <c r="M79" s="196" t="s">
        <v>2285</v>
      </c>
      <c r="N79" s="196"/>
      <c r="O79" s="196"/>
      <c r="P79" s="196"/>
      <c r="Q79" s="196"/>
      <c r="R79" s="197" t="s">
        <v>2286</v>
      </c>
      <c r="S79" s="197"/>
      <c r="T79" s="197"/>
      <c r="V79" s="108"/>
    </row>
    <row r="80" spans="1:22" ht="49.95" customHeight="1">
      <c r="A80" s="178" t="s">
        <v>6836</v>
      </c>
      <c r="B80" s="178"/>
      <c r="C80" s="178"/>
      <c r="D80" s="194" t="s">
        <v>2287</v>
      </c>
      <c r="E80" s="194"/>
      <c r="F80" s="194"/>
      <c r="G80" s="104" t="s">
        <v>2212</v>
      </c>
      <c r="H80" s="105" t="s">
        <v>1606</v>
      </c>
      <c r="I80" s="106">
        <v>900000</v>
      </c>
      <c r="J80" s="195" t="s">
        <v>2288</v>
      </c>
      <c r="K80" s="195"/>
      <c r="L80" s="107" t="s">
        <v>2289</v>
      </c>
      <c r="M80" s="196" t="s">
        <v>2290</v>
      </c>
      <c r="N80" s="196"/>
      <c r="O80" s="196"/>
      <c r="P80" s="196"/>
      <c r="Q80" s="196"/>
      <c r="R80" s="197" t="s">
        <v>2291</v>
      </c>
      <c r="S80" s="197"/>
      <c r="T80" s="197"/>
      <c r="V80" s="108"/>
    </row>
    <row r="81" spans="1:22" ht="49.95" customHeight="1">
      <c r="A81" s="178" t="s">
        <v>6837</v>
      </c>
      <c r="B81" s="178"/>
      <c r="C81" s="178"/>
      <c r="D81" s="194" t="s">
        <v>2292</v>
      </c>
      <c r="E81" s="194"/>
      <c r="F81" s="194"/>
      <c r="G81" s="104" t="s">
        <v>2212</v>
      </c>
      <c r="H81" s="105" t="s">
        <v>1606</v>
      </c>
      <c r="I81" s="106">
        <v>900000</v>
      </c>
      <c r="J81" s="195" t="s">
        <v>2293</v>
      </c>
      <c r="K81" s="195"/>
      <c r="L81" s="107" t="s">
        <v>2294</v>
      </c>
      <c r="M81" s="196" t="s">
        <v>2295</v>
      </c>
      <c r="N81" s="196"/>
      <c r="O81" s="196"/>
      <c r="P81" s="196"/>
      <c r="Q81" s="196"/>
      <c r="R81" s="197" t="s">
        <v>2296</v>
      </c>
      <c r="S81" s="197"/>
      <c r="T81" s="197"/>
      <c r="U81" s="44" t="s">
        <v>1209</v>
      </c>
      <c r="V81" s="44" t="s">
        <v>1210</v>
      </c>
    </row>
    <row r="82" spans="1:22" ht="49.95" customHeight="1">
      <c r="A82" s="178" t="s">
        <v>6838</v>
      </c>
      <c r="B82" s="178"/>
      <c r="C82" s="178"/>
      <c r="D82" s="194" t="s">
        <v>2297</v>
      </c>
      <c r="E82" s="194"/>
      <c r="F82" s="194"/>
      <c r="G82" s="104" t="s">
        <v>2298</v>
      </c>
      <c r="H82" s="105" t="s">
        <v>1606</v>
      </c>
      <c r="I82" s="106">
        <v>1700000</v>
      </c>
      <c r="J82" s="195" t="s">
        <v>2299</v>
      </c>
      <c r="K82" s="195"/>
      <c r="L82" s="107" t="s">
        <v>2300</v>
      </c>
      <c r="M82" s="196" t="s">
        <v>2301</v>
      </c>
      <c r="N82" s="196"/>
      <c r="O82" s="196"/>
      <c r="P82" s="196"/>
      <c r="Q82" s="196"/>
      <c r="R82" s="197" t="s">
        <v>2302</v>
      </c>
      <c r="S82" s="197"/>
      <c r="T82" s="197"/>
      <c r="V82" s="108"/>
    </row>
    <row r="83" spans="1:22" ht="49.95" customHeight="1">
      <c r="A83" s="178" t="s">
        <v>6839</v>
      </c>
      <c r="B83" s="178"/>
      <c r="C83" s="178"/>
      <c r="D83" s="194" t="s">
        <v>2303</v>
      </c>
      <c r="E83" s="194"/>
      <c r="F83" s="194"/>
      <c r="G83" s="104" t="s">
        <v>2298</v>
      </c>
      <c r="H83" s="105" t="s">
        <v>1606</v>
      </c>
      <c r="I83" s="106">
        <v>900000</v>
      </c>
      <c r="J83" s="195" t="s">
        <v>2304</v>
      </c>
      <c r="K83" s="195"/>
      <c r="L83" s="107" t="s">
        <v>2305</v>
      </c>
      <c r="M83" s="196" t="s">
        <v>2306</v>
      </c>
      <c r="N83" s="196"/>
      <c r="O83" s="196"/>
      <c r="P83" s="196"/>
      <c r="Q83" s="196"/>
      <c r="R83" s="197" t="s">
        <v>2307</v>
      </c>
      <c r="S83" s="197"/>
      <c r="T83" s="197"/>
      <c r="V83" s="108"/>
    </row>
    <row r="84" spans="1:22" ht="49.95" customHeight="1">
      <c r="A84" s="178" t="s">
        <v>6840</v>
      </c>
      <c r="B84" s="178"/>
      <c r="C84" s="178"/>
      <c r="D84" s="194" t="s">
        <v>2308</v>
      </c>
      <c r="E84" s="194"/>
      <c r="F84" s="194"/>
      <c r="G84" s="104" t="s">
        <v>2298</v>
      </c>
      <c r="H84" s="105" t="s">
        <v>1606</v>
      </c>
      <c r="I84" s="106">
        <v>900000</v>
      </c>
      <c r="J84" s="195" t="s">
        <v>2309</v>
      </c>
      <c r="K84" s="195"/>
      <c r="L84" s="107" t="s">
        <v>2310</v>
      </c>
      <c r="M84" s="196" t="s">
        <v>2311</v>
      </c>
      <c r="N84" s="196"/>
      <c r="O84" s="196"/>
      <c r="P84" s="196"/>
      <c r="Q84" s="196"/>
      <c r="R84" s="197" t="s">
        <v>2312</v>
      </c>
      <c r="S84" s="197"/>
      <c r="T84" s="197"/>
      <c r="V84" s="108"/>
    </row>
    <row r="85" spans="1:22" ht="49.95" customHeight="1">
      <c r="A85" s="178" t="s">
        <v>6841</v>
      </c>
      <c r="B85" s="178"/>
      <c r="C85" s="178"/>
      <c r="D85" s="194" t="s">
        <v>2313</v>
      </c>
      <c r="E85" s="194"/>
      <c r="F85" s="194"/>
      <c r="G85" s="104" t="s">
        <v>2298</v>
      </c>
      <c r="H85" s="105" t="s">
        <v>1606</v>
      </c>
      <c r="I85" s="106">
        <v>1400000</v>
      </c>
      <c r="J85" s="195" t="s">
        <v>2314</v>
      </c>
      <c r="K85" s="195"/>
      <c r="L85" s="107" t="s">
        <v>2315</v>
      </c>
      <c r="M85" s="196" t="s">
        <v>2316</v>
      </c>
      <c r="N85" s="196"/>
      <c r="O85" s="196"/>
      <c r="P85" s="196"/>
      <c r="Q85" s="196"/>
      <c r="R85" s="197" t="s">
        <v>2317</v>
      </c>
      <c r="S85" s="197"/>
      <c r="T85" s="197"/>
      <c r="V85" s="108"/>
    </row>
    <row r="86" spans="1:22" ht="49.95" customHeight="1">
      <c r="A86" s="178" t="s">
        <v>6842</v>
      </c>
      <c r="B86" s="178"/>
      <c r="C86" s="178"/>
      <c r="D86" s="194" t="s">
        <v>2318</v>
      </c>
      <c r="E86" s="194"/>
      <c r="F86" s="194"/>
      <c r="G86" s="104" t="s">
        <v>2298</v>
      </c>
      <c r="H86" s="105" t="s">
        <v>1606</v>
      </c>
      <c r="I86" s="106">
        <v>800000</v>
      </c>
      <c r="J86" s="195" t="s">
        <v>2319</v>
      </c>
      <c r="K86" s="195"/>
      <c r="L86" s="107" t="s">
        <v>2131</v>
      </c>
      <c r="M86" s="196" t="s">
        <v>2320</v>
      </c>
      <c r="N86" s="196"/>
      <c r="O86" s="196"/>
      <c r="P86" s="196"/>
      <c r="Q86" s="196"/>
      <c r="R86" s="197" t="s">
        <v>2321</v>
      </c>
      <c r="S86" s="197"/>
      <c r="T86" s="197"/>
      <c r="V86" s="108"/>
    </row>
    <row r="87" spans="1:22" ht="49.95" customHeight="1">
      <c r="A87" s="178" t="s">
        <v>6843</v>
      </c>
      <c r="B87" s="178"/>
      <c r="C87" s="178"/>
      <c r="D87" s="194" t="s">
        <v>2322</v>
      </c>
      <c r="E87" s="194"/>
      <c r="F87" s="194"/>
      <c r="G87" s="104" t="s">
        <v>2298</v>
      </c>
      <c r="H87" s="105" t="s">
        <v>1606</v>
      </c>
      <c r="I87" s="106">
        <v>2200000</v>
      </c>
      <c r="J87" s="195" t="s">
        <v>2323</v>
      </c>
      <c r="K87" s="195"/>
      <c r="L87" s="107" t="s">
        <v>2324</v>
      </c>
      <c r="M87" s="196" t="s">
        <v>2325</v>
      </c>
      <c r="N87" s="196"/>
      <c r="O87" s="196"/>
      <c r="P87" s="196"/>
      <c r="Q87" s="196"/>
      <c r="R87" s="197" t="s">
        <v>2326</v>
      </c>
      <c r="S87" s="197"/>
      <c r="T87" s="197"/>
      <c r="V87" s="108"/>
    </row>
    <row r="88" spans="1:22" ht="49.95" customHeight="1">
      <c r="A88" s="178" t="s">
        <v>6844</v>
      </c>
      <c r="B88" s="178"/>
      <c r="C88" s="178"/>
      <c r="D88" s="194" t="s">
        <v>2327</v>
      </c>
      <c r="E88" s="194"/>
      <c r="F88" s="194"/>
      <c r="G88" s="104" t="s">
        <v>2298</v>
      </c>
      <c r="H88" s="105" t="s">
        <v>1606</v>
      </c>
      <c r="I88" s="106">
        <v>2500000</v>
      </c>
      <c r="J88" s="195" t="s">
        <v>2328</v>
      </c>
      <c r="K88" s="195"/>
      <c r="L88" s="107" t="s">
        <v>2329</v>
      </c>
      <c r="M88" s="196" t="s">
        <v>2330</v>
      </c>
      <c r="N88" s="196"/>
      <c r="O88" s="196"/>
      <c r="P88" s="196"/>
      <c r="Q88" s="196"/>
      <c r="R88" s="197" t="s">
        <v>2331</v>
      </c>
      <c r="S88" s="197"/>
      <c r="T88" s="197"/>
      <c r="V88" s="108"/>
    </row>
    <row r="89" spans="1:22" ht="49.95" customHeight="1">
      <c r="A89" s="178" t="s">
        <v>6845</v>
      </c>
      <c r="B89" s="178"/>
      <c r="C89" s="178"/>
      <c r="D89" s="194" t="s">
        <v>2332</v>
      </c>
      <c r="E89" s="194"/>
      <c r="F89" s="194"/>
      <c r="G89" s="104" t="s">
        <v>2298</v>
      </c>
      <c r="H89" s="105" t="s">
        <v>1606</v>
      </c>
      <c r="I89" s="106">
        <v>1800000</v>
      </c>
      <c r="J89" s="195" t="s">
        <v>2333</v>
      </c>
      <c r="K89" s="195"/>
      <c r="L89" s="107" t="s">
        <v>2334</v>
      </c>
      <c r="M89" s="196" t="s">
        <v>2335</v>
      </c>
      <c r="N89" s="196"/>
      <c r="O89" s="196"/>
      <c r="P89" s="196"/>
      <c r="Q89" s="196"/>
      <c r="R89" s="197" t="s">
        <v>2336</v>
      </c>
      <c r="S89" s="197"/>
      <c r="T89" s="197"/>
      <c r="V89" s="108"/>
    </row>
    <row r="90" spans="1:22" ht="49.95" customHeight="1">
      <c r="A90" s="178" t="s">
        <v>6846</v>
      </c>
      <c r="B90" s="178"/>
      <c r="C90" s="178"/>
      <c r="D90" s="194" t="s">
        <v>2337</v>
      </c>
      <c r="E90" s="194"/>
      <c r="F90" s="194"/>
      <c r="G90" s="104" t="s">
        <v>2298</v>
      </c>
      <c r="H90" s="105" t="s">
        <v>1606</v>
      </c>
      <c r="I90" s="106">
        <v>2600000</v>
      </c>
      <c r="J90" s="195" t="s">
        <v>2338</v>
      </c>
      <c r="K90" s="195"/>
      <c r="L90" s="107" t="s">
        <v>2339</v>
      </c>
      <c r="M90" s="196" t="s">
        <v>2340</v>
      </c>
      <c r="N90" s="196"/>
      <c r="O90" s="196"/>
      <c r="P90" s="196"/>
      <c r="Q90" s="196"/>
      <c r="R90" s="197" t="s">
        <v>2341</v>
      </c>
      <c r="S90" s="197"/>
      <c r="T90" s="197"/>
      <c r="V90" s="108"/>
    </row>
    <row r="91" spans="1:22" ht="49.95" customHeight="1">
      <c r="A91" s="178" t="s">
        <v>6847</v>
      </c>
      <c r="B91" s="178"/>
      <c r="C91" s="178"/>
      <c r="D91" s="194" t="s">
        <v>2342</v>
      </c>
      <c r="E91" s="194"/>
      <c r="F91" s="194"/>
      <c r="G91" s="104" t="s">
        <v>2298</v>
      </c>
      <c r="H91" s="105" t="s">
        <v>1606</v>
      </c>
      <c r="I91" s="106">
        <v>800000</v>
      </c>
      <c r="J91" s="195" t="s">
        <v>2343</v>
      </c>
      <c r="K91" s="195"/>
      <c r="L91" s="107" t="s">
        <v>2344</v>
      </c>
      <c r="M91" s="196" t="s">
        <v>2345</v>
      </c>
      <c r="N91" s="196"/>
      <c r="O91" s="196"/>
      <c r="P91" s="196"/>
      <c r="Q91" s="196"/>
      <c r="R91" s="197" t="s">
        <v>2346</v>
      </c>
      <c r="S91" s="197"/>
      <c r="T91" s="197"/>
      <c r="V91" s="108"/>
    </row>
    <row r="92" spans="1:22" ht="49.95" customHeight="1">
      <c r="A92" s="178" t="s">
        <v>6848</v>
      </c>
      <c r="B92" s="178"/>
      <c r="C92" s="178"/>
      <c r="D92" s="194" t="s">
        <v>2347</v>
      </c>
      <c r="E92" s="194"/>
      <c r="F92" s="194"/>
      <c r="G92" s="104" t="s">
        <v>2298</v>
      </c>
      <c r="H92" s="105" t="s">
        <v>1606</v>
      </c>
      <c r="I92" s="106">
        <v>1800000</v>
      </c>
      <c r="J92" s="195" t="s">
        <v>2348</v>
      </c>
      <c r="K92" s="195"/>
      <c r="L92" s="107" t="s">
        <v>2131</v>
      </c>
      <c r="M92" s="196" t="s">
        <v>2349</v>
      </c>
      <c r="N92" s="196"/>
      <c r="O92" s="196"/>
      <c r="P92" s="196"/>
      <c r="Q92" s="196"/>
      <c r="R92" s="197" t="s">
        <v>2350</v>
      </c>
      <c r="S92" s="197"/>
      <c r="T92" s="197"/>
      <c r="V92" s="108"/>
    </row>
    <row r="93" spans="1:22" ht="49.95" customHeight="1">
      <c r="A93" s="178" t="s">
        <v>6849</v>
      </c>
      <c r="B93" s="178"/>
      <c r="C93" s="178"/>
      <c r="D93" s="194" t="s">
        <v>2351</v>
      </c>
      <c r="E93" s="194"/>
      <c r="F93" s="194"/>
      <c r="G93" s="104" t="s">
        <v>2124</v>
      </c>
      <c r="H93" s="105" t="s">
        <v>1606</v>
      </c>
      <c r="I93" s="106">
        <v>1800000</v>
      </c>
      <c r="J93" s="195" t="s">
        <v>2352</v>
      </c>
      <c r="K93" s="195"/>
      <c r="L93" s="107" t="s">
        <v>2353</v>
      </c>
      <c r="M93" s="196" t="s">
        <v>2354</v>
      </c>
      <c r="N93" s="196"/>
      <c r="O93" s="196"/>
      <c r="P93" s="196"/>
      <c r="Q93" s="196"/>
      <c r="R93" s="197" t="s">
        <v>2355</v>
      </c>
      <c r="S93" s="197"/>
      <c r="T93" s="197"/>
      <c r="V93" s="108"/>
    </row>
    <row r="94" spans="1:22" ht="49.95" customHeight="1">
      <c r="A94" s="178" t="s">
        <v>6850</v>
      </c>
      <c r="B94" s="178"/>
      <c r="C94" s="178"/>
      <c r="D94" s="194" t="s">
        <v>2123</v>
      </c>
      <c r="E94" s="194"/>
      <c r="F94" s="194"/>
      <c r="G94" s="104" t="s">
        <v>2124</v>
      </c>
      <c r="H94" s="105" t="s">
        <v>1606</v>
      </c>
      <c r="I94" s="106">
        <v>800000</v>
      </c>
      <c r="J94" s="195" t="s">
        <v>2125</v>
      </c>
      <c r="K94" s="195"/>
      <c r="L94" s="107" t="s">
        <v>2126</v>
      </c>
      <c r="M94" s="196" t="s">
        <v>2127</v>
      </c>
      <c r="N94" s="196"/>
      <c r="O94" s="196"/>
      <c r="P94" s="196"/>
      <c r="Q94" s="196"/>
      <c r="R94" s="197" t="s">
        <v>2128</v>
      </c>
      <c r="S94" s="197"/>
      <c r="T94" s="197"/>
      <c r="V94" s="108"/>
    </row>
    <row r="95" spans="1:22" ht="49.95" customHeight="1">
      <c r="A95" s="178" t="s">
        <v>6851</v>
      </c>
      <c r="B95" s="178"/>
      <c r="C95" s="178"/>
      <c r="D95" s="194" t="s">
        <v>2129</v>
      </c>
      <c r="E95" s="194"/>
      <c r="F95" s="194"/>
      <c r="G95" s="104" t="s">
        <v>2124</v>
      </c>
      <c r="H95" s="105" t="s">
        <v>1606</v>
      </c>
      <c r="I95" s="106">
        <v>1800000</v>
      </c>
      <c r="J95" s="195" t="s">
        <v>2130</v>
      </c>
      <c r="K95" s="195"/>
      <c r="L95" s="107" t="s">
        <v>2131</v>
      </c>
      <c r="M95" s="196" t="s">
        <v>2132</v>
      </c>
      <c r="N95" s="196"/>
      <c r="O95" s="196"/>
      <c r="P95" s="196"/>
      <c r="Q95" s="196"/>
      <c r="R95" s="197" t="s">
        <v>2133</v>
      </c>
      <c r="S95" s="197"/>
      <c r="T95" s="197"/>
      <c r="V95" s="108"/>
    </row>
    <row r="96" spans="1:22" ht="49.95" customHeight="1">
      <c r="A96" s="178" t="s">
        <v>6852</v>
      </c>
      <c r="B96" s="178"/>
      <c r="C96" s="178"/>
      <c r="D96" s="194" t="s">
        <v>2134</v>
      </c>
      <c r="E96" s="194"/>
      <c r="F96" s="194"/>
      <c r="G96" s="104" t="s">
        <v>2124</v>
      </c>
      <c r="H96" s="105" t="s">
        <v>1606</v>
      </c>
      <c r="I96" s="106">
        <v>900000</v>
      </c>
      <c r="J96" s="195" t="s">
        <v>2135</v>
      </c>
      <c r="K96" s="195"/>
      <c r="L96" s="107" t="s">
        <v>2136</v>
      </c>
      <c r="M96" s="196" t="s">
        <v>2137</v>
      </c>
      <c r="N96" s="196"/>
      <c r="O96" s="196"/>
      <c r="P96" s="196"/>
      <c r="Q96" s="196"/>
      <c r="R96" s="197" t="s">
        <v>2138</v>
      </c>
      <c r="S96" s="197"/>
      <c r="T96" s="197"/>
      <c r="V96" s="108"/>
    </row>
    <row r="97" spans="1:22" ht="49.95" customHeight="1">
      <c r="A97" s="178" t="s">
        <v>6853</v>
      </c>
      <c r="B97" s="178"/>
      <c r="C97" s="178"/>
      <c r="D97" s="194" t="s">
        <v>2139</v>
      </c>
      <c r="E97" s="194"/>
      <c r="F97" s="194"/>
      <c r="G97" s="104" t="s">
        <v>2124</v>
      </c>
      <c r="H97" s="105" t="s">
        <v>1606</v>
      </c>
      <c r="I97" s="106">
        <v>900000</v>
      </c>
      <c r="J97" s="195" t="s">
        <v>2140</v>
      </c>
      <c r="K97" s="195"/>
      <c r="L97" s="107" t="s">
        <v>2141</v>
      </c>
      <c r="M97" s="196" t="s">
        <v>2142</v>
      </c>
      <c r="N97" s="196"/>
      <c r="O97" s="196"/>
      <c r="P97" s="196"/>
      <c r="Q97" s="196"/>
      <c r="R97" s="197" t="s">
        <v>2143</v>
      </c>
      <c r="S97" s="197"/>
      <c r="T97" s="197"/>
      <c r="V97" s="108"/>
    </row>
    <row r="98" spans="1:22" ht="49.95" customHeight="1">
      <c r="A98" s="178" t="s">
        <v>6854</v>
      </c>
      <c r="B98" s="178"/>
      <c r="C98" s="178"/>
      <c r="D98" s="194" t="s">
        <v>2144</v>
      </c>
      <c r="E98" s="194"/>
      <c r="F98" s="194"/>
      <c r="G98" s="104" t="s">
        <v>2124</v>
      </c>
      <c r="H98" s="105" t="s">
        <v>1606</v>
      </c>
      <c r="I98" s="106">
        <v>2500000</v>
      </c>
      <c r="J98" s="195" t="s">
        <v>2145</v>
      </c>
      <c r="K98" s="195"/>
      <c r="L98" s="107" t="s">
        <v>2146</v>
      </c>
      <c r="M98" s="196" t="s">
        <v>2147</v>
      </c>
      <c r="N98" s="196"/>
      <c r="O98" s="196"/>
      <c r="P98" s="196"/>
      <c r="Q98" s="196"/>
      <c r="R98" s="197" t="s">
        <v>2148</v>
      </c>
      <c r="S98" s="197"/>
      <c r="T98" s="197"/>
      <c r="V98" s="108"/>
    </row>
    <row r="99" spans="1:22" ht="49.95" customHeight="1">
      <c r="A99" s="178" t="s">
        <v>6855</v>
      </c>
      <c r="B99" s="178"/>
      <c r="C99" s="178"/>
      <c r="D99" s="194" t="s">
        <v>2149</v>
      </c>
      <c r="E99" s="194"/>
      <c r="F99" s="194"/>
      <c r="G99" s="104" t="s">
        <v>2124</v>
      </c>
      <c r="H99" s="105" t="s">
        <v>1606</v>
      </c>
      <c r="I99" s="106">
        <v>2700000</v>
      </c>
      <c r="J99" s="195" t="s">
        <v>2150</v>
      </c>
      <c r="K99" s="195"/>
      <c r="L99" s="107" t="s">
        <v>2151</v>
      </c>
      <c r="M99" s="196" t="s">
        <v>2152</v>
      </c>
      <c r="N99" s="196"/>
      <c r="O99" s="196"/>
      <c r="P99" s="196"/>
      <c r="Q99" s="196"/>
      <c r="R99" s="197" t="s">
        <v>2153</v>
      </c>
      <c r="S99" s="197"/>
      <c r="T99" s="197"/>
      <c r="V99" s="108"/>
    </row>
    <row r="100" spans="1:22" ht="49.95" customHeight="1">
      <c r="A100" s="178" t="s">
        <v>6856</v>
      </c>
      <c r="B100" s="178"/>
      <c r="C100" s="178"/>
      <c r="D100" s="194" t="s">
        <v>2154</v>
      </c>
      <c r="E100" s="194"/>
      <c r="F100" s="194"/>
      <c r="G100" s="104" t="s">
        <v>2124</v>
      </c>
      <c r="H100" s="105" t="s">
        <v>1606</v>
      </c>
      <c r="I100" s="106">
        <v>1400000</v>
      </c>
      <c r="J100" s="195" t="s">
        <v>2155</v>
      </c>
      <c r="K100" s="195"/>
      <c r="L100" s="107" t="s">
        <v>2156</v>
      </c>
      <c r="M100" s="196" t="s">
        <v>2157</v>
      </c>
      <c r="N100" s="196"/>
      <c r="O100" s="196"/>
      <c r="P100" s="196"/>
      <c r="Q100" s="196"/>
      <c r="R100" s="197" t="s">
        <v>2158</v>
      </c>
      <c r="S100" s="197"/>
      <c r="T100" s="197"/>
      <c r="V100" s="108"/>
    </row>
    <row r="101" spans="1:22" ht="49.95" customHeight="1">
      <c r="A101" s="178" t="s">
        <v>6857</v>
      </c>
      <c r="B101" s="178"/>
      <c r="C101" s="178"/>
      <c r="D101" s="194" t="s">
        <v>2159</v>
      </c>
      <c r="E101" s="194"/>
      <c r="F101" s="194"/>
      <c r="G101" s="104" t="s">
        <v>2124</v>
      </c>
      <c r="H101" s="105" t="s">
        <v>1606</v>
      </c>
      <c r="I101" s="106">
        <v>900000</v>
      </c>
      <c r="J101" s="195" t="s">
        <v>2160</v>
      </c>
      <c r="K101" s="195"/>
      <c r="L101" s="107" t="s">
        <v>2161</v>
      </c>
      <c r="M101" s="196" t="s">
        <v>2162</v>
      </c>
      <c r="N101" s="196"/>
      <c r="O101" s="196"/>
      <c r="P101" s="196"/>
      <c r="Q101" s="196"/>
      <c r="R101" s="197" t="s">
        <v>2163</v>
      </c>
      <c r="S101" s="197"/>
      <c r="T101" s="197"/>
      <c r="V101" s="108"/>
    </row>
    <row r="102" spans="1:22" ht="49.95" customHeight="1">
      <c r="A102" s="178" t="s">
        <v>6858</v>
      </c>
      <c r="B102" s="178"/>
      <c r="C102" s="178"/>
      <c r="D102" s="194" t="s">
        <v>2164</v>
      </c>
      <c r="E102" s="194"/>
      <c r="F102" s="194"/>
      <c r="G102" s="104" t="s">
        <v>1605</v>
      </c>
      <c r="H102" s="105" t="s">
        <v>1606</v>
      </c>
      <c r="I102" s="106">
        <v>1800000</v>
      </c>
      <c r="J102" s="195" t="s">
        <v>2165</v>
      </c>
      <c r="K102" s="195"/>
      <c r="L102" s="107" t="s">
        <v>2166</v>
      </c>
      <c r="M102" s="196" t="s">
        <v>2167</v>
      </c>
      <c r="N102" s="196"/>
      <c r="O102" s="196"/>
      <c r="P102" s="196"/>
      <c r="Q102" s="196"/>
      <c r="R102" s="197" t="s">
        <v>2168</v>
      </c>
      <c r="S102" s="197"/>
      <c r="T102" s="197"/>
      <c r="V102" s="108"/>
    </row>
    <row r="103" spans="1:22" ht="49.95" customHeight="1">
      <c r="A103" s="178" t="s">
        <v>6859</v>
      </c>
      <c r="B103" s="178"/>
      <c r="C103" s="178"/>
      <c r="D103" s="194" t="s">
        <v>2169</v>
      </c>
      <c r="E103" s="194"/>
      <c r="F103" s="194"/>
      <c r="G103" s="104" t="s">
        <v>1605</v>
      </c>
      <c r="H103" s="105" t="s">
        <v>1606</v>
      </c>
      <c r="I103" s="106">
        <v>1500000</v>
      </c>
      <c r="J103" s="195" t="s">
        <v>2170</v>
      </c>
      <c r="K103" s="195"/>
      <c r="L103" s="107" t="s">
        <v>2171</v>
      </c>
      <c r="M103" s="196" t="s">
        <v>2172</v>
      </c>
      <c r="N103" s="196"/>
      <c r="O103" s="196"/>
      <c r="P103" s="196"/>
      <c r="Q103" s="196"/>
      <c r="R103" s="197" t="s">
        <v>2173</v>
      </c>
      <c r="S103" s="197"/>
      <c r="T103" s="197"/>
      <c r="V103" s="108"/>
    </row>
    <row r="104" spans="1:22" ht="49.95" customHeight="1">
      <c r="A104" s="178" t="s">
        <v>6860</v>
      </c>
      <c r="B104" s="178"/>
      <c r="C104" s="178"/>
      <c r="D104" s="194" t="s">
        <v>2174</v>
      </c>
      <c r="E104" s="194"/>
      <c r="F104" s="194"/>
      <c r="G104" s="104" t="s">
        <v>1605</v>
      </c>
      <c r="H104" s="105" t="s">
        <v>1606</v>
      </c>
      <c r="I104" s="106">
        <v>1400000</v>
      </c>
      <c r="J104" s="195" t="s">
        <v>2175</v>
      </c>
      <c r="K104" s="195"/>
      <c r="L104" s="107" t="s">
        <v>2161</v>
      </c>
      <c r="M104" s="196" t="s">
        <v>2176</v>
      </c>
      <c r="N104" s="196"/>
      <c r="O104" s="196"/>
      <c r="P104" s="196"/>
      <c r="Q104" s="196"/>
      <c r="R104" s="197" t="s">
        <v>2177</v>
      </c>
      <c r="S104" s="197"/>
      <c r="T104" s="197"/>
      <c r="V104" s="108"/>
    </row>
    <row r="105" spans="1:22" ht="49.95" customHeight="1">
      <c r="A105" s="178" t="s">
        <v>6861</v>
      </c>
      <c r="B105" s="178"/>
      <c r="C105" s="178"/>
      <c r="D105" s="194" t="s">
        <v>2178</v>
      </c>
      <c r="E105" s="194"/>
      <c r="F105" s="194"/>
      <c r="G105" s="104" t="s">
        <v>1605</v>
      </c>
      <c r="H105" s="105" t="s">
        <v>1606</v>
      </c>
      <c r="I105" s="106">
        <v>1800000</v>
      </c>
      <c r="J105" s="195" t="s">
        <v>2179</v>
      </c>
      <c r="K105" s="195"/>
      <c r="L105" s="107" t="s">
        <v>2180</v>
      </c>
      <c r="M105" s="196" t="s">
        <v>2181</v>
      </c>
      <c r="N105" s="196"/>
      <c r="O105" s="196"/>
      <c r="P105" s="196"/>
      <c r="Q105" s="196"/>
      <c r="R105" s="197" t="s">
        <v>2182</v>
      </c>
      <c r="S105" s="197"/>
      <c r="T105" s="197"/>
      <c r="V105" s="108"/>
    </row>
    <row r="106" spans="1:22" ht="49.95" customHeight="1">
      <c r="A106" s="178" t="s">
        <v>6862</v>
      </c>
      <c r="B106" s="178"/>
      <c r="C106" s="178"/>
      <c r="D106" s="194" t="s">
        <v>2183</v>
      </c>
      <c r="E106" s="194"/>
      <c r="F106" s="194"/>
      <c r="G106" s="104" t="s">
        <v>1605</v>
      </c>
      <c r="H106" s="105" t="s">
        <v>1606</v>
      </c>
      <c r="I106" s="106">
        <v>1400000</v>
      </c>
      <c r="J106" s="195" t="s">
        <v>2184</v>
      </c>
      <c r="K106" s="195"/>
      <c r="L106" s="107" t="s">
        <v>2185</v>
      </c>
      <c r="M106" s="196" t="s">
        <v>2186</v>
      </c>
      <c r="N106" s="196"/>
      <c r="O106" s="196"/>
      <c r="P106" s="196"/>
      <c r="Q106" s="196"/>
      <c r="R106" s="197" t="s">
        <v>2187</v>
      </c>
      <c r="S106" s="197"/>
      <c r="T106" s="197"/>
      <c r="V106" s="108"/>
    </row>
    <row r="107" spans="1:22" ht="49.95" customHeight="1">
      <c r="A107" s="178" t="s">
        <v>6863</v>
      </c>
      <c r="B107" s="178"/>
      <c r="C107" s="178"/>
      <c r="D107" s="194" t="s">
        <v>2188</v>
      </c>
      <c r="E107" s="194"/>
      <c r="F107" s="194"/>
      <c r="G107" s="104" t="s">
        <v>1605</v>
      </c>
      <c r="H107" s="105" t="s">
        <v>1606</v>
      </c>
      <c r="I107" s="106">
        <v>1800000</v>
      </c>
      <c r="J107" s="195" t="s">
        <v>2189</v>
      </c>
      <c r="K107" s="195"/>
      <c r="L107" s="107" t="s">
        <v>2190</v>
      </c>
      <c r="M107" s="196" t="s">
        <v>2191</v>
      </c>
      <c r="N107" s="196"/>
      <c r="O107" s="196"/>
      <c r="P107" s="196"/>
      <c r="Q107" s="196"/>
      <c r="R107" s="197" t="s">
        <v>2192</v>
      </c>
      <c r="S107" s="197"/>
      <c r="T107" s="197"/>
      <c r="V107" s="108"/>
    </row>
    <row r="108" spans="1:22" ht="60" customHeight="1">
      <c r="A108" s="178" t="s">
        <v>6864</v>
      </c>
      <c r="B108" s="178"/>
      <c r="C108" s="178"/>
      <c r="D108" s="190" t="s">
        <v>1604</v>
      </c>
      <c r="E108" s="190"/>
      <c r="F108" s="190"/>
      <c r="G108" s="109" t="s">
        <v>1605</v>
      </c>
      <c r="H108" s="110" t="s">
        <v>1606</v>
      </c>
      <c r="I108" s="111">
        <v>2500000</v>
      </c>
      <c r="J108" s="191" t="s">
        <v>1607</v>
      </c>
      <c r="K108" s="191"/>
      <c r="L108" s="112" t="s">
        <v>1608</v>
      </c>
      <c r="M108" s="192" t="s">
        <v>1609</v>
      </c>
      <c r="N108" s="192"/>
      <c r="O108" s="192"/>
      <c r="P108" s="192"/>
      <c r="Q108" s="192"/>
      <c r="R108" s="193" t="s">
        <v>1610</v>
      </c>
      <c r="S108" s="193"/>
      <c r="T108" s="193"/>
      <c r="V108" s="108"/>
    </row>
    <row r="109" spans="1:22" ht="60" customHeight="1">
      <c r="A109" s="178" t="s">
        <v>6865</v>
      </c>
      <c r="B109" s="178"/>
      <c r="C109" s="178"/>
      <c r="D109" s="190" t="s">
        <v>1611</v>
      </c>
      <c r="E109" s="190"/>
      <c r="F109" s="190"/>
      <c r="G109" s="109" t="s">
        <v>1605</v>
      </c>
      <c r="H109" s="110" t="s">
        <v>1606</v>
      </c>
      <c r="I109" s="111">
        <v>2200000</v>
      </c>
      <c r="J109" s="191" t="s">
        <v>1612</v>
      </c>
      <c r="K109" s="191"/>
      <c r="L109" s="112" t="s">
        <v>1613</v>
      </c>
      <c r="M109" s="192" t="s">
        <v>1614</v>
      </c>
      <c r="N109" s="192"/>
      <c r="O109" s="192"/>
      <c r="P109" s="192"/>
      <c r="Q109" s="192"/>
      <c r="R109" s="193" t="s">
        <v>1615</v>
      </c>
      <c r="S109" s="193"/>
      <c r="T109" s="193"/>
      <c r="V109" s="108"/>
    </row>
    <row r="110" spans="1:22" ht="60" customHeight="1">
      <c r="A110" s="178" t="s">
        <v>6866</v>
      </c>
      <c r="B110" s="178"/>
      <c r="C110" s="178"/>
      <c r="D110" s="190" t="s">
        <v>1616</v>
      </c>
      <c r="E110" s="190"/>
      <c r="F110" s="190"/>
      <c r="G110" s="109" t="s">
        <v>1605</v>
      </c>
      <c r="H110" s="110" t="s">
        <v>1606</v>
      </c>
      <c r="I110" s="111">
        <v>1700000</v>
      </c>
      <c r="J110" s="191" t="s">
        <v>1617</v>
      </c>
      <c r="K110" s="191"/>
      <c r="L110" s="112" t="s">
        <v>1618</v>
      </c>
      <c r="M110" s="192" t="s">
        <v>1619</v>
      </c>
      <c r="N110" s="192"/>
      <c r="O110" s="192"/>
      <c r="P110" s="192"/>
      <c r="Q110" s="192"/>
      <c r="R110" s="193" t="s">
        <v>1620</v>
      </c>
      <c r="S110" s="193"/>
      <c r="T110" s="193"/>
      <c r="V110" s="108"/>
    </row>
    <row r="111" spans="1:22" ht="60" customHeight="1">
      <c r="A111" s="178" t="s">
        <v>6867</v>
      </c>
      <c r="B111" s="178"/>
      <c r="C111" s="178"/>
      <c r="D111" s="190" t="s">
        <v>1621</v>
      </c>
      <c r="E111" s="190"/>
      <c r="F111" s="190"/>
      <c r="G111" s="109" t="s">
        <v>1605</v>
      </c>
      <c r="H111" s="110" t="s">
        <v>1606</v>
      </c>
      <c r="I111" s="111">
        <v>900000</v>
      </c>
      <c r="J111" s="191" t="s">
        <v>1622</v>
      </c>
      <c r="K111" s="191"/>
      <c r="L111" s="112" t="s">
        <v>1623</v>
      </c>
      <c r="M111" s="192" t="s">
        <v>1624</v>
      </c>
      <c r="N111" s="192"/>
      <c r="O111" s="192"/>
      <c r="P111" s="192"/>
      <c r="Q111" s="192"/>
      <c r="R111" s="193" t="s">
        <v>1625</v>
      </c>
      <c r="S111" s="193"/>
      <c r="T111" s="193"/>
      <c r="V111" s="108"/>
    </row>
    <row r="112" spans="1:22" ht="60" customHeight="1">
      <c r="A112" s="178" t="s">
        <v>6868</v>
      </c>
      <c r="B112" s="178"/>
      <c r="C112" s="178"/>
      <c r="D112" s="190" t="s">
        <v>1626</v>
      </c>
      <c r="E112" s="190"/>
      <c r="F112" s="190"/>
      <c r="G112" s="109" t="s">
        <v>1605</v>
      </c>
      <c r="H112" s="110" t="s">
        <v>1606</v>
      </c>
      <c r="I112" s="111">
        <v>1400000</v>
      </c>
      <c r="J112" s="191" t="s">
        <v>1627</v>
      </c>
      <c r="K112" s="191"/>
      <c r="L112" s="112" t="s">
        <v>1628</v>
      </c>
      <c r="M112" s="192" t="s">
        <v>1629</v>
      </c>
      <c r="N112" s="192"/>
      <c r="O112" s="192"/>
      <c r="P112" s="192"/>
      <c r="Q112" s="192"/>
      <c r="R112" s="193" t="s">
        <v>1630</v>
      </c>
      <c r="S112" s="193"/>
      <c r="T112" s="193"/>
      <c r="V112" s="108"/>
    </row>
    <row r="113" spans="1:22" ht="60" customHeight="1">
      <c r="A113" s="178" t="s">
        <v>6869</v>
      </c>
      <c r="B113" s="178"/>
      <c r="C113" s="178"/>
      <c r="D113" s="190" t="s">
        <v>1631</v>
      </c>
      <c r="E113" s="190"/>
      <c r="F113" s="190"/>
      <c r="G113" s="109" t="s">
        <v>1605</v>
      </c>
      <c r="H113" s="110" t="s">
        <v>1606</v>
      </c>
      <c r="I113" s="111">
        <v>1800000</v>
      </c>
      <c r="J113" s="191" t="s">
        <v>1632</v>
      </c>
      <c r="K113" s="191"/>
      <c r="L113" s="112" t="s">
        <v>1633</v>
      </c>
      <c r="M113" s="192" t="s">
        <v>1634</v>
      </c>
      <c r="N113" s="192"/>
      <c r="O113" s="192"/>
      <c r="P113" s="192"/>
      <c r="Q113" s="192"/>
      <c r="R113" s="193" t="s">
        <v>1635</v>
      </c>
      <c r="S113" s="193"/>
      <c r="T113" s="193"/>
      <c r="V113" s="108"/>
    </row>
    <row r="114" spans="1:22" ht="60" customHeight="1">
      <c r="A114" s="178" t="s">
        <v>6870</v>
      </c>
      <c r="B114" s="178"/>
      <c r="C114" s="178"/>
      <c r="D114" s="190" t="s">
        <v>1636</v>
      </c>
      <c r="E114" s="190"/>
      <c r="F114" s="190"/>
      <c r="G114" s="109" t="s">
        <v>1605</v>
      </c>
      <c r="H114" s="110" t="s">
        <v>1606</v>
      </c>
      <c r="I114" s="111">
        <v>2200000</v>
      </c>
      <c r="J114" s="191" t="s">
        <v>1637</v>
      </c>
      <c r="K114" s="191"/>
      <c r="L114" s="112" t="s">
        <v>1638</v>
      </c>
      <c r="M114" s="192" t="s">
        <v>1639</v>
      </c>
      <c r="N114" s="192"/>
      <c r="O114" s="192"/>
      <c r="P114" s="192"/>
      <c r="Q114" s="192"/>
      <c r="R114" s="193" t="s">
        <v>1640</v>
      </c>
      <c r="S114" s="193"/>
      <c r="T114" s="193"/>
      <c r="V114" s="108"/>
    </row>
    <row r="115" spans="1:22" ht="60" customHeight="1">
      <c r="A115" s="178" t="s">
        <v>6871</v>
      </c>
      <c r="B115" s="178"/>
      <c r="C115" s="178"/>
      <c r="D115" s="190" t="s">
        <v>1641</v>
      </c>
      <c r="E115" s="190"/>
      <c r="F115" s="190"/>
      <c r="G115" s="109" t="s">
        <v>1605</v>
      </c>
      <c r="H115" s="110" t="s">
        <v>1606</v>
      </c>
      <c r="I115" s="111">
        <v>900000</v>
      </c>
      <c r="J115" s="191" t="s">
        <v>1642</v>
      </c>
      <c r="K115" s="191"/>
      <c r="L115" s="112" t="s">
        <v>1643</v>
      </c>
      <c r="M115" s="192" t="s">
        <v>1644</v>
      </c>
      <c r="N115" s="192"/>
      <c r="O115" s="192"/>
      <c r="P115" s="192"/>
      <c r="Q115" s="192"/>
      <c r="R115" s="193" t="s">
        <v>1645</v>
      </c>
      <c r="S115" s="193"/>
      <c r="T115" s="193"/>
      <c r="V115" s="108"/>
    </row>
    <row r="116" spans="1:22" ht="60" customHeight="1">
      <c r="A116" s="178" t="s">
        <v>6872</v>
      </c>
      <c r="B116" s="178"/>
      <c r="C116" s="178"/>
      <c r="D116" s="190" t="s">
        <v>1646</v>
      </c>
      <c r="E116" s="190"/>
      <c r="F116" s="190"/>
      <c r="G116" s="109" t="s">
        <v>1605</v>
      </c>
      <c r="H116" s="110" t="s">
        <v>1606</v>
      </c>
      <c r="I116" s="111">
        <v>2700000</v>
      </c>
      <c r="J116" s="191" t="s">
        <v>1647</v>
      </c>
      <c r="K116" s="191"/>
      <c r="L116" s="112" t="s">
        <v>1648</v>
      </c>
      <c r="M116" s="192" t="s">
        <v>1649</v>
      </c>
      <c r="N116" s="192"/>
      <c r="O116" s="192"/>
      <c r="P116" s="192"/>
      <c r="Q116" s="192"/>
      <c r="R116" s="193" t="s">
        <v>1650</v>
      </c>
      <c r="S116" s="193"/>
      <c r="T116" s="193"/>
      <c r="V116" s="108"/>
    </row>
    <row r="117" spans="1:22" ht="60" customHeight="1">
      <c r="A117" s="178" t="s">
        <v>6873</v>
      </c>
      <c r="B117" s="178"/>
      <c r="C117" s="178"/>
      <c r="D117" s="190" t="s">
        <v>1651</v>
      </c>
      <c r="E117" s="190"/>
      <c r="F117" s="190"/>
      <c r="G117" s="109" t="s">
        <v>1605</v>
      </c>
      <c r="H117" s="110" t="s">
        <v>1606</v>
      </c>
      <c r="I117" s="111">
        <v>1400000</v>
      </c>
      <c r="J117" s="191" t="s">
        <v>1652</v>
      </c>
      <c r="K117" s="191"/>
      <c r="L117" s="112" t="s">
        <v>1653</v>
      </c>
      <c r="M117" s="192" t="s">
        <v>1654</v>
      </c>
      <c r="N117" s="192"/>
      <c r="O117" s="192"/>
      <c r="P117" s="192"/>
      <c r="Q117" s="192"/>
      <c r="R117" s="193" t="s">
        <v>1655</v>
      </c>
      <c r="S117" s="193"/>
      <c r="T117" s="193"/>
      <c r="V117" s="108"/>
    </row>
    <row r="118" spans="1:22" ht="60" customHeight="1">
      <c r="A118" s="178" t="s">
        <v>6874</v>
      </c>
      <c r="B118" s="178"/>
      <c r="C118" s="178"/>
      <c r="D118" s="190" t="s">
        <v>1656</v>
      </c>
      <c r="E118" s="190"/>
      <c r="F118" s="190"/>
      <c r="G118" s="109" t="s">
        <v>1605</v>
      </c>
      <c r="H118" s="110" t="s">
        <v>1606</v>
      </c>
      <c r="I118" s="111">
        <v>2500000</v>
      </c>
      <c r="J118" s="191" t="s">
        <v>1657</v>
      </c>
      <c r="K118" s="191"/>
      <c r="L118" s="112" t="s">
        <v>1658</v>
      </c>
      <c r="M118" s="192" t="s">
        <v>1659</v>
      </c>
      <c r="N118" s="192"/>
      <c r="O118" s="192"/>
      <c r="P118" s="192"/>
      <c r="Q118" s="192"/>
      <c r="R118" s="193" t="s">
        <v>1660</v>
      </c>
      <c r="S118" s="193"/>
      <c r="T118" s="193"/>
      <c r="V118" s="108"/>
    </row>
    <row r="119" spans="1:22" ht="60" customHeight="1">
      <c r="A119" s="178" t="s">
        <v>6875</v>
      </c>
      <c r="B119" s="178"/>
      <c r="C119" s="178"/>
      <c r="D119" s="190" t="s">
        <v>1661</v>
      </c>
      <c r="E119" s="190"/>
      <c r="F119" s="190"/>
      <c r="G119" s="109" t="s">
        <v>1605</v>
      </c>
      <c r="H119" s="110" t="s">
        <v>1606</v>
      </c>
      <c r="I119" s="111">
        <v>800000</v>
      </c>
      <c r="J119" s="191" t="s">
        <v>1662</v>
      </c>
      <c r="K119" s="191"/>
      <c r="L119" s="112" t="s">
        <v>1663</v>
      </c>
      <c r="M119" s="192" t="s">
        <v>1664</v>
      </c>
      <c r="N119" s="192"/>
      <c r="O119" s="192"/>
      <c r="P119" s="192"/>
      <c r="Q119" s="192"/>
      <c r="R119" s="193" t="s">
        <v>1665</v>
      </c>
      <c r="S119" s="193"/>
      <c r="T119" s="193"/>
      <c r="V119" s="108"/>
    </row>
    <row r="120" spans="1:22" ht="60" customHeight="1">
      <c r="A120" s="178" t="s">
        <v>6876</v>
      </c>
      <c r="B120" s="178"/>
      <c r="C120" s="178"/>
      <c r="D120" s="190" t="s">
        <v>1666</v>
      </c>
      <c r="E120" s="190"/>
      <c r="F120" s="190"/>
      <c r="G120" s="109" t="s">
        <v>1667</v>
      </c>
      <c r="H120" s="110" t="s">
        <v>1606</v>
      </c>
      <c r="I120" s="111">
        <v>1400000</v>
      </c>
      <c r="J120" s="191" t="s">
        <v>1668</v>
      </c>
      <c r="K120" s="191"/>
      <c r="L120" s="112" t="s">
        <v>1669</v>
      </c>
      <c r="M120" s="192" t="s">
        <v>1670</v>
      </c>
      <c r="N120" s="192"/>
      <c r="O120" s="192"/>
      <c r="P120" s="192"/>
      <c r="Q120" s="192"/>
      <c r="R120" s="193" t="s">
        <v>1671</v>
      </c>
      <c r="S120" s="193"/>
      <c r="T120" s="193"/>
      <c r="V120" s="108"/>
    </row>
    <row r="121" spans="1:22" ht="60" customHeight="1">
      <c r="A121" s="178" t="s">
        <v>6877</v>
      </c>
      <c r="B121" s="178"/>
      <c r="C121" s="178"/>
      <c r="D121" s="190" t="s">
        <v>1672</v>
      </c>
      <c r="E121" s="190"/>
      <c r="F121" s="190"/>
      <c r="G121" s="109" t="s">
        <v>1667</v>
      </c>
      <c r="H121" s="110" t="s">
        <v>1606</v>
      </c>
      <c r="I121" s="111">
        <v>800000</v>
      </c>
      <c r="J121" s="191" t="s">
        <v>1673</v>
      </c>
      <c r="K121" s="191"/>
      <c r="L121" s="112" t="s">
        <v>1674</v>
      </c>
      <c r="M121" s="192" t="s">
        <v>1675</v>
      </c>
      <c r="N121" s="192"/>
      <c r="O121" s="192"/>
      <c r="P121" s="192"/>
      <c r="Q121" s="192"/>
      <c r="R121" s="193" t="s">
        <v>1676</v>
      </c>
      <c r="S121" s="193"/>
      <c r="T121" s="193"/>
      <c r="V121" s="108"/>
    </row>
    <row r="122" spans="1:22" ht="60" customHeight="1">
      <c r="A122" s="178" t="s">
        <v>6878</v>
      </c>
      <c r="B122" s="178"/>
      <c r="C122" s="178"/>
      <c r="D122" s="190" t="s">
        <v>1677</v>
      </c>
      <c r="E122" s="190"/>
      <c r="F122" s="190"/>
      <c r="G122" s="109" t="s">
        <v>1667</v>
      </c>
      <c r="H122" s="110" t="s">
        <v>1606</v>
      </c>
      <c r="I122" s="111">
        <v>600000</v>
      </c>
      <c r="J122" s="191" t="s">
        <v>1678</v>
      </c>
      <c r="K122" s="191"/>
      <c r="L122" s="112" t="s">
        <v>1674</v>
      </c>
      <c r="M122" s="192" t="s">
        <v>1679</v>
      </c>
      <c r="N122" s="192"/>
      <c r="O122" s="192"/>
      <c r="P122" s="192"/>
      <c r="Q122" s="192"/>
      <c r="R122" s="193" t="s">
        <v>1680</v>
      </c>
      <c r="S122" s="193"/>
      <c r="T122" s="193"/>
      <c r="V122" s="108"/>
    </row>
    <row r="123" spans="1:22" ht="60" customHeight="1">
      <c r="A123" s="178" t="s">
        <v>6879</v>
      </c>
      <c r="B123" s="178"/>
      <c r="C123" s="178"/>
      <c r="D123" s="190" t="s">
        <v>1681</v>
      </c>
      <c r="E123" s="190"/>
      <c r="F123" s="190"/>
      <c r="G123" s="109" t="s">
        <v>1667</v>
      </c>
      <c r="H123" s="110" t="s">
        <v>1606</v>
      </c>
      <c r="I123" s="111">
        <v>1300000</v>
      </c>
      <c r="J123" s="191" t="s">
        <v>1682</v>
      </c>
      <c r="K123" s="191"/>
      <c r="L123" s="112" t="s">
        <v>1683</v>
      </c>
      <c r="M123" s="192" t="s">
        <v>1684</v>
      </c>
      <c r="N123" s="192"/>
      <c r="O123" s="192"/>
      <c r="P123" s="192"/>
      <c r="Q123" s="192"/>
      <c r="R123" s="193" t="s">
        <v>1685</v>
      </c>
      <c r="S123" s="193"/>
      <c r="T123" s="193"/>
      <c r="V123" s="108"/>
    </row>
    <row r="124" spans="1:22" ht="60" customHeight="1">
      <c r="A124" s="178" t="s">
        <v>6880</v>
      </c>
      <c r="B124" s="178"/>
      <c r="C124" s="178"/>
      <c r="D124" s="190" t="s">
        <v>1686</v>
      </c>
      <c r="E124" s="190"/>
      <c r="F124" s="190"/>
      <c r="G124" s="109" t="s">
        <v>1667</v>
      </c>
      <c r="H124" s="110" t="s">
        <v>1606</v>
      </c>
      <c r="I124" s="111">
        <v>900000</v>
      </c>
      <c r="J124" s="191" t="s">
        <v>1687</v>
      </c>
      <c r="K124" s="191"/>
      <c r="L124" s="112" t="s">
        <v>1688</v>
      </c>
      <c r="M124" s="192" t="s">
        <v>1689</v>
      </c>
      <c r="N124" s="192"/>
      <c r="O124" s="192"/>
      <c r="P124" s="192"/>
      <c r="Q124" s="192"/>
      <c r="R124" s="193" t="s">
        <v>1690</v>
      </c>
      <c r="S124" s="193"/>
      <c r="T124" s="193"/>
      <c r="V124" s="108"/>
    </row>
    <row r="125" spans="1:22" ht="60" customHeight="1">
      <c r="A125" s="178" t="s">
        <v>6881</v>
      </c>
      <c r="B125" s="178"/>
      <c r="C125" s="178"/>
      <c r="D125" s="190" t="s">
        <v>1691</v>
      </c>
      <c r="E125" s="190"/>
      <c r="F125" s="190"/>
      <c r="G125" s="109" t="s">
        <v>1667</v>
      </c>
      <c r="H125" s="110" t="s">
        <v>1606</v>
      </c>
      <c r="I125" s="111">
        <v>800000</v>
      </c>
      <c r="J125" s="191" t="s">
        <v>1692</v>
      </c>
      <c r="K125" s="191"/>
      <c r="L125" s="112" t="s">
        <v>1693</v>
      </c>
      <c r="M125" s="192" t="s">
        <v>1694</v>
      </c>
      <c r="N125" s="192"/>
      <c r="O125" s="192"/>
      <c r="P125" s="192"/>
      <c r="Q125" s="192"/>
      <c r="R125" s="193" t="s">
        <v>1695</v>
      </c>
      <c r="S125" s="193"/>
      <c r="T125" s="193"/>
      <c r="V125" s="108"/>
    </row>
    <row r="126" spans="1:22" ht="60" customHeight="1">
      <c r="A126" s="178" t="s">
        <v>6882</v>
      </c>
      <c r="B126" s="178"/>
      <c r="C126" s="178"/>
      <c r="D126" s="190" t="s">
        <v>1696</v>
      </c>
      <c r="E126" s="190"/>
      <c r="F126" s="190"/>
      <c r="G126" s="109" t="s">
        <v>1667</v>
      </c>
      <c r="H126" s="110" t="s">
        <v>1606</v>
      </c>
      <c r="I126" s="111">
        <v>400000</v>
      </c>
      <c r="J126" s="191" t="s">
        <v>1697</v>
      </c>
      <c r="K126" s="191"/>
      <c r="L126" s="112" t="s">
        <v>1698</v>
      </c>
      <c r="M126" s="192" t="s">
        <v>1699</v>
      </c>
      <c r="N126" s="192"/>
      <c r="O126" s="192"/>
      <c r="P126" s="192"/>
      <c r="Q126" s="192"/>
      <c r="R126" s="193" t="s">
        <v>1700</v>
      </c>
      <c r="S126" s="193"/>
      <c r="T126" s="193"/>
      <c r="V126" s="108"/>
    </row>
    <row r="127" spans="1:22" ht="60" customHeight="1">
      <c r="A127" s="178" t="s">
        <v>6883</v>
      </c>
      <c r="B127" s="178"/>
      <c r="C127" s="178"/>
      <c r="D127" s="190" t="s">
        <v>1701</v>
      </c>
      <c r="E127" s="190"/>
      <c r="F127" s="190"/>
      <c r="G127" s="109" t="s">
        <v>1667</v>
      </c>
      <c r="H127" s="110" t="s">
        <v>1606</v>
      </c>
      <c r="I127" s="111">
        <v>2200000</v>
      </c>
      <c r="J127" s="191" t="s">
        <v>1702</v>
      </c>
      <c r="K127" s="191"/>
      <c r="L127" s="112" t="s">
        <v>1703</v>
      </c>
      <c r="M127" s="192" t="s">
        <v>1704</v>
      </c>
      <c r="N127" s="192"/>
      <c r="O127" s="192"/>
      <c r="P127" s="192"/>
      <c r="Q127" s="192"/>
      <c r="R127" s="193" t="s">
        <v>1705</v>
      </c>
      <c r="S127" s="193"/>
      <c r="T127" s="193"/>
      <c r="V127" s="108"/>
    </row>
    <row r="128" spans="1:22" ht="60" customHeight="1">
      <c r="A128" s="178" t="s">
        <v>6884</v>
      </c>
      <c r="B128" s="178"/>
      <c r="C128" s="178"/>
      <c r="D128" s="190" t="s">
        <v>1706</v>
      </c>
      <c r="E128" s="190"/>
      <c r="F128" s="190"/>
      <c r="G128" s="109" t="s">
        <v>1667</v>
      </c>
      <c r="H128" s="110" t="s">
        <v>1606</v>
      </c>
      <c r="I128" s="111">
        <v>2600000</v>
      </c>
      <c r="J128" s="191" t="s">
        <v>1707</v>
      </c>
      <c r="K128" s="191"/>
      <c r="L128" s="112" t="s">
        <v>1708</v>
      </c>
      <c r="M128" s="192" t="s">
        <v>1709</v>
      </c>
      <c r="N128" s="192"/>
      <c r="O128" s="192"/>
      <c r="P128" s="192"/>
      <c r="Q128" s="192"/>
      <c r="R128" s="193" t="s">
        <v>1710</v>
      </c>
      <c r="S128" s="193"/>
      <c r="T128" s="193"/>
      <c r="V128" s="108"/>
    </row>
    <row r="129" spans="1:22" ht="60" customHeight="1">
      <c r="A129" s="178" t="s">
        <v>6885</v>
      </c>
      <c r="B129" s="178"/>
      <c r="C129" s="178"/>
      <c r="D129" s="190" t="s">
        <v>1711</v>
      </c>
      <c r="E129" s="190"/>
      <c r="F129" s="190"/>
      <c r="G129" s="109" t="s">
        <v>1667</v>
      </c>
      <c r="H129" s="110" t="s">
        <v>1606</v>
      </c>
      <c r="I129" s="111">
        <v>800000</v>
      </c>
      <c r="J129" s="191" t="s">
        <v>1712</v>
      </c>
      <c r="K129" s="191"/>
      <c r="L129" s="112" t="s">
        <v>1713</v>
      </c>
      <c r="M129" s="192" t="s">
        <v>1714</v>
      </c>
      <c r="N129" s="192"/>
      <c r="O129" s="192"/>
      <c r="P129" s="192"/>
      <c r="Q129" s="192"/>
      <c r="R129" s="193" t="s">
        <v>1715</v>
      </c>
      <c r="S129" s="193"/>
      <c r="T129" s="193"/>
      <c r="V129" s="108"/>
    </row>
    <row r="130" spans="1:22" ht="60" customHeight="1">
      <c r="A130" s="178" t="s">
        <v>6886</v>
      </c>
      <c r="B130" s="178"/>
      <c r="C130" s="178"/>
      <c r="D130" s="190" t="s">
        <v>1716</v>
      </c>
      <c r="E130" s="190"/>
      <c r="F130" s="190"/>
      <c r="G130" s="109" t="s">
        <v>1667</v>
      </c>
      <c r="H130" s="110" t="s">
        <v>1606</v>
      </c>
      <c r="I130" s="111">
        <v>1100000</v>
      </c>
      <c r="J130" s="191" t="s">
        <v>1717</v>
      </c>
      <c r="K130" s="191"/>
      <c r="L130" s="112" t="s">
        <v>1718</v>
      </c>
      <c r="M130" s="192" t="s">
        <v>1719</v>
      </c>
      <c r="N130" s="192"/>
      <c r="O130" s="192"/>
      <c r="P130" s="192"/>
      <c r="Q130" s="192"/>
      <c r="R130" s="193" t="s">
        <v>1720</v>
      </c>
      <c r="S130" s="193"/>
      <c r="T130" s="193"/>
      <c r="V130" s="108"/>
    </row>
    <row r="131" spans="1:22" ht="60" customHeight="1">
      <c r="A131" s="178" t="s">
        <v>6887</v>
      </c>
      <c r="B131" s="178"/>
      <c r="C131" s="178"/>
      <c r="D131" s="190" t="s">
        <v>1721</v>
      </c>
      <c r="E131" s="190"/>
      <c r="F131" s="190"/>
      <c r="G131" s="109" t="s">
        <v>1667</v>
      </c>
      <c r="H131" s="110" t="s">
        <v>1606</v>
      </c>
      <c r="I131" s="111">
        <v>900000</v>
      </c>
      <c r="J131" s="191" t="s">
        <v>1722</v>
      </c>
      <c r="K131" s="191"/>
      <c r="L131" s="112" t="s">
        <v>1723</v>
      </c>
      <c r="M131" s="192" t="s">
        <v>1724</v>
      </c>
      <c r="N131" s="192"/>
      <c r="O131" s="192"/>
      <c r="P131" s="192"/>
      <c r="Q131" s="192"/>
      <c r="R131" s="193" t="s">
        <v>1725</v>
      </c>
      <c r="S131" s="193"/>
      <c r="T131" s="193"/>
      <c r="V131" s="108"/>
    </row>
    <row r="132" spans="1:22" ht="60" customHeight="1">
      <c r="A132" s="178" t="s">
        <v>6888</v>
      </c>
      <c r="B132" s="178"/>
      <c r="C132" s="178"/>
      <c r="D132" s="190" t="s">
        <v>1726</v>
      </c>
      <c r="E132" s="190"/>
      <c r="F132" s="190"/>
      <c r="G132" s="109" t="s">
        <v>1667</v>
      </c>
      <c r="H132" s="110" t="s">
        <v>1606</v>
      </c>
      <c r="I132" s="111">
        <v>1800000</v>
      </c>
      <c r="J132" s="191" t="s">
        <v>1727</v>
      </c>
      <c r="K132" s="191"/>
      <c r="L132" s="112" t="s">
        <v>1728</v>
      </c>
      <c r="M132" s="192" t="s">
        <v>1729</v>
      </c>
      <c r="N132" s="192"/>
      <c r="O132" s="192"/>
      <c r="P132" s="192"/>
      <c r="Q132" s="192"/>
      <c r="R132" s="193" t="s">
        <v>1730</v>
      </c>
      <c r="S132" s="193"/>
      <c r="T132" s="193"/>
      <c r="V132" s="108"/>
    </row>
    <row r="133" spans="1:22" ht="60" customHeight="1">
      <c r="A133" s="178" t="s">
        <v>6889</v>
      </c>
      <c r="B133" s="178"/>
      <c r="C133" s="178"/>
      <c r="D133" s="190" t="s">
        <v>1731</v>
      </c>
      <c r="E133" s="190"/>
      <c r="F133" s="190"/>
      <c r="G133" s="109" t="s">
        <v>1667</v>
      </c>
      <c r="H133" s="110" t="s">
        <v>1606</v>
      </c>
      <c r="I133" s="111">
        <v>900000</v>
      </c>
      <c r="J133" s="191" t="s">
        <v>1732</v>
      </c>
      <c r="K133" s="191"/>
      <c r="L133" s="112" t="s">
        <v>1733</v>
      </c>
      <c r="M133" s="192" t="s">
        <v>1734</v>
      </c>
      <c r="N133" s="192"/>
      <c r="O133" s="192"/>
      <c r="P133" s="192"/>
      <c r="Q133" s="192"/>
      <c r="R133" s="193" t="s">
        <v>1735</v>
      </c>
      <c r="S133" s="193"/>
      <c r="T133" s="193"/>
      <c r="V133" s="108"/>
    </row>
    <row r="134" spans="1:22" ht="60" customHeight="1">
      <c r="A134" s="178" t="s">
        <v>6890</v>
      </c>
      <c r="B134" s="178"/>
      <c r="C134" s="178"/>
      <c r="D134" s="190" t="s">
        <v>1736</v>
      </c>
      <c r="E134" s="190"/>
      <c r="F134" s="190"/>
      <c r="G134" s="109" t="s">
        <v>1667</v>
      </c>
      <c r="H134" s="110" t="s">
        <v>1606</v>
      </c>
      <c r="I134" s="111">
        <v>800000</v>
      </c>
      <c r="J134" s="191" t="s">
        <v>1737</v>
      </c>
      <c r="K134" s="191"/>
      <c r="L134" s="112" t="s">
        <v>1738</v>
      </c>
      <c r="M134" s="192" t="s">
        <v>1739</v>
      </c>
      <c r="N134" s="192"/>
      <c r="O134" s="192"/>
      <c r="P134" s="192"/>
      <c r="Q134" s="192"/>
      <c r="R134" s="193" t="s">
        <v>1740</v>
      </c>
      <c r="S134" s="193"/>
      <c r="T134" s="193"/>
      <c r="V134" s="108"/>
    </row>
    <row r="135" spans="1:22" ht="60" customHeight="1">
      <c r="A135" s="178" t="s">
        <v>6891</v>
      </c>
      <c r="B135" s="178"/>
      <c r="C135" s="178"/>
      <c r="D135" s="190" t="s">
        <v>1741</v>
      </c>
      <c r="E135" s="190"/>
      <c r="F135" s="190"/>
      <c r="G135" s="109" t="s">
        <v>1667</v>
      </c>
      <c r="H135" s="110" t="s">
        <v>1606</v>
      </c>
      <c r="I135" s="111">
        <v>3200000</v>
      </c>
      <c r="J135" s="191" t="s">
        <v>1742</v>
      </c>
      <c r="K135" s="191"/>
      <c r="L135" s="112" t="s">
        <v>1743</v>
      </c>
      <c r="M135" s="192" t="s">
        <v>1744</v>
      </c>
      <c r="N135" s="192"/>
      <c r="O135" s="192"/>
      <c r="P135" s="192"/>
      <c r="Q135" s="192"/>
      <c r="R135" s="193" t="s">
        <v>1745</v>
      </c>
      <c r="S135" s="193"/>
      <c r="T135" s="193"/>
      <c r="V135" s="108"/>
    </row>
    <row r="136" spans="1:22" ht="60" customHeight="1">
      <c r="A136" s="178" t="s">
        <v>6892</v>
      </c>
      <c r="B136" s="178"/>
      <c r="C136" s="178"/>
      <c r="D136" s="190" t="s">
        <v>1746</v>
      </c>
      <c r="E136" s="190"/>
      <c r="F136" s="190"/>
      <c r="G136" s="109" t="s">
        <v>1667</v>
      </c>
      <c r="H136" s="110" t="s">
        <v>1606</v>
      </c>
      <c r="I136" s="111">
        <v>1400000</v>
      </c>
      <c r="J136" s="191" t="s">
        <v>1747</v>
      </c>
      <c r="K136" s="191"/>
      <c r="L136" s="112" t="s">
        <v>1748</v>
      </c>
      <c r="M136" s="192" t="s">
        <v>1749</v>
      </c>
      <c r="N136" s="192"/>
      <c r="O136" s="192"/>
      <c r="P136" s="192"/>
      <c r="Q136" s="192"/>
      <c r="R136" s="193" t="s">
        <v>1750</v>
      </c>
      <c r="S136" s="193"/>
      <c r="T136" s="193"/>
      <c r="V136" s="108"/>
    </row>
    <row r="137" spans="1:22" ht="60" customHeight="1">
      <c r="A137" s="178" t="s">
        <v>6893</v>
      </c>
      <c r="B137" s="178"/>
      <c r="C137" s="178"/>
      <c r="D137" s="190" t="s">
        <v>1751</v>
      </c>
      <c r="E137" s="190"/>
      <c r="F137" s="190"/>
      <c r="G137" s="109" t="s">
        <v>1667</v>
      </c>
      <c r="H137" s="110" t="s">
        <v>1606</v>
      </c>
      <c r="I137" s="111">
        <v>2200000</v>
      </c>
      <c r="J137" s="191" t="s">
        <v>1752</v>
      </c>
      <c r="K137" s="191"/>
      <c r="L137" s="112" t="s">
        <v>1753</v>
      </c>
      <c r="M137" s="192" t="s">
        <v>1754</v>
      </c>
      <c r="N137" s="192"/>
      <c r="O137" s="192"/>
      <c r="P137" s="192"/>
      <c r="Q137" s="192"/>
      <c r="R137" s="193" t="s">
        <v>1755</v>
      </c>
      <c r="S137" s="193"/>
      <c r="T137" s="193"/>
      <c r="V137" s="108"/>
    </row>
    <row r="138" spans="1:22" ht="60" customHeight="1">
      <c r="A138" s="178" t="s">
        <v>6894</v>
      </c>
      <c r="B138" s="178"/>
      <c r="C138" s="178"/>
      <c r="D138" s="190" t="s">
        <v>1756</v>
      </c>
      <c r="E138" s="190"/>
      <c r="F138" s="190"/>
      <c r="G138" s="109" t="s">
        <v>1667</v>
      </c>
      <c r="H138" s="110" t="s">
        <v>1606</v>
      </c>
      <c r="I138" s="111">
        <v>800000</v>
      </c>
      <c r="J138" s="191" t="s">
        <v>1757</v>
      </c>
      <c r="K138" s="191"/>
      <c r="L138" s="112" t="s">
        <v>1758</v>
      </c>
      <c r="M138" s="192" t="s">
        <v>1759</v>
      </c>
      <c r="N138" s="192"/>
      <c r="O138" s="192"/>
      <c r="P138" s="192"/>
      <c r="Q138" s="192"/>
      <c r="R138" s="193" t="s">
        <v>1760</v>
      </c>
      <c r="S138" s="193"/>
      <c r="T138" s="193"/>
      <c r="V138" s="108"/>
    </row>
    <row r="139" spans="1:22" ht="60" customHeight="1">
      <c r="A139" s="178" t="s">
        <v>6895</v>
      </c>
      <c r="B139" s="178"/>
      <c r="C139" s="178"/>
      <c r="D139" s="190" t="s">
        <v>1761</v>
      </c>
      <c r="E139" s="190"/>
      <c r="F139" s="190"/>
      <c r="G139" s="109" t="s">
        <v>1667</v>
      </c>
      <c r="H139" s="110" t="s">
        <v>1606</v>
      </c>
      <c r="I139" s="111">
        <v>900000</v>
      </c>
      <c r="J139" s="191" t="s">
        <v>1762</v>
      </c>
      <c r="K139" s="191"/>
      <c r="L139" s="112" t="s">
        <v>1763</v>
      </c>
      <c r="M139" s="192" t="s">
        <v>1764</v>
      </c>
      <c r="N139" s="192"/>
      <c r="O139" s="192"/>
      <c r="P139" s="192"/>
      <c r="Q139" s="192"/>
      <c r="R139" s="193" t="s">
        <v>1765</v>
      </c>
      <c r="S139" s="193"/>
      <c r="T139" s="193"/>
      <c r="V139" s="108"/>
    </row>
    <row r="140" spans="1:22" ht="60" customHeight="1">
      <c r="A140" s="178" t="s">
        <v>6896</v>
      </c>
      <c r="B140" s="178"/>
      <c r="C140" s="178"/>
      <c r="D140" s="190" t="s">
        <v>1766</v>
      </c>
      <c r="E140" s="190"/>
      <c r="F140" s="190"/>
      <c r="G140" s="109" t="s">
        <v>1667</v>
      </c>
      <c r="H140" s="110" t="s">
        <v>1606</v>
      </c>
      <c r="I140" s="111">
        <v>1400000</v>
      </c>
      <c r="J140" s="191" t="s">
        <v>1767</v>
      </c>
      <c r="K140" s="191"/>
      <c r="L140" s="112" t="s">
        <v>1768</v>
      </c>
      <c r="M140" s="192" t="s">
        <v>1769</v>
      </c>
      <c r="N140" s="192"/>
      <c r="O140" s="192"/>
      <c r="P140" s="192"/>
      <c r="Q140" s="192"/>
      <c r="R140" s="193" t="s">
        <v>1770</v>
      </c>
      <c r="S140" s="193"/>
      <c r="T140" s="193"/>
      <c r="V140" s="108"/>
    </row>
    <row r="141" spans="1:22" ht="60" customHeight="1">
      <c r="A141" s="178" t="s">
        <v>6897</v>
      </c>
      <c r="B141" s="178"/>
      <c r="C141" s="178"/>
      <c r="D141" s="190" t="s">
        <v>1771</v>
      </c>
      <c r="E141" s="190"/>
      <c r="F141" s="190"/>
      <c r="G141" s="109" t="s">
        <v>1772</v>
      </c>
      <c r="H141" s="110" t="s">
        <v>1606</v>
      </c>
      <c r="I141" s="111">
        <v>1800000</v>
      </c>
      <c r="J141" s="191" t="s">
        <v>1773</v>
      </c>
      <c r="K141" s="191"/>
      <c r="L141" s="112" t="s">
        <v>1774</v>
      </c>
      <c r="M141" s="192" t="s">
        <v>1775</v>
      </c>
      <c r="N141" s="192"/>
      <c r="O141" s="192"/>
      <c r="P141" s="192"/>
      <c r="Q141" s="192"/>
      <c r="R141" s="193" t="s">
        <v>1776</v>
      </c>
      <c r="S141" s="193"/>
      <c r="T141" s="193"/>
      <c r="V141" s="108"/>
    </row>
    <row r="142" spans="1:22" ht="60" customHeight="1">
      <c r="A142" s="178" t="s">
        <v>6898</v>
      </c>
      <c r="B142" s="178"/>
      <c r="C142" s="178"/>
      <c r="D142" s="190" t="s">
        <v>1777</v>
      </c>
      <c r="E142" s="190"/>
      <c r="F142" s="190"/>
      <c r="G142" s="109" t="s">
        <v>1772</v>
      </c>
      <c r="H142" s="110" t="s">
        <v>1606</v>
      </c>
      <c r="I142" s="111">
        <v>2600000</v>
      </c>
      <c r="J142" s="191" t="s">
        <v>1778</v>
      </c>
      <c r="K142" s="191"/>
      <c r="L142" s="112" t="s">
        <v>1779</v>
      </c>
      <c r="M142" s="192" t="s">
        <v>1780</v>
      </c>
      <c r="N142" s="192"/>
      <c r="O142" s="192"/>
      <c r="P142" s="192"/>
      <c r="Q142" s="192"/>
      <c r="R142" s="193" t="s">
        <v>1781</v>
      </c>
      <c r="S142" s="193"/>
      <c r="T142" s="193"/>
      <c r="V142" s="108"/>
    </row>
    <row r="143" spans="1:22" ht="60" customHeight="1">
      <c r="A143" s="178" t="s">
        <v>6899</v>
      </c>
      <c r="B143" s="178"/>
      <c r="C143" s="178"/>
      <c r="D143" s="190" t="s">
        <v>1782</v>
      </c>
      <c r="E143" s="190"/>
      <c r="F143" s="190"/>
      <c r="G143" s="109" t="s">
        <v>1772</v>
      </c>
      <c r="H143" s="110" t="s">
        <v>1606</v>
      </c>
      <c r="I143" s="111">
        <v>900000</v>
      </c>
      <c r="J143" s="191" t="s">
        <v>1783</v>
      </c>
      <c r="K143" s="191"/>
      <c r="L143" s="112" t="s">
        <v>1784</v>
      </c>
      <c r="M143" s="192" t="s">
        <v>1785</v>
      </c>
      <c r="N143" s="192"/>
      <c r="O143" s="192"/>
      <c r="P143" s="192"/>
      <c r="Q143" s="192"/>
      <c r="R143" s="193" t="s">
        <v>1786</v>
      </c>
      <c r="S143" s="193"/>
      <c r="T143" s="193"/>
      <c r="V143" s="108"/>
    </row>
    <row r="144" spans="1:22" ht="60" customHeight="1">
      <c r="A144" s="178" t="s">
        <v>6900</v>
      </c>
      <c r="B144" s="178"/>
      <c r="C144" s="178"/>
      <c r="D144" s="190" t="s">
        <v>1787</v>
      </c>
      <c r="E144" s="190"/>
      <c r="F144" s="190"/>
      <c r="G144" s="109" t="s">
        <v>1772</v>
      </c>
      <c r="H144" s="110" t="s">
        <v>1606</v>
      </c>
      <c r="I144" s="111">
        <v>500000</v>
      </c>
      <c r="J144" s="191" t="s">
        <v>1788</v>
      </c>
      <c r="K144" s="191"/>
      <c r="L144" s="112" t="s">
        <v>1789</v>
      </c>
      <c r="M144" s="192" t="s">
        <v>1790</v>
      </c>
      <c r="N144" s="192"/>
      <c r="O144" s="192"/>
      <c r="P144" s="192"/>
      <c r="Q144" s="192"/>
      <c r="R144" s="193" t="s">
        <v>1791</v>
      </c>
      <c r="S144" s="193"/>
      <c r="T144" s="193"/>
      <c r="V144" s="108"/>
    </row>
    <row r="145" spans="1:22" ht="60" customHeight="1">
      <c r="A145" s="178" t="s">
        <v>6901</v>
      </c>
      <c r="B145" s="178"/>
      <c r="C145" s="178"/>
      <c r="D145" s="190" t="s">
        <v>1792</v>
      </c>
      <c r="E145" s="190"/>
      <c r="F145" s="190"/>
      <c r="G145" s="109" t="s">
        <v>1772</v>
      </c>
      <c r="H145" s="110" t="s">
        <v>1606</v>
      </c>
      <c r="I145" s="111">
        <v>1100000</v>
      </c>
      <c r="J145" s="191" t="s">
        <v>1793</v>
      </c>
      <c r="K145" s="191"/>
      <c r="L145" s="112" t="s">
        <v>1794</v>
      </c>
      <c r="M145" s="192" t="s">
        <v>1795</v>
      </c>
      <c r="N145" s="192"/>
      <c r="O145" s="192"/>
      <c r="P145" s="192"/>
      <c r="Q145" s="192"/>
      <c r="R145" s="193" t="s">
        <v>1796</v>
      </c>
      <c r="S145" s="193"/>
      <c r="T145" s="193"/>
      <c r="V145" s="108"/>
    </row>
    <row r="146" spans="1:22" ht="60" customHeight="1">
      <c r="A146" s="178" t="s">
        <v>6902</v>
      </c>
      <c r="B146" s="178"/>
      <c r="C146" s="178"/>
      <c r="D146" s="190" t="s">
        <v>1797</v>
      </c>
      <c r="E146" s="190"/>
      <c r="F146" s="190"/>
      <c r="G146" s="109" t="s">
        <v>1772</v>
      </c>
      <c r="H146" s="110" t="s">
        <v>1606</v>
      </c>
      <c r="I146" s="111">
        <v>1300000</v>
      </c>
      <c r="J146" s="191" t="s">
        <v>1798</v>
      </c>
      <c r="K146" s="191"/>
      <c r="L146" s="112" t="s">
        <v>1799</v>
      </c>
      <c r="M146" s="192" t="s">
        <v>1800</v>
      </c>
      <c r="N146" s="192"/>
      <c r="O146" s="192"/>
      <c r="P146" s="192"/>
      <c r="Q146" s="192"/>
      <c r="R146" s="193" t="s">
        <v>1801</v>
      </c>
      <c r="S146" s="193"/>
      <c r="T146" s="193"/>
      <c r="V146" s="108"/>
    </row>
    <row r="147" spans="1:22" ht="60" customHeight="1">
      <c r="A147" s="178" t="s">
        <v>6903</v>
      </c>
      <c r="B147" s="178"/>
      <c r="C147" s="178"/>
      <c r="D147" s="190" t="s">
        <v>1802</v>
      </c>
      <c r="E147" s="190"/>
      <c r="F147" s="190"/>
      <c r="G147" s="109" t="s">
        <v>1803</v>
      </c>
      <c r="H147" s="110" t="s">
        <v>1606</v>
      </c>
      <c r="I147" s="111">
        <v>900000</v>
      </c>
      <c r="J147" s="191" t="s">
        <v>1804</v>
      </c>
      <c r="K147" s="191"/>
      <c r="L147" s="112" t="s">
        <v>1805</v>
      </c>
      <c r="M147" s="192" t="s">
        <v>1806</v>
      </c>
      <c r="N147" s="192"/>
      <c r="O147" s="192"/>
      <c r="P147" s="192"/>
      <c r="Q147" s="192"/>
      <c r="R147" s="193" t="s">
        <v>1807</v>
      </c>
      <c r="S147" s="193"/>
      <c r="T147" s="193"/>
      <c r="V147" s="108"/>
    </row>
    <row r="148" spans="1:22" ht="60" customHeight="1">
      <c r="A148" s="178" t="s">
        <v>6904</v>
      </c>
      <c r="B148" s="178"/>
      <c r="C148" s="178"/>
      <c r="D148" s="190" t="s">
        <v>1808</v>
      </c>
      <c r="E148" s="190"/>
      <c r="F148" s="190"/>
      <c r="G148" s="109" t="s">
        <v>1803</v>
      </c>
      <c r="H148" s="110" t="s">
        <v>1606</v>
      </c>
      <c r="I148" s="111">
        <v>1800000</v>
      </c>
      <c r="J148" s="191" t="s">
        <v>1809</v>
      </c>
      <c r="K148" s="191"/>
      <c r="L148" s="112" t="s">
        <v>1810</v>
      </c>
      <c r="M148" s="192" t="s">
        <v>1811</v>
      </c>
      <c r="N148" s="192"/>
      <c r="O148" s="192"/>
      <c r="P148" s="192"/>
      <c r="Q148" s="192"/>
      <c r="R148" s="193" t="s">
        <v>1812</v>
      </c>
      <c r="S148" s="193"/>
      <c r="T148" s="193"/>
      <c r="V148" s="108"/>
    </row>
    <row r="149" spans="1:22" ht="60" customHeight="1">
      <c r="A149" s="178" t="s">
        <v>6905</v>
      </c>
      <c r="B149" s="178"/>
      <c r="C149" s="178"/>
      <c r="D149" s="190" t="s">
        <v>1813</v>
      </c>
      <c r="E149" s="190"/>
      <c r="F149" s="190"/>
      <c r="G149" s="109" t="s">
        <v>1803</v>
      </c>
      <c r="H149" s="110" t="s">
        <v>1606</v>
      </c>
      <c r="I149" s="111">
        <v>800000</v>
      </c>
      <c r="J149" s="191" t="s">
        <v>1814</v>
      </c>
      <c r="K149" s="191"/>
      <c r="L149" s="112" t="s">
        <v>1815</v>
      </c>
      <c r="M149" s="192" t="s">
        <v>1816</v>
      </c>
      <c r="N149" s="192"/>
      <c r="O149" s="192"/>
      <c r="P149" s="192"/>
      <c r="Q149" s="192"/>
      <c r="R149" s="193" t="s">
        <v>1817</v>
      </c>
      <c r="S149" s="193"/>
      <c r="T149" s="193"/>
      <c r="V149" s="108"/>
    </row>
    <row r="150" spans="1:22" ht="60" customHeight="1">
      <c r="A150" s="178" t="s">
        <v>6906</v>
      </c>
      <c r="B150" s="178"/>
      <c r="C150" s="178"/>
      <c r="D150" s="190" t="s">
        <v>1818</v>
      </c>
      <c r="E150" s="190"/>
      <c r="F150" s="190"/>
      <c r="G150" s="109" t="s">
        <v>1803</v>
      </c>
      <c r="H150" s="110" t="s">
        <v>1606</v>
      </c>
      <c r="I150" s="111">
        <v>2200000</v>
      </c>
      <c r="J150" s="191" t="s">
        <v>1819</v>
      </c>
      <c r="K150" s="191"/>
      <c r="L150" s="112" t="s">
        <v>1820</v>
      </c>
      <c r="M150" s="192" t="s">
        <v>1821</v>
      </c>
      <c r="N150" s="192"/>
      <c r="O150" s="192"/>
      <c r="P150" s="192"/>
      <c r="Q150" s="192"/>
      <c r="R150" s="193" t="s">
        <v>1822</v>
      </c>
      <c r="S150" s="193"/>
      <c r="T150" s="193"/>
      <c r="V150" s="108"/>
    </row>
    <row r="151" spans="1:22" ht="60" customHeight="1">
      <c r="A151" s="178" t="s">
        <v>6907</v>
      </c>
      <c r="B151" s="178"/>
      <c r="C151" s="178"/>
      <c r="D151" s="190" t="s">
        <v>1823</v>
      </c>
      <c r="E151" s="190"/>
      <c r="F151" s="190"/>
      <c r="G151" s="109" t="s">
        <v>1803</v>
      </c>
      <c r="H151" s="110" t="s">
        <v>1606</v>
      </c>
      <c r="I151" s="111">
        <v>900000</v>
      </c>
      <c r="J151" s="191" t="s">
        <v>1824</v>
      </c>
      <c r="K151" s="191"/>
      <c r="L151" s="112" t="s">
        <v>1825</v>
      </c>
      <c r="M151" s="192" t="s">
        <v>1826</v>
      </c>
      <c r="N151" s="192"/>
      <c r="O151" s="192"/>
      <c r="P151" s="192"/>
      <c r="Q151" s="192"/>
      <c r="R151" s="193" t="s">
        <v>1827</v>
      </c>
      <c r="S151" s="193"/>
      <c r="T151" s="193"/>
      <c r="V151" s="108"/>
    </row>
    <row r="152" spans="1:22" ht="60" customHeight="1">
      <c r="A152" s="178" t="s">
        <v>6908</v>
      </c>
      <c r="B152" s="178"/>
      <c r="C152" s="178"/>
      <c r="D152" s="190" t="s">
        <v>1828</v>
      </c>
      <c r="E152" s="190"/>
      <c r="F152" s="190"/>
      <c r="G152" s="109" t="s">
        <v>1803</v>
      </c>
      <c r="H152" s="110" t="s">
        <v>1606</v>
      </c>
      <c r="I152" s="111">
        <v>800000</v>
      </c>
      <c r="J152" s="191" t="s">
        <v>1829</v>
      </c>
      <c r="K152" s="191"/>
      <c r="L152" s="112" t="s">
        <v>1830</v>
      </c>
      <c r="M152" s="192" t="s">
        <v>1831</v>
      </c>
      <c r="N152" s="192"/>
      <c r="O152" s="192"/>
      <c r="P152" s="192"/>
      <c r="Q152" s="192"/>
      <c r="R152" s="193" t="s">
        <v>1832</v>
      </c>
      <c r="S152" s="193"/>
      <c r="T152" s="193"/>
      <c r="V152" s="108"/>
    </row>
    <row r="153" spans="1:22" ht="60" customHeight="1">
      <c r="A153" s="178" t="s">
        <v>6909</v>
      </c>
      <c r="B153" s="178"/>
      <c r="C153" s="178"/>
      <c r="D153" s="190" t="s">
        <v>1833</v>
      </c>
      <c r="E153" s="190"/>
      <c r="F153" s="190"/>
      <c r="G153" s="109" t="s">
        <v>1803</v>
      </c>
      <c r="H153" s="110" t="s">
        <v>1606</v>
      </c>
      <c r="I153" s="111">
        <v>1400000</v>
      </c>
      <c r="J153" s="191" t="s">
        <v>1834</v>
      </c>
      <c r="K153" s="191"/>
      <c r="L153" s="112" t="s">
        <v>1835</v>
      </c>
      <c r="M153" s="192" t="s">
        <v>1836</v>
      </c>
      <c r="N153" s="192"/>
      <c r="O153" s="192"/>
      <c r="P153" s="192"/>
      <c r="Q153" s="192"/>
      <c r="R153" s="193" t="s">
        <v>1837</v>
      </c>
      <c r="S153" s="193"/>
      <c r="T153" s="193"/>
      <c r="V153" s="108"/>
    </row>
    <row r="154" spans="1:22" ht="60" customHeight="1">
      <c r="A154" s="178" t="s">
        <v>6910</v>
      </c>
      <c r="B154" s="178"/>
      <c r="C154" s="178"/>
      <c r="D154" s="190" t="s">
        <v>1838</v>
      </c>
      <c r="E154" s="190"/>
      <c r="F154" s="190"/>
      <c r="G154" s="109" t="s">
        <v>1803</v>
      </c>
      <c r="H154" s="110" t="s">
        <v>1606</v>
      </c>
      <c r="I154" s="111">
        <v>2300000</v>
      </c>
      <c r="J154" s="191" t="s">
        <v>1839</v>
      </c>
      <c r="K154" s="191"/>
      <c r="L154" s="112" t="s">
        <v>1840</v>
      </c>
      <c r="M154" s="192" t="s">
        <v>1841</v>
      </c>
      <c r="N154" s="192"/>
      <c r="O154" s="192"/>
      <c r="P154" s="192"/>
      <c r="Q154" s="192"/>
      <c r="R154" s="193" t="s">
        <v>1842</v>
      </c>
      <c r="S154" s="193"/>
      <c r="T154" s="193"/>
      <c r="V154" s="108"/>
    </row>
    <row r="155" spans="1:22" ht="60" customHeight="1">
      <c r="A155" s="178" t="s">
        <v>6911</v>
      </c>
      <c r="B155" s="178"/>
      <c r="C155" s="178"/>
      <c r="D155" s="190" t="s">
        <v>1843</v>
      </c>
      <c r="E155" s="190"/>
      <c r="F155" s="190"/>
      <c r="G155" s="109" t="s">
        <v>1803</v>
      </c>
      <c r="H155" s="110" t="s">
        <v>1606</v>
      </c>
      <c r="I155" s="111">
        <v>800000</v>
      </c>
      <c r="J155" s="191" t="s">
        <v>1844</v>
      </c>
      <c r="K155" s="191"/>
      <c r="L155" s="112" t="s">
        <v>1845</v>
      </c>
      <c r="M155" s="192" t="s">
        <v>1846</v>
      </c>
      <c r="N155" s="192"/>
      <c r="O155" s="192"/>
      <c r="P155" s="192"/>
      <c r="Q155" s="192"/>
      <c r="R155" s="193" t="s">
        <v>1847</v>
      </c>
      <c r="S155" s="193"/>
      <c r="T155" s="193"/>
      <c r="V155" s="108"/>
    </row>
    <row r="156" spans="1:22" ht="60" customHeight="1">
      <c r="A156" s="178" t="s">
        <v>6912</v>
      </c>
      <c r="B156" s="178"/>
      <c r="C156" s="178"/>
      <c r="D156" s="190" t="s">
        <v>1848</v>
      </c>
      <c r="E156" s="190"/>
      <c r="F156" s="190"/>
      <c r="G156" s="109" t="s">
        <v>1803</v>
      </c>
      <c r="H156" s="110" t="s">
        <v>1606</v>
      </c>
      <c r="I156" s="111">
        <v>800000</v>
      </c>
      <c r="J156" s="191" t="s">
        <v>1849</v>
      </c>
      <c r="K156" s="191"/>
      <c r="L156" s="112" t="s">
        <v>1850</v>
      </c>
      <c r="M156" s="192" t="s">
        <v>1851</v>
      </c>
      <c r="N156" s="192"/>
      <c r="O156" s="192"/>
      <c r="P156" s="192"/>
      <c r="Q156" s="192"/>
      <c r="R156" s="193" t="s">
        <v>1852</v>
      </c>
      <c r="S156" s="193"/>
      <c r="T156" s="193"/>
      <c r="V156" s="108"/>
    </row>
    <row r="157" spans="1:22" ht="60" customHeight="1">
      <c r="A157" s="178" t="s">
        <v>6913</v>
      </c>
      <c r="B157" s="178"/>
      <c r="C157" s="178"/>
      <c r="D157" s="190" t="s">
        <v>1853</v>
      </c>
      <c r="E157" s="190"/>
      <c r="F157" s="190"/>
      <c r="G157" s="109" t="s">
        <v>1803</v>
      </c>
      <c r="H157" s="110" t="s">
        <v>1606</v>
      </c>
      <c r="I157" s="111">
        <v>800000</v>
      </c>
      <c r="J157" s="191" t="s">
        <v>1854</v>
      </c>
      <c r="K157" s="191"/>
      <c r="L157" s="112" t="s">
        <v>1855</v>
      </c>
      <c r="M157" s="192" t="s">
        <v>1856</v>
      </c>
      <c r="N157" s="192"/>
      <c r="O157" s="192"/>
      <c r="P157" s="192"/>
      <c r="Q157" s="192"/>
      <c r="R157" s="193" t="s">
        <v>1857</v>
      </c>
      <c r="S157" s="193"/>
      <c r="T157" s="193"/>
      <c r="V157" s="108"/>
    </row>
    <row r="158" spans="1:22" ht="60" customHeight="1">
      <c r="A158" s="178" t="s">
        <v>6914</v>
      </c>
      <c r="B158" s="178"/>
      <c r="C158" s="178"/>
      <c r="D158" s="190" t="s">
        <v>1858</v>
      </c>
      <c r="E158" s="190"/>
      <c r="F158" s="190"/>
      <c r="G158" s="109" t="s">
        <v>1803</v>
      </c>
      <c r="H158" s="110" t="s">
        <v>1606</v>
      </c>
      <c r="I158" s="111">
        <v>1800000</v>
      </c>
      <c r="J158" s="191" t="s">
        <v>1859</v>
      </c>
      <c r="K158" s="191"/>
      <c r="L158" s="112" t="s">
        <v>1860</v>
      </c>
      <c r="M158" s="192" t="s">
        <v>1861</v>
      </c>
      <c r="N158" s="192"/>
      <c r="O158" s="192"/>
      <c r="P158" s="192"/>
      <c r="Q158" s="192"/>
      <c r="R158" s="193" t="s">
        <v>1862</v>
      </c>
      <c r="S158" s="193"/>
      <c r="T158" s="193"/>
      <c r="V158" s="108"/>
    </row>
    <row r="159" spans="1:22" ht="60" customHeight="1">
      <c r="A159" s="178" t="s">
        <v>6915</v>
      </c>
      <c r="B159" s="178"/>
      <c r="C159" s="178"/>
      <c r="D159" s="190" t="s">
        <v>1863</v>
      </c>
      <c r="E159" s="190"/>
      <c r="F159" s="190"/>
      <c r="G159" s="109" t="s">
        <v>1803</v>
      </c>
      <c r="H159" s="110" t="s">
        <v>1606</v>
      </c>
      <c r="I159" s="111">
        <v>900000</v>
      </c>
      <c r="J159" s="191" t="s">
        <v>1864</v>
      </c>
      <c r="K159" s="191"/>
      <c r="L159" s="112" t="s">
        <v>1865</v>
      </c>
      <c r="M159" s="192" t="s">
        <v>1866</v>
      </c>
      <c r="N159" s="192"/>
      <c r="O159" s="192"/>
      <c r="P159" s="192"/>
      <c r="Q159" s="192"/>
      <c r="R159" s="193" t="s">
        <v>1867</v>
      </c>
      <c r="S159" s="193"/>
      <c r="T159" s="193"/>
      <c r="V159" s="108"/>
    </row>
    <row r="160" spans="1:22" ht="30" customHeight="1">
      <c r="A160" s="188"/>
      <c r="B160" s="188"/>
      <c r="C160" s="188"/>
      <c r="D160" s="188"/>
      <c r="E160" s="188"/>
      <c r="F160" s="188"/>
      <c r="G160" s="102" t="s">
        <v>1868</v>
      </c>
      <c r="H160" s="114" t="s">
        <v>1869</v>
      </c>
      <c r="I160" s="115">
        <f>SUM(I56:I159)</f>
        <v>152700000</v>
      </c>
      <c r="J160" s="188"/>
      <c r="K160" s="188"/>
      <c r="L160" s="113"/>
      <c r="M160" s="188"/>
      <c r="N160" s="188"/>
      <c r="O160" s="188"/>
      <c r="P160" s="188"/>
      <c r="Q160" s="188"/>
      <c r="R160" s="188"/>
      <c r="S160" s="188"/>
      <c r="T160" s="188"/>
      <c r="V160" s="108"/>
    </row>
    <row r="161" spans="1:22" ht="30" customHeight="1">
      <c r="A161" s="189" t="s">
        <v>1870</v>
      </c>
      <c r="B161" s="189"/>
      <c r="C161" s="189"/>
      <c r="D161" s="189"/>
      <c r="E161" s="189"/>
      <c r="F161" s="189"/>
      <c r="G161" s="189"/>
      <c r="H161" s="189"/>
      <c r="I161" s="189"/>
      <c r="J161" s="189"/>
      <c r="K161" s="189"/>
      <c r="L161" s="189"/>
      <c r="M161" s="189"/>
      <c r="N161" s="189"/>
      <c r="O161" s="189"/>
      <c r="P161" s="189"/>
      <c r="Q161" s="189"/>
      <c r="R161" s="189"/>
      <c r="S161" s="189"/>
      <c r="T161" s="99"/>
      <c r="V161" s="108"/>
    </row>
    <row r="162" spans="1:22" ht="31.05" customHeight="1">
      <c r="A162" s="187" t="s">
        <v>1871</v>
      </c>
      <c r="B162" s="187"/>
      <c r="C162" s="187"/>
      <c r="D162" s="187"/>
      <c r="E162" s="187"/>
      <c r="F162" s="187"/>
      <c r="G162" s="187"/>
      <c r="H162" s="187"/>
      <c r="I162" s="187"/>
      <c r="J162" s="187"/>
      <c r="K162" s="187"/>
      <c r="L162" s="187"/>
      <c r="M162" s="187"/>
      <c r="N162" s="187"/>
      <c r="O162" s="187"/>
      <c r="P162" s="187"/>
      <c r="Q162" s="187"/>
      <c r="R162" s="187"/>
      <c r="S162" s="99"/>
      <c r="T162" s="99"/>
      <c r="V162" s="108"/>
    </row>
  </sheetData>
  <autoFilter ref="A7:U162" xr:uid="{62BF6446-9C62-4010-864B-E149A7048B62}">
    <filterColumn colId="0" showButton="0"/>
    <filterColumn colId="1" showButton="0"/>
    <filterColumn colId="3" showButton="0"/>
    <filterColumn colId="4" showButton="0"/>
    <filterColumn colId="9" showButton="0"/>
    <filterColumn colId="12" showButton="0"/>
    <filterColumn colId="13" showButton="0"/>
    <filterColumn colId="14" showButton="0"/>
    <filterColumn colId="15" showButton="0"/>
    <filterColumn colId="17" showButton="0"/>
    <filterColumn colId="18" showButton="0"/>
  </autoFilter>
  <mergeCells count="782">
    <mergeCell ref="A8:C8"/>
    <mergeCell ref="D8:F8"/>
    <mergeCell ref="J8:K8"/>
    <mergeCell ref="M8:Q8"/>
    <mergeCell ref="R8:T8"/>
    <mergeCell ref="A9:C9"/>
    <mergeCell ref="D9:F9"/>
    <mergeCell ref="J9:K9"/>
    <mergeCell ref="M9:Q9"/>
    <mergeCell ref="R9:T9"/>
    <mergeCell ref="R41:T41"/>
    <mergeCell ref="A42:C42"/>
    <mergeCell ref="D42:F42"/>
    <mergeCell ref="J42:K42"/>
    <mergeCell ref="M42:Q42"/>
    <mergeCell ref="R42:T42"/>
    <mergeCell ref="A40:C40"/>
    <mergeCell ref="D40:F40"/>
    <mergeCell ref="J40:K40"/>
    <mergeCell ref="M40:Q40"/>
    <mergeCell ref="R40:T40"/>
    <mergeCell ref="A39:C39"/>
    <mergeCell ref="D39:F39"/>
    <mergeCell ref="J39:K39"/>
    <mergeCell ref="M39:Q39"/>
    <mergeCell ref="R39:T39"/>
    <mergeCell ref="A36:C36"/>
    <mergeCell ref="D36:F36"/>
    <mergeCell ref="J36:K36"/>
    <mergeCell ref="A52:C52"/>
    <mergeCell ref="D52:F52"/>
    <mergeCell ref="J52:K52"/>
    <mergeCell ref="M52:Q52"/>
    <mergeCell ref="R52:T52"/>
    <mergeCell ref="A48:C48"/>
    <mergeCell ref="D48:F48"/>
    <mergeCell ref="J48:K48"/>
    <mergeCell ref="M48:Q48"/>
    <mergeCell ref="R48:T48"/>
    <mergeCell ref="A49:C49"/>
    <mergeCell ref="D49:F49"/>
    <mergeCell ref="J49:K49"/>
    <mergeCell ref="M49:Q49"/>
    <mergeCell ref="R49:T49"/>
    <mergeCell ref="A46:C46"/>
    <mergeCell ref="A53:C53"/>
    <mergeCell ref="D53:F53"/>
    <mergeCell ref="J53:K53"/>
    <mergeCell ref="M53:Q53"/>
    <mergeCell ref="R53:T53"/>
    <mergeCell ref="A50:C50"/>
    <mergeCell ref="D50:F50"/>
    <mergeCell ref="J50:K50"/>
    <mergeCell ref="M50:Q50"/>
    <mergeCell ref="R50:T50"/>
    <mergeCell ref="A51:C51"/>
    <mergeCell ref="D51:F51"/>
    <mergeCell ref="J51:K51"/>
    <mergeCell ref="M51:Q51"/>
    <mergeCell ref="R51:T51"/>
    <mergeCell ref="D46:F46"/>
    <mergeCell ref="J46:K46"/>
    <mergeCell ref="M46:Q46"/>
    <mergeCell ref="R46:T46"/>
    <mergeCell ref="A47:C47"/>
    <mergeCell ref="D47:F47"/>
    <mergeCell ref="J47:K47"/>
    <mergeCell ref="M47:Q47"/>
    <mergeCell ref="R47:T47"/>
    <mergeCell ref="A44:C44"/>
    <mergeCell ref="D44:F44"/>
    <mergeCell ref="J44:K44"/>
    <mergeCell ref="M44:Q44"/>
    <mergeCell ref="R44:T44"/>
    <mergeCell ref="A45:C45"/>
    <mergeCell ref="D45:F45"/>
    <mergeCell ref="J45:K45"/>
    <mergeCell ref="M45:Q45"/>
    <mergeCell ref="R45:T45"/>
    <mergeCell ref="B1:D1"/>
    <mergeCell ref="F1:M1"/>
    <mergeCell ref="O1:S1"/>
    <mergeCell ref="F2:M2"/>
    <mergeCell ref="O2:S2"/>
    <mergeCell ref="A3:T3"/>
    <mergeCell ref="A43:C43"/>
    <mergeCell ref="D43:F43"/>
    <mergeCell ref="J43:K43"/>
    <mergeCell ref="M43:Q43"/>
    <mergeCell ref="R43:T43"/>
    <mergeCell ref="A4:O4"/>
    <mergeCell ref="Q4:T4"/>
    <mergeCell ref="A5:T5"/>
    <mergeCell ref="C6:S6"/>
    <mergeCell ref="A7:C7"/>
    <mergeCell ref="D7:F7"/>
    <mergeCell ref="J7:K7"/>
    <mergeCell ref="M7:Q7"/>
    <mergeCell ref="R7:T7"/>
    <mergeCell ref="A41:C41"/>
    <mergeCell ref="D41:F41"/>
    <mergeCell ref="J41:K41"/>
    <mergeCell ref="M41:Q41"/>
    <mergeCell ref="A56:C56"/>
    <mergeCell ref="D56:F56"/>
    <mergeCell ref="J56:K56"/>
    <mergeCell ref="M56:Q56"/>
    <mergeCell ref="R56:T56"/>
    <mergeCell ref="A57:C57"/>
    <mergeCell ref="D57:F57"/>
    <mergeCell ref="J57:K57"/>
    <mergeCell ref="M57:Q57"/>
    <mergeCell ref="R57:T57"/>
    <mergeCell ref="A58:C58"/>
    <mergeCell ref="D58:F58"/>
    <mergeCell ref="J58:K58"/>
    <mergeCell ref="M58:Q58"/>
    <mergeCell ref="R58:T58"/>
    <mergeCell ref="A59:C59"/>
    <mergeCell ref="D59:F59"/>
    <mergeCell ref="J59:K59"/>
    <mergeCell ref="M59:Q59"/>
    <mergeCell ref="R59:T59"/>
    <mergeCell ref="A60:C60"/>
    <mergeCell ref="D60:F60"/>
    <mergeCell ref="J60:K60"/>
    <mergeCell ref="M60:Q60"/>
    <mergeCell ref="R60:T60"/>
    <mergeCell ref="A61:C61"/>
    <mergeCell ref="D61:F61"/>
    <mergeCell ref="J61:K61"/>
    <mergeCell ref="M61:Q61"/>
    <mergeCell ref="R61:T61"/>
    <mergeCell ref="A62:C62"/>
    <mergeCell ref="D62:F62"/>
    <mergeCell ref="J62:K62"/>
    <mergeCell ref="M62:Q62"/>
    <mergeCell ref="R62:T62"/>
    <mergeCell ref="A63:C63"/>
    <mergeCell ref="D63:F63"/>
    <mergeCell ref="J63:K63"/>
    <mergeCell ref="M63:Q63"/>
    <mergeCell ref="R63:T63"/>
    <mergeCell ref="A64:C64"/>
    <mergeCell ref="D64:F64"/>
    <mergeCell ref="J64:K64"/>
    <mergeCell ref="M64:Q64"/>
    <mergeCell ref="R64:T64"/>
    <mergeCell ref="A65:C65"/>
    <mergeCell ref="D65:F65"/>
    <mergeCell ref="J65:K65"/>
    <mergeCell ref="M65:Q65"/>
    <mergeCell ref="R65:T65"/>
    <mergeCell ref="A66:C66"/>
    <mergeCell ref="D66:F66"/>
    <mergeCell ref="J66:K66"/>
    <mergeCell ref="M66:Q66"/>
    <mergeCell ref="R66:T66"/>
    <mergeCell ref="A67:C67"/>
    <mergeCell ref="D67:F67"/>
    <mergeCell ref="J67:K67"/>
    <mergeCell ref="M67:Q67"/>
    <mergeCell ref="R67:T67"/>
    <mergeCell ref="A68:C68"/>
    <mergeCell ref="D68:F68"/>
    <mergeCell ref="J68:K68"/>
    <mergeCell ref="M68:Q68"/>
    <mergeCell ref="R68:T68"/>
    <mergeCell ref="A69:C69"/>
    <mergeCell ref="D69:F69"/>
    <mergeCell ref="J69:K69"/>
    <mergeCell ref="M69:Q69"/>
    <mergeCell ref="R69:T69"/>
    <mergeCell ref="A70:C70"/>
    <mergeCell ref="D70:F70"/>
    <mergeCell ref="J70:K70"/>
    <mergeCell ref="M70:Q70"/>
    <mergeCell ref="R70:T70"/>
    <mergeCell ref="A71:C71"/>
    <mergeCell ref="D71:F71"/>
    <mergeCell ref="J71:K71"/>
    <mergeCell ref="M71:Q71"/>
    <mergeCell ref="R71:T71"/>
    <mergeCell ref="A72:C72"/>
    <mergeCell ref="D72:F72"/>
    <mergeCell ref="J72:K72"/>
    <mergeCell ref="M72:Q72"/>
    <mergeCell ref="R72:T72"/>
    <mergeCell ref="A73:C73"/>
    <mergeCell ref="D73:F73"/>
    <mergeCell ref="J73:K73"/>
    <mergeCell ref="M73:Q73"/>
    <mergeCell ref="R73:T73"/>
    <mergeCell ref="A74:C74"/>
    <mergeCell ref="D74:F74"/>
    <mergeCell ref="J74:K74"/>
    <mergeCell ref="M74:Q74"/>
    <mergeCell ref="R74:T74"/>
    <mergeCell ref="A75:C75"/>
    <mergeCell ref="D75:F75"/>
    <mergeCell ref="J75:K75"/>
    <mergeCell ref="M75:Q75"/>
    <mergeCell ref="R75:T75"/>
    <mergeCell ref="A76:C76"/>
    <mergeCell ref="D76:F76"/>
    <mergeCell ref="J76:K76"/>
    <mergeCell ref="M76:Q76"/>
    <mergeCell ref="R76:T76"/>
    <mergeCell ref="A77:C77"/>
    <mergeCell ref="D77:F77"/>
    <mergeCell ref="J77:K77"/>
    <mergeCell ref="M77:Q77"/>
    <mergeCell ref="R77:T77"/>
    <mergeCell ref="A78:C78"/>
    <mergeCell ref="D78:F78"/>
    <mergeCell ref="J78:K78"/>
    <mergeCell ref="M78:Q78"/>
    <mergeCell ref="R78:T78"/>
    <mergeCell ref="A79:C79"/>
    <mergeCell ref="D79:F79"/>
    <mergeCell ref="J79:K79"/>
    <mergeCell ref="M79:Q79"/>
    <mergeCell ref="R79:T79"/>
    <mergeCell ref="A80:C80"/>
    <mergeCell ref="D80:F80"/>
    <mergeCell ref="J80:K80"/>
    <mergeCell ref="M80:Q80"/>
    <mergeCell ref="R80:T80"/>
    <mergeCell ref="A81:C81"/>
    <mergeCell ref="D81:F81"/>
    <mergeCell ref="J81:K81"/>
    <mergeCell ref="M81:Q81"/>
    <mergeCell ref="R81:T81"/>
    <mergeCell ref="A82:C82"/>
    <mergeCell ref="D82:F82"/>
    <mergeCell ref="J82:K82"/>
    <mergeCell ref="M82:Q82"/>
    <mergeCell ref="R82:T82"/>
    <mergeCell ref="A83:C83"/>
    <mergeCell ref="D83:F83"/>
    <mergeCell ref="J83:K83"/>
    <mergeCell ref="M83:Q83"/>
    <mergeCell ref="R83:T83"/>
    <mergeCell ref="A84:C84"/>
    <mergeCell ref="D84:F84"/>
    <mergeCell ref="J84:K84"/>
    <mergeCell ref="M84:Q84"/>
    <mergeCell ref="R84:T84"/>
    <mergeCell ref="A85:C85"/>
    <mergeCell ref="D85:F85"/>
    <mergeCell ref="J85:K85"/>
    <mergeCell ref="M85:Q85"/>
    <mergeCell ref="R85:T85"/>
    <mergeCell ref="A86:C86"/>
    <mergeCell ref="D86:F86"/>
    <mergeCell ref="J86:K86"/>
    <mergeCell ref="M86:Q86"/>
    <mergeCell ref="R86:T86"/>
    <mergeCell ref="A87:C87"/>
    <mergeCell ref="D87:F87"/>
    <mergeCell ref="J87:K87"/>
    <mergeCell ref="M87:Q87"/>
    <mergeCell ref="R87:T87"/>
    <mergeCell ref="A88:C88"/>
    <mergeCell ref="D88:F88"/>
    <mergeCell ref="J88:K88"/>
    <mergeCell ref="M88:Q88"/>
    <mergeCell ref="R88:T88"/>
    <mergeCell ref="A89:C89"/>
    <mergeCell ref="D89:F89"/>
    <mergeCell ref="J89:K89"/>
    <mergeCell ref="M89:Q89"/>
    <mergeCell ref="R89:T89"/>
    <mergeCell ref="A90:C90"/>
    <mergeCell ref="D90:F90"/>
    <mergeCell ref="J90:K90"/>
    <mergeCell ref="M90:Q90"/>
    <mergeCell ref="R90:T90"/>
    <mergeCell ref="A91:C91"/>
    <mergeCell ref="D91:F91"/>
    <mergeCell ref="J91:K91"/>
    <mergeCell ref="M91:Q91"/>
    <mergeCell ref="R91:T91"/>
    <mergeCell ref="A92:C92"/>
    <mergeCell ref="D92:F92"/>
    <mergeCell ref="J92:K92"/>
    <mergeCell ref="M92:Q92"/>
    <mergeCell ref="R92:T92"/>
    <mergeCell ref="A93:C93"/>
    <mergeCell ref="D93:F93"/>
    <mergeCell ref="J93:K93"/>
    <mergeCell ref="M93:Q93"/>
    <mergeCell ref="R93:T93"/>
    <mergeCell ref="A94:C94"/>
    <mergeCell ref="D94:F94"/>
    <mergeCell ref="J94:K94"/>
    <mergeCell ref="M94:Q94"/>
    <mergeCell ref="R94:T94"/>
    <mergeCell ref="A95:C95"/>
    <mergeCell ref="D95:F95"/>
    <mergeCell ref="J95:K95"/>
    <mergeCell ref="M95:Q95"/>
    <mergeCell ref="R95:T95"/>
    <mergeCell ref="A96:C96"/>
    <mergeCell ref="D96:F96"/>
    <mergeCell ref="J96:K96"/>
    <mergeCell ref="M96:Q96"/>
    <mergeCell ref="R96:T96"/>
    <mergeCell ref="A97:C97"/>
    <mergeCell ref="D97:F97"/>
    <mergeCell ref="J97:K97"/>
    <mergeCell ref="M97:Q97"/>
    <mergeCell ref="R97:T97"/>
    <mergeCell ref="A98:C98"/>
    <mergeCell ref="D98:F98"/>
    <mergeCell ref="J98:K98"/>
    <mergeCell ref="M98:Q98"/>
    <mergeCell ref="R98:T98"/>
    <mergeCell ref="A99:C99"/>
    <mergeCell ref="D99:F99"/>
    <mergeCell ref="J99:K99"/>
    <mergeCell ref="M99:Q99"/>
    <mergeCell ref="R99:T99"/>
    <mergeCell ref="A100:C100"/>
    <mergeCell ref="D100:F100"/>
    <mergeCell ref="J100:K100"/>
    <mergeCell ref="M100:Q100"/>
    <mergeCell ref="R100:T100"/>
    <mergeCell ref="A101:C101"/>
    <mergeCell ref="D101:F101"/>
    <mergeCell ref="J101:K101"/>
    <mergeCell ref="M101:Q101"/>
    <mergeCell ref="R101:T101"/>
    <mergeCell ref="A102:C102"/>
    <mergeCell ref="D102:F102"/>
    <mergeCell ref="J102:K102"/>
    <mergeCell ref="M102:Q102"/>
    <mergeCell ref="R102:T102"/>
    <mergeCell ref="A103:C103"/>
    <mergeCell ref="D103:F103"/>
    <mergeCell ref="J103:K103"/>
    <mergeCell ref="M103:Q103"/>
    <mergeCell ref="R103:T103"/>
    <mergeCell ref="A104:C104"/>
    <mergeCell ref="D104:F104"/>
    <mergeCell ref="J104:K104"/>
    <mergeCell ref="M104:Q104"/>
    <mergeCell ref="R104:T104"/>
    <mergeCell ref="A105:C105"/>
    <mergeCell ref="D105:F105"/>
    <mergeCell ref="J105:K105"/>
    <mergeCell ref="M105:Q105"/>
    <mergeCell ref="R105:T105"/>
    <mergeCell ref="A106:C106"/>
    <mergeCell ref="D106:F106"/>
    <mergeCell ref="J106:K106"/>
    <mergeCell ref="M106:Q106"/>
    <mergeCell ref="R106:T106"/>
    <mergeCell ref="A107:C107"/>
    <mergeCell ref="D107:F107"/>
    <mergeCell ref="J107:K107"/>
    <mergeCell ref="M107:Q107"/>
    <mergeCell ref="R107:T107"/>
    <mergeCell ref="A108:C108"/>
    <mergeCell ref="D108:F108"/>
    <mergeCell ref="J108:K108"/>
    <mergeCell ref="M108:Q108"/>
    <mergeCell ref="R108:T108"/>
    <mergeCell ref="A109:C109"/>
    <mergeCell ref="D109:F109"/>
    <mergeCell ref="J109:K109"/>
    <mergeCell ref="M109:Q109"/>
    <mergeCell ref="R109:T109"/>
    <mergeCell ref="A110:C110"/>
    <mergeCell ref="D110:F110"/>
    <mergeCell ref="J110:K110"/>
    <mergeCell ref="M110:Q110"/>
    <mergeCell ref="R110:T110"/>
    <mergeCell ref="A111:C111"/>
    <mergeCell ref="D111:F111"/>
    <mergeCell ref="J111:K111"/>
    <mergeCell ref="M111:Q111"/>
    <mergeCell ref="R111:T111"/>
    <mergeCell ref="A112:C112"/>
    <mergeCell ref="D112:F112"/>
    <mergeCell ref="J112:K112"/>
    <mergeCell ref="M112:Q112"/>
    <mergeCell ref="R112:T112"/>
    <mergeCell ref="A113:C113"/>
    <mergeCell ref="D113:F113"/>
    <mergeCell ref="J113:K113"/>
    <mergeCell ref="M113:Q113"/>
    <mergeCell ref="R113:T113"/>
    <mergeCell ref="A114:C114"/>
    <mergeCell ref="D114:F114"/>
    <mergeCell ref="J114:K114"/>
    <mergeCell ref="M114:Q114"/>
    <mergeCell ref="R114:T114"/>
    <mergeCell ref="A115:C115"/>
    <mergeCell ref="D115:F115"/>
    <mergeCell ref="J115:K115"/>
    <mergeCell ref="M115:Q115"/>
    <mergeCell ref="R115:T115"/>
    <mergeCell ref="A116:C116"/>
    <mergeCell ref="D116:F116"/>
    <mergeCell ref="J116:K116"/>
    <mergeCell ref="M116:Q116"/>
    <mergeCell ref="R116:T116"/>
    <mergeCell ref="A117:C117"/>
    <mergeCell ref="D117:F117"/>
    <mergeCell ref="J117:K117"/>
    <mergeCell ref="M117:Q117"/>
    <mergeCell ref="R117:T117"/>
    <mergeCell ref="A118:C118"/>
    <mergeCell ref="D118:F118"/>
    <mergeCell ref="J118:K118"/>
    <mergeCell ref="M118:Q118"/>
    <mergeCell ref="R118:T118"/>
    <mergeCell ref="A119:C119"/>
    <mergeCell ref="D119:F119"/>
    <mergeCell ref="J119:K119"/>
    <mergeCell ref="M119:Q119"/>
    <mergeCell ref="R119:T119"/>
    <mergeCell ref="A120:C120"/>
    <mergeCell ref="D120:F120"/>
    <mergeCell ref="J120:K120"/>
    <mergeCell ref="M120:Q120"/>
    <mergeCell ref="R120:T120"/>
    <mergeCell ref="A121:C121"/>
    <mergeCell ref="D121:F121"/>
    <mergeCell ref="J121:K121"/>
    <mergeCell ref="M121:Q121"/>
    <mergeCell ref="R121:T121"/>
    <mergeCell ref="A122:C122"/>
    <mergeCell ref="D122:F122"/>
    <mergeCell ref="J122:K122"/>
    <mergeCell ref="M122:Q122"/>
    <mergeCell ref="R122:T122"/>
    <mergeCell ref="A123:C123"/>
    <mergeCell ref="D123:F123"/>
    <mergeCell ref="J123:K123"/>
    <mergeCell ref="M123:Q123"/>
    <mergeCell ref="R123:T123"/>
    <mergeCell ref="A124:C124"/>
    <mergeCell ref="D124:F124"/>
    <mergeCell ref="J124:K124"/>
    <mergeCell ref="M124:Q124"/>
    <mergeCell ref="R124:T124"/>
    <mergeCell ref="A125:C125"/>
    <mergeCell ref="D125:F125"/>
    <mergeCell ref="J125:K125"/>
    <mergeCell ref="M125:Q125"/>
    <mergeCell ref="R125:T125"/>
    <mergeCell ref="A126:C126"/>
    <mergeCell ref="D126:F126"/>
    <mergeCell ref="J126:K126"/>
    <mergeCell ref="M126:Q126"/>
    <mergeCell ref="R126:T126"/>
    <mergeCell ref="A127:C127"/>
    <mergeCell ref="D127:F127"/>
    <mergeCell ref="J127:K127"/>
    <mergeCell ref="M127:Q127"/>
    <mergeCell ref="R127:T127"/>
    <mergeCell ref="A128:C128"/>
    <mergeCell ref="D128:F128"/>
    <mergeCell ref="J128:K128"/>
    <mergeCell ref="M128:Q128"/>
    <mergeCell ref="R128:T128"/>
    <mergeCell ref="A129:C129"/>
    <mergeCell ref="D129:F129"/>
    <mergeCell ref="J129:K129"/>
    <mergeCell ref="M129:Q129"/>
    <mergeCell ref="R129:T129"/>
    <mergeCell ref="A130:C130"/>
    <mergeCell ref="D130:F130"/>
    <mergeCell ref="J130:K130"/>
    <mergeCell ref="M130:Q130"/>
    <mergeCell ref="R130:T130"/>
    <mergeCell ref="A131:C131"/>
    <mergeCell ref="D131:F131"/>
    <mergeCell ref="J131:K131"/>
    <mergeCell ref="M131:Q131"/>
    <mergeCell ref="R131:T131"/>
    <mergeCell ref="A132:C132"/>
    <mergeCell ref="D132:F132"/>
    <mergeCell ref="J132:K132"/>
    <mergeCell ref="M132:Q132"/>
    <mergeCell ref="R132:T132"/>
    <mergeCell ref="A133:C133"/>
    <mergeCell ref="D133:F133"/>
    <mergeCell ref="J133:K133"/>
    <mergeCell ref="M133:Q133"/>
    <mergeCell ref="R133:T133"/>
    <mergeCell ref="A134:C134"/>
    <mergeCell ref="D134:F134"/>
    <mergeCell ref="J134:K134"/>
    <mergeCell ref="M134:Q134"/>
    <mergeCell ref="R134:T134"/>
    <mergeCell ref="A135:C135"/>
    <mergeCell ref="D135:F135"/>
    <mergeCell ref="J135:K135"/>
    <mergeCell ref="M135:Q135"/>
    <mergeCell ref="R135:T135"/>
    <mergeCell ref="A136:C136"/>
    <mergeCell ref="D136:F136"/>
    <mergeCell ref="J136:K136"/>
    <mergeCell ref="M136:Q136"/>
    <mergeCell ref="R136:T136"/>
    <mergeCell ref="A137:C137"/>
    <mergeCell ref="D137:F137"/>
    <mergeCell ref="J137:K137"/>
    <mergeCell ref="M137:Q137"/>
    <mergeCell ref="R137:T137"/>
    <mergeCell ref="A138:C138"/>
    <mergeCell ref="D138:F138"/>
    <mergeCell ref="J138:K138"/>
    <mergeCell ref="M138:Q138"/>
    <mergeCell ref="R138:T138"/>
    <mergeCell ref="A139:C139"/>
    <mergeCell ref="D139:F139"/>
    <mergeCell ref="J139:K139"/>
    <mergeCell ref="M139:Q139"/>
    <mergeCell ref="R139:T139"/>
    <mergeCell ref="A140:C140"/>
    <mergeCell ref="D140:F140"/>
    <mergeCell ref="J140:K140"/>
    <mergeCell ref="M140:Q140"/>
    <mergeCell ref="R140:T140"/>
    <mergeCell ref="A141:C141"/>
    <mergeCell ref="D141:F141"/>
    <mergeCell ref="J141:K141"/>
    <mergeCell ref="M141:Q141"/>
    <mergeCell ref="R141:T141"/>
    <mergeCell ref="A142:C142"/>
    <mergeCell ref="D142:F142"/>
    <mergeCell ref="J142:K142"/>
    <mergeCell ref="M142:Q142"/>
    <mergeCell ref="R142:T142"/>
    <mergeCell ref="A143:C143"/>
    <mergeCell ref="D143:F143"/>
    <mergeCell ref="J143:K143"/>
    <mergeCell ref="M143:Q143"/>
    <mergeCell ref="R143:T143"/>
    <mergeCell ref="A144:C144"/>
    <mergeCell ref="D144:F144"/>
    <mergeCell ref="J144:K144"/>
    <mergeCell ref="M144:Q144"/>
    <mergeCell ref="R144:T144"/>
    <mergeCell ref="A145:C145"/>
    <mergeCell ref="D145:F145"/>
    <mergeCell ref="J145:K145"/>
    <mergeCell ref="M145:Q145"/>
    <mergeCell ref="R145:T145"/>
    <mergeCell ref="A146:C146"/>
    <mergeCell ref="D146:F146"/>
    <mergeCell ref="J146:K146"/>
    <mergeCell ref="M146:Q146"/>
    <mergeCell ref="R146:T146"/>
    <mergeCell ref="A147:C147"/>
    <mergeCell ref="D147:F147"/>
    <mergeCell ref="J147:K147"/>
    <mergeCell ref="M147:Q147"/>
    <mergeCell ref="R147:T147"/>
    <mergeCell ref="A148:C148"/>
    <mergeCell ref="D148:F148"/>
    <mergeCell ref="J148:K148"/>
    <mergeCell ref="M148:Q148"/>
    <mergeCell ref="R148:T148"/>
    <mergeCell ref="A149:C149"/>
    <mergeCell ref="D149:F149"/>
    <mergeCell ref="J149:K149"/>
    <mergeCell ref="M149:Q149"/>
    <mergeCell ref="R149:T149"/>
    <mergeCell ref="A150:C150"/>
    <mergeCell ref="D150:F150"/>
    <mergeCell ref="J150:K150"/>
    <mergeCell ref="M150:Q150"/>
    <mergeCell ref="R150:T150"/>
    <mergeCell ref="A151:C151"/>
    <mergeCell ref="D151:F151"/>
    <mergeCell ref="J151:K151"/>
    <mergeCell ref="M151:Q151"/>
    <mergeCell ref="R151:T151"/>
    <mergeCell ref="A152:C152"/>
    <mergeCell ref="D152:F152"/>
    <mergeCell ref="J152:K152"/>
    <mergeCell ref="M152:Q152"/>
    <mergeCell ref="R152:T152"/>
    <mergeCell ref="A153:C153"/>
    <mergeCell ref="D153:F153"/>
    <mergeCell ref="J153:K153"/>
    <mergeCell ref="M153:Q153"/>
    <mergeCell ref="R153:T153"/>
    <mergeCell ref="A154:C154"/>
    <mergeCell ref="D154:F154"/>
    <mergeCell ref="J154:K154"/>
    <mergeCell ref="M154:Q154"/>
    <mergeCell ref="R154:T154"/>
    <mergeCell ref="A155:C155"/>
    <mergeCell ref="D155:F155"/>
    <mergeCell ref="J155:K155"/>
    <mergeCell ref="M155:Q155"/>
    <mergeCell ref="R155:T155"/>
    <mergeCell ref="J158:K158"/>
    <mergeCell ref="M158:Q158"/>
    <mergeCell ref="R158:T158"/>
    <mergeCell ref="A159:C159"/>
    <mergeCell ref="D159:F159"/>
    <mergeCell ref="J159:K159"/>
    <mergeCell ref="M159:Q159"/>
    <mergeCell ref="R159:T159"/>
    <mergeCell ref="A156:C156"/>
    <mergeCell ref="D156:F156"/>
    <mergeCell ref="J156:K156"/>
    <mergeCell ref="M156:Q156"/>
    <mergeCell ref="R156:T156"/>
    <mergeCell ref="A157:C157"/>
    <mergeCell ref="D157:F157"/>
    <mergeCell ref="J157:K157"/>
    <mergeCell ref="M157:Q157"/>
    <mergeCell ref="R157:T157"/>
    <mergeCell ref="A33:C33"/>
    <mergeCell ref="D33:F33"/>
    <mergeCell ref="J33:K33"/>
    <mergeCell ref="M33:Q33"/>
    <mergeCell ref="R33:T33"/>
    <mergeCell ref="R55:T55"/>
    <mergeCell ref="A162:R162"/>
    <mergeCell ref="A54:C54"/>
    <mergeCell ref="D54:F54"/>
    <mergeCell ref="J54:K54"/>
    <mergeCell ref="M54:Q54"/>
    <mergeCell ref="R54:T54"/>
    <mergeCell ref="A55:C55"/>
    <mergeCell ref="D55:F55"/>
    <mergeCell ref="J55:K55"/>
    <mergeCell ref="M55:Q55"/>
    <mergeCell ref="A160:C160"/>
    <mergeCell ref="D160:F160"/>
    <mergeCell ref="J160:K160"/>
    <mergeCell ref="M160:Q160"/>
    <mergeCell ref="R160:T160"/>
    <mergeCell ref="A161:S161"/>
    <mergeCell ref="A158:C158"/>
    <mergeCell ref="D158:F158"/>
    <mergeCell ref="A38:C38"/>
    <mergeCell ref="D38:F38"/>
    <mergeCell ref="J38:K38"/>
    <mergeCell ref="M38:Q38"/>
    <mergeCell ref="R38:T38"/>
    <mergeCell ref="A34:C34"/>
    <mergeCell ref="D34:F34"/>
    <mergeCell ref="J34:K34"/>
    <mergeCell ref="M34:Q34"/>
    <mergeCell ref="R34:T34"/>
    <mergeCell ref="A35:C35"/>
    <mergeCell ref="D35:F35"/>
    <mergeCell ref="J35:K35"/>
    <mergeCell ref="M35:Q35"/>
    <mergeCell ref="R35:T35"/>
    <mergeCell ref="M36:Q36"/>
    <mergeCell ref="R36:T36"/>
    <mergeCell ref="A37:C37"/>
    <mergeCell ref="D37:F37"/>
    <mergeCell ref="J37:K37"/>
    <mergeCell ref="M37:Q37"/>
    <mergeCell ref="R37:T37"/>
    <mergeCell ref="A31:C31"/>
    <mergeCell ref="D31:F31"/>
    <mergeCell ref="J31:K31"/>
    <mergeCell ref="M31:Q31"/>
    <mergeCell ref="R31:T31"/>
    <mergeCell ref="A32:C32"/>
    <mergeCell ref="D32:F32"/>
    <mergeCell ref="J32:K32"/>
    <mergeCell ref="M32:Q32"/>
    <mergeCell ref="R32:T32"/>
    <mergeCell ref="A29:C29"/>
    <mergeCell ref="D29:F29"/>
    <mergeCell ref="J29:K29"/>
    <mergeCell ref="M29:Q29"/>
    <mergeCell ref="R29:T29"/>
    <mergeCell ref="A30:C30"/>
    <mergeCell ref="D30:F30"/>
    <mergeCell ref="J30:K30"/>
    <mergeCell ref="M30:Q30"/>
    <mergeCell ref="R30:T30"/>
    <mergeCell ref="A27:C27"/>
    <mergeCell ref="D27:F27"/>
    <mergeCell ref="J27:K27"/>
    <mergeCell ref="M27:Q27"/>
    <mergeCell ref="R27:T27"/>
    <mergeCell ref="A28:C28"/>
    <mergeCell ref="D28:F28"/>
    <mergeCell ref="J28:K28"/>
    <mergeCell ref="M28:Q28"/>
    <mergeCell ref="R28:T28"/>
    <mergeCell ref="A26:C26"/>
    <mergeCell ref="D26:F26"/>
    <mergeCell ref="J26:K26"/>
    <mergeCell ref="M26:Q26"/>
    <mergeCell ref="R26:T26"/>
    <mergeCell ref="A24:C24"/>
    <mergeCell ref="D24:F24"/>
    <mergeCell ref="J24:K24"/>
    <mergeCell ref="M24:Q24"/>
    <mergeCell ref="R24:T24"/>
    <mergeCell ref="A25:C25"/>
    <mergeCell ref="D25:F25"/>
    <mergeCell ref="J25:K25"/>
    <mergeCell ref="M25:Q25"/>
    <mergeCell ref="R25:T25"/>
    <mergeCell ref="A23:C23"/>
    <mergeCell ref="D23:F23"/>
    <mergeCell ref="J23:K23"/>
    <mergeCell ref="M23:Q23"/>
    <mergeCell ref="R23:T23"/>
    <mergeCell ref="A21:C21"/>
    <mergeCell ref="D21:F21"/>
    <mergeCell ref="J21:K21"/>
    <mergeCell ref="M21:Q21"/>
    <mergeCell ref="R21:T21"/>
    <mergeCell ref="A22:C22"/>
    <mergeCell ref="D22:F22"/>
    <mergeCell ref="J22:K22"/>
    <mergeCell ref="M22:Q22"/>
    <mergeCell ref="R22:T22"/>
    <mergeCell ref="A14:C14"/>
    <mergeCell ref="D14:F14"/>
    <mergeCell ref="J14:K14"/>
    <mergeCell ref="M14:Q14"/>
    <mergeCell ref="R14:T14"/>
    <mergeCell ref="A15:C15"/>
    <mergeCell ref="D15:F15"/>
    <mergeCell ref="J15:K15"/>
    <mergeCell ref="M15:Q15"/>
    <mergeCell ref="R15:T15"/>
    <mergeCell ref="A16:C16"/>
    <mergeCell ref="D16:F16"/>
    <mergeCell ref="J16:K16"/>
    <mergeCell ref="M16:Q16"/>
    <mergeCell ref="R16:T16"/>
    <mergeCell ref="A17:C17"/>
    <mergeCell ref="D17:F17"/>
    <mergeCell ref="J17:K17"/>
    <mergeCell ref="M17:Q17"/>
    <mergeCell ref="R17:T17"/>
    <mergeCell ref="A20:C20"/>
    <mergeCell ref="D20:F20"/>
    <mergeCell ref="J20:K20"/>
    <mergeCell ref="M20:Q20"/>
    <mergeCell ref="R20:T20"/>
    <mergeCell ref="A18:C18"/>
    <mergeCell ref="D18:F18"/>
    <mergeCell ref="J18:K18"/>
    <mergeCell ref="M18:Q18"/>
    <mergeCell ref="R18:T18"/>
    <mergeCell ref="A19:C19"/>
    <mergeCell ref="D19:F19"/>
    <mergeCell ref="J19:K19"/>
    <mergeCell ref="M19:Q19"/>
    <mergeCell ref="R19:T19"/>
    <mergeCell ref="A12:C12"/>
    <mergeCell ref="D12:F12"/>
    <mergeCell ref="J12:K12"/>
    <mergeCell ref="M12:Q12"/>
    <mergeCell ref="R12:T12"/>
    <mergeCell ref="A13:C13"/>
    <mergeCell ref="D13:F13"/>
    <mergeCell ref="J13:K13"/>
    <mergeCell ref="M13:Q13"/>
    <mergeCell ref="R13:T13"/>
    <mergeCell ref="A10:C10"/>
    <mergeCell ref="D10:F10"/>
    <mergeCell ref="J10:K10"/>
    <mergeCell ref="M10:Q10"/>
    <mergeCell ref="R10:T10"/>
    <mergeCell ref="A11:C11"/>
    <mergeCell ref="D11:F11"/>
    <mergeCell ref="J11:K11"/>
    <mergeCell ref="M11:Q11"/>
    <mergeCell ref="R11:T11"/>
  </mergeCells>
  <phoneticPr fontId="64" type="noConversion"/>
  <pageMargins left="0" right="0" top="0" bottom="0" header="0" footer="0"/>
  <pageSetup fitToHeight="8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F06AC-B37D-4114-B3E0-A77B904DA506}">
  <sheetPr filterMode="1"/>
  <dimension ref="A1:L577"/>
  <sheetViews>
    <sheetView topLeftCell="A2" zoomScale="130" zoomScaleNormal="130" workbookViewId="0">
      <selection activeCell="C582" sqref="C582"/>
    </sheetView>
  </sheetViews>
  <sheetFormatPr defaultRowHeight="13.2"/>
  <cols>
    <col min="1" max="1" width="8.796875" style="5"/>
    <col min="2" max="2" width="13.3984375" style="5" customWidth="1"/>
    <col min="3" max="3" width="13" style="5" customWidth="1"/>
    <col min="4" max="4" width="12" style="5" hidden="1" customWidth="1"/>
    <col min="5" max="5" width="10.296875" style="140" customWidth="1"/>
    <col min="6" max="6" width="45" style="5" customWidth="1"/>
    <col min="7" max="7" width="11.19921875" style="5" hidden="1" customWidth="1"/>
    <col min="8" max="8" width="14.19921875" style="5" hidden="1" customWidth="1"/>
    <col min="9" max="9" width="12.5" style="5" bestFit="1" customWidth="1"/>
    <col min="10" max="10" width="8.09765625" style="5" customWidth="1"/>
    <col min="11" max="16384" width="8.796875" style="5"/>
  </cols>
  <sheetData>
    <row r="1" spans="1:10" ht="55.95" customHeight="1">
      <c r="B1" s="206" t="s">
        <v>1887</v>
      </c>
      <c r="C1" s="206"/>
      <c r="D1" s="206"/>
      <c r="E1" s="207"/>
      <c r="F1" s="206"/>
      <c r="G1" s="206"/>
      <c r="H1" s="206"/>
      <c r="I1" s="206"/>
      <c r="J1" s="206"/>
    </row>
    <row r="2" spans="1:10" ht="60" customHeight="1">
      <c r="B2" s="208" t="s">
        <v>1888</v>
      </c>
      <c r="C2" s="208"/>
      <c r="D2" s="208"/>
      <c r="E2" s="209"/>
      <c r="F2" s="208"/>
      <c r="G2" s="208"/>
      <c r="H2" s="208"/>
      <c r="I2" s="208"/>
      <c r="J2" s="208"/>
    </row>
    <row r="3" spans="1:10" ht="28.5" customHeight="1">
      <c r="B3" s="210" t="s">
        <v>1889</v>
      </c>
      <c r="C3" s="210"/>
      <c r="D3" s="210"/>
      <c r="E3" s="211"/>
      <c r="F3" s="210"/>
      <c r="G3" s="210"/>
      <c r="H3" s="210"/>
      <c r="I3" s="210"/>
      <c r="J3" s="210"/>
    </row>
    <row r="4" spans="1:10" ht="1.05" customHeight="1"/>
    <row r="5" spans="1:10" ht="1.05" customHeight="1"/>
    <row r="6" spans="1:10" ht="58.2">
      <c r="A6" s="5" t="s">
        <v>6742</v>
      </c>
      <c r="B6" s="6" t="s">
        <v>1890</v>
      </c>
      <c r="C6" s="7" t="s">
        <v>1891</v>
      </c>
      <c r="D6" s="7" t="s">
        <v>1892</v>
      </c>
      <c r="E6" s="141" t="s">
        <v>1893</v>
      </c>
      <c r="F6" s="7" t="s">
        <v>1894</v>
      </c>
      <c r="G6" s="7" t="s">
        <v>1895</v>
      </c>
      <c r="H6" s="8" t="s">
        <v>1896</v>
      </c>
      <c r="I6" s="6" t="s">
        <v>1897</v>
      </c>
    </row>
    <row r="7" spans="1:10" ht="20.399999999999999" hidden="1">
      <c r="B7" s="159" t="s">
        <v>7171</v>
      </c>
      <c r="C7" s="40" t="s">
        <v>7179</v>
      </c>
      <c r="D7" s="28">
        <v>0</v>
      </c>
      <c r="E7" s="29">
        <v>900000</v>
      </c>
      <c r="F7" s="158" t="s">
        <v>7172</v>
      </c>
      <c r="G7" s="160" t="s">
        <v>1900</v>
      </c>
      <c r="H7" s="31">
        <v>670190997777</v>
      </c>
      <c r="I7" s="160" t="s">
        <v>1901</v>
      </c>
    </row>
    <row r="8" spans="1:10" ht="20.399999999999999" hidden="1">
      <c r="B8" s="159" t="s">
        <v>7173</v>
      </c>
      <c r="C8" s="37" t="s">
        <v>7178</v>
      </c>
      <c r="D8" s="28">
        <v>0</v>
      </c>
      <c r="E8" s="29">
        <v>800000</v>
      </c>
      <c r="F8" s="35" t="s">
        <v>7174</v>
      </c>
      <c r="G8" s="160" t="s">
        <v>1900</v>
      </c>
      <c r="H8" s="31">
        <v>670190997777</v>
      </c>
      <c r="I8" s="160" t="s">
        <v>1901</v>
      </c>
    </row>
    <row r="9" spans="1:10" ht="20.399999999999999" hidden="1">
      <c r="B9" s="159" t="s">
        <v>7175</v>
      </c>
      <c r="C9" s="37" t="s">
        <v>7177</v>
      </c>
      <c r="D9" s="28">
        <v>0</v>
      </c>
      <c r="E9" s="29">
        <v>800000</v>
      </c>
      <c r="F9" s="158" t="s">
        <v>7176</v>
      </c>
      <c r="G9" s="160" t="s">
        <v>1900</v>
      </c>
      <c r="H9" s="31">
        <v>670190997777</v>
      </c>
      <c r="I9" s="160" t="s">
        <v>1901</v>
      </c>
    </row>
    <row r="10" spans="1:10" ht="30.6" hidden="1">
      <c r="B10" s="157" t="s">
        <v>7159</v>
      </c>
      <c r="C10" s="41" t="s">
        <v>7170</v>
      </c>
      <c r="D10" s="33">
        <v>0</v>
      </c>
      <c r="E10" s="34">
        <v>500000</v>
      </c>
      <c r="F10" s="35" t="s">
        <v>7160</v>
      </c>
      <c r="G10" s="158" t="s">
        <v>1900</v>
      </c>
      <c r="H10" s="36">
        <v>670190997777</v>
      </c>
      <c r="I10" s="158" t="s">
        <v>1901</v>
      </c>
    </row>
    <row r="11" spans="1:10" ht="20.399999999999999" hidden="1">
      <c r="B11" s="159" t="s">
        <v>7161</v>
      </c>
      <c r="C11" s="37" t="s">
        <v>7169</v>
      </c>
      <c r="D11" s="28">
        <v>0</v>
      </c>
      <c r="E11" s="29">
        <v>900000</v>
      </c>
      <c r="F11" s="158" t="s">
        <v>7162</v>
      </c>
      <c r="G11" s="160" t="s">
        <v>1900</v>
      </c>
      <c r="H11" s="31">
        <v>670190997777</v>
      </c>
      <c r="I11" s="160" t="s">
        <v>1901</v>
      </c>
    </row>
    <row r="12" spans="1:10" ht="20.399999999999999" hidden="1">
      <c r="B12" s="159" t="s">
        <v>7163</v>
      </c>
      <c r="C12" s="37" t="s">
        <v>7168</v>
      </c>
      <c r="D12" s="28">
        <v>0</v>
      </c>
      <c r="E12" s="29">
        <v>500000</v>
      </c>
      <c r="F12" s="158" t="s">
        <v>7164</v>
      </c>
      <c r="G12" s="160" t="s">
        <v>1900</v>
      </c>
      <c r="H12" s="31">
        <v>670190997777</v>
      </c>
      <c r="I12" s="160" t="s">
        <v>1901</v>
      </c>
    </row>
    <row r="13" spans="1:10" ht="30.6" hidden="1">
      <c r="B13" s="159" t="s">
        <v>7165</v>
      </c>
      <c r="C13" s="37" t="s">
        <v>7167</v>
      </c>
      <c r="D13" s="28">
        <v>0</v>
      </c>
      <c r="E13" s="29">
        <v>700000</v>
      </c>
      <c r="F13" s="35" t="s">
        <v>7166</v>
      </c>
      <c r="G13" s="160" t="s">
        <v>1900</v>
      </c>
      <c r="H13" s="31">
        <v>670190997777</v>
      </c>
      <c r="I13" s="160" t="s">
        <v>1901</v>
      </c>
    </row>
    <row r="14" spans="1:10" ht="20.399999999999999" hidden="1">
      <c r="B14" s="26" t="s">
        <v>7140</v>
      </c>
      <c r="C14" s="37" t="s">
        <v>7151</v>
      </c>
      <c r="D14" s="28">
        <v>0</v>
      </c>
      <c r="E14" s="29">
        <v>1300000</v>
      </c>
      <c r="F14" s="30" t="s">
        <v>7141</v>
      </c>
      <c r="G14" s="27" t="s">
        <v>1900</v>
      </c>
      <c r="H14" s="31">
        <v>670190997777</v>
      </c>
      <c r="I14" s="27" t="s">
        <v>1901</v>
      </c>
    </row>
    <row r="15" spans="1:10" ht="20.399999999999999" hidden="1">
      <c r="B15" s="26" t="s">
        <v>7142</v>
      </c>
      <c r="C15" s="37" t="s">
        <v>7150</v>
      </c>
      <c r="D15" s="28">
        <v>0</v>
      </c>
      <c r="E15" s="29">
        <v>800000</v>
      </c>
      <c r="F15" s="30" t="s">
        <v>7143</v>
      </c>
      <c r="G15" s="27" t="s">
        <v>1900</v>
      </c>
      <c r="H15" s="31">
        <v>670190997777</v>
      </c>
      <c r="I15" s="27" t="s">
        <v>1901</v>
      </c>
    </row>
    <row r="16" spans="1:10" ht="20.399999999999999" hidden="1">
      <c r="B16" s="26" t="s">
        <v>7144</v>
      </c>
      <c r="C16" s="37" t="s">
        <v>7149</v>
      </c>
      <c r="D16" s="28">
        <v>0</v>
      </c>
      <c r="E16" s="29">
        <v>900000</v>
      </c>
      <c r="F16" s="30" t="s">
        <v>7145</v>
      </c>
      <c r="G16" s="27" t="s">
        <v>1900</v>
      </c>
      <c r="H16" s="31">
        <v>670190997777</v>
      </c>
      <c r="I16" s="27" t="s">
        <v>1901</v>
      </c>
    </row>
    <row r="17" spans="1:11" ht="20.399999999999999" hidden="1">
      <c r="B17" s="26" t="s">
        <v>7146</v>
      </c>
      <c r="C17" s="37" t="s">
        <v>7148</v>
      </c>
      <c r="D17" s="28">
        <v>0</v>
      </c>
      <c r="E17" s="29">
        <v>600000</v>
      </c>
      <c r="F17" s="30" t="s">
        <v>7147</v>
      </c>
      <c r="G17" s="27" t="s">
        <v>1900</v>
      </c>
      <c r="H17" s="31">
        <v>670190997777</v>
      </c>
      <c r="I17" s="27" t="s">
        <v>1901</v>
      </c>
    </row>
    <row r="18" spans="1:11" ht="20.399999999999999" hidden="1">
      <c r="A18" s="5">
        <v>1</v>
      </c>
      <c r="B18" s="159" t="s">
        <v>6978</v>
      </c>
      <c r="C18" s="37" t="s">
        <v>7117</v>
      </c>
      <c r="D18" s="28">
        <v>0</v>
      </c>
      <c r="E18" s="29">
        <v>500000</v>
      </c>
      <c r="F18" s="158" t="s">
        <v>6979</v>
      </c>
      <c r="G18" s="160" t="s">
        <v>1900</v>
      </c>
      <c r="H18" s="31">
        <v>670190997777</v>
      </c>
      <c r="I18" s="160" t="s">
        <v>1901</v>
      </c>
    </row>
    <row r="19" spans="1:11" ht="30.6" hidden="1">
      <c r="A19" s="5">
        <v>2</v>
      </c>
      <c r="B19" s="157" t="s">
        <v>6980</v>
      </c>
      <c r="C19" s="39" t="s">
        <v>7116</v>
      </c>
      <c r="D19" s="33">
        <v>0</v>
      </c>
      <c r="E19" s="34">
        <v>800000</v>
      </c>
      <c r="F19" s="35" t="s">
        <v>6981</v>
      </c>
      <c r="G19" s="158" t="s">
        <v>1900</v>
      </c>
      <c r="H19" s="36">
        <v>670190997777</v>
      </c>
      <c r="I19" s="158" t="s">
        <v>1901</v>
      </c>
    </row>
    <row r="20" spans="1:11" ht="30.6" hidden="1">
      <c r="A20" s="5">
        <v>3</v>
      </c>
      <c r="B20" s="157" t="s">
        <v>6982</v>
      </c>
      <c r="C20" s="39" t="s">
        <v>7115</v>
      </c>
      <c r="D20" s="33">
        <v>0</v>
      </c>
      <c r="E20" s="34">
        <v>400000</v>
      </c>
      <c r="F20" s="35" t="s">
        <v>6983</v>
      </c>
      <c r="G20" s="158" t="s">
        <v>1900</v>
      </c>
      <c r="H20" s="36">
        <v>670190997777</v>
      </c>
      <c r="I20" s="158" t="s">
        <v>1901</v>
      </c>
    </row>
    <row r="21" spans="1:11" ht="30.6" hidden="1">
      <c r="A21" s="5">
        <v>4</v>
      </c>
      <c r="B21" s="157" t="s">
        <v>6984</v>
      </c>
      <c r="C21" s="39" t="s">
        <v>7114</v>
      </c>
      <c r="D21" s="33">
        <v>0</v>
      </c>
      <c r="E21" s="34">
        <v>800000</v>
      </c>
      <c r="F21" s="35" t="s">
        <v>6985</v>
      </c>
      <c r="G21" s="158" t="s">
        <v>1900</v>
      </c>
      <c r="H21" s="36">
        <v>670190997777</v>
      </c>
      <c r="I21" s="158" t="s">
        <v>1901</v>
      </c>
    </row>
    <row r="22" spans="1:11" ht="20.399999999999999" hidden="1">
      <c r="A22" s="5">
        <v>5</v>
      </c>
      <c r="B22" s="159" t="s">
        <v>6986</v>
      </c>
      <c r="C22" s="37" t="s">
        <v>7113</v>
      </c>
      <c r="D22" s="28">
        <v>0</v>
      </c>
      <c r="E22" s="29">
        <v>800000</v>
      </c>
      <c r="F22" s="158" t="s">
        <v>6987</v>
      </c>
      <c r="G22" s="160" t="s">
        <v>1900</v>
      </c>
      <c r="H22" s="31">
        <v>670190997777</v>
      </c>
      <c r="I22" s="160" t="s">
        <v>1901</v>
      </c>
    </row>
    <row r="23" spans="1:11" ht="30.6" hidden="1">
      <c r="A23" s="5">
        <v>6</v>
      </c>
      <c r="B23" s="159" t="s">
        <v>6988</v>
      </c>
      <c r="C23" s="37" t="s">
        <v>7112</v>
      </c>
      <c r="D23" s="28">
        <v>0</v>
      </c>
      <c r="E23" s="29">
        <v>2400000</v>
      </c>
      <c r="F23" s="35" t="s">
        <v>6989</v>
      </c>
      <c r="G23" s="160" t="s">
        <v>1900</v>
      </c>
      <c r="H23" s="31">
        <v>670190997777</v>
      </c>
      <c r="I23" s="160" t="s">
        <v>1901</v>
      </c>
    </row>
    <row r="24" spans="1:11" ht="20.399999999999999" hidden="1">
      <c r="A24" s="5">
        <v>7</v>
      </c>
      <c r="B24" s="159" t="s">
        <v>6990</v>
      </c>
      <c r="C24" s="37" t="s">
        <v>7111</v>
      </c>
      <c r="D24" s="28">
        <v>0</v>
      </c>
      <c r="E24" s="29">
        <v>1100000</v>
      </c>
      <c r="F24" s="158" t="s">
        <v>6991</v>
      </c>
      <c r="G24" s="160" t="s">
        <v>1900</v>
      </c>
      <c r="H24" s="31">
        <v>670190997777</v>
      </c>
      <c r="I24" s="160" t="s">
        <v>1901</v>
      </c>
    </row>
    <row r="25" spans="1:11" ht="20.399999999999999" hidden="1">
      <c r="A25" s="5">
        <v>8</v>
      </c>
      <c r="B25" s="159" t="s">
        <v>6992</v>
      </c>
      <c r="C25" s="37" t="s">
        <v>7110</v>
      </c>
      <c r="D25" s="28">
        <v>0</v>
      </c>
      <c r="E25" s="29">
        <v>500000</v>
      </c>
      <c r="F25" s="35" t="s">
        <v>6993</v>
      </c>
      <c r="G25" s="160" t="s">
        <v>1900</v>
      </c>
      <c r="H25" s="31">
        <v>670190997777</v>
      </c>
      <c r="I25" s="160" t="s">
        <v>1901</v>
      </c>
    </row>
    <row r="26" spans="1:11" ht="20.399999999999999" hidden="1">
      <c r="A26" s="5">
        <v>9</v>
      </c>
      <c r="B26" s="159" t="s">
        <v>6994</v>
      </c>
      <c r="C26" s="37" t="s">
        <v>7109</v>
      </c>
      <c r="D26" s="28">
        <v>0</v>
      </c>
      <c r="E26" s="29">
        <v>600000</v>
      </c>
      <c r="F26" s="35" t="s">
        <v>6995</v>
      </c>
      <c r="G26" s="160" t="s">
        <v>1900</v>
      </c>
      <c r="H26" s="31">
        <v>670190997777</v>
      </c>
      <c r="I26" s="160" t="s">
        <v>1901</v>
      </c>
      <c r="J26" s="44" t="s">
        <v>1491</v>
      </c>
      <c r="K26" s="44" t="s">
        <v>1492</v>
      </c>
    </row>
    <row r="27" spans="1:11" ht="20.399999999999999" hidden="1">
      <c r="A27" s="5">
        <v>10</v>
      </c>
      <c r="B27" s="159" t="s">
        <v>6996</v>
      </c>
      <c r="C27" s="37" t="s">
        <v>7108</v>
      </c>
      <c r="D27" s="28">
        <v>0</v>
      </c>
      <c r="E27" s="29">
        <v>700000</v>
      </c>
      <c r="F27" s="35" t="s">
        <v>6997</v>
      </c>
      <c r="G27" s="160" t="s">
        <v>1900</v>
      </c>
      <c r="H27" s="31">
        <v>670190997777</v>
      </c>
      <c r="I27" s="160" t="s">
        <v>1901</v>
      </c>
    </row>
    <row r="28" spans="1:11" ht="20.399999999999999" hidden="1">
      <c r="A28" s="5">
        <v>11</v>
      </c>
      <c r="B28" s="159" t="s">
        <v>6998</v>
      </c>
      <c r="C28" s="37" t="s">
        <v>7107</v>
      </c>
      <c r="D28" s="28">
        <v>0</v>
      </c>
      <c r="E28" s="92">
        <v>300000</v>
      </c>
      <c r="F28" s="158" t="s">
        <v>6999</v>
      </c>
      <c r="G28" s="160" t="s">
        <v>1900</v>
      </c>
      <c r="H28" s="31">
        <v>670190997777</v>
      </c>
      <c r="I28" s="160" t="s">
        <v>1901</v>
      </c>
      <c r="J28" s="5" t="s">
        <v>7139</v>
      </c>
      <c r="K28" s="5" t="s">
        <v>575</v>
      </c>
    </row>
    <row r="29" spans="1:11" ht="20.399999999999999" hidden="1">
      <c r="A29" s="5">
        <v>12</v>
      </c>
      <c r="B29" s="159" t="s">
        <v>7000</v>
      </c>
      <c r="C29" s="37" t="s">
        <v>7106</v>
      </c>
      <c r="D29" s="28">
        <v>0</v>
      </c>
      <c r="E29" s="29">
        <v>800000</v>
      </c>
      <c r="F29" s="158" t="s">
        <v>7001</v>
      </c>
      <c r="G29" s="160" t="s">
        <v>1900</v>
      </c>
      <c r="H29" s="31">
        <v>670190997777</v>
      </c>
      <c r="I29" s="160" t="s">
        <v>1901</v>
      </c>
    </row>
    <row r="30" spans="1:11" ht="20.399999999999999" hidden="1">
      <c r="A30" s="5">
        <v>13</v>
      </c>
      <c r="B30" s="159" t="s">
        <v>7002</v>
      </c>
      <c r="C30" s="37" t="s">
        <v>7104</v>
      </c>
      <c r="D30" s="28">
        <v>0</v>
      </c>
      <c r="E30" s="29">
        <v>1000000</v>
      </c>
      <c r="F30" s="158" t="s">
        <v>7003</v>
      </c>
      <c r="G30" s="160" t="s">
        <v>1900</v>
      </c>
      <c r="H30" s="31">
        <v>670190997777</v>
      </c>
      <c r="I30" s="160" t="s">
        <v>1901</v>
      </c>
    </row>
    <row r="31" spans="1:11" ht="20.399999999999999" hidden="1">
      <c r="A31" s="5">
        <v>14</v>
      </c>
      <c r="B31" s="159" t="s">
        <v>7004</v>
      </c>
      <c r="C31" s="37" t="s">
        <v>7103</v>
      </c>
      <c r="D31" s="28">
        <v>0</v>
      </c>
      <c r="E31" s="29">
        <v>800000</v>
      </c>
      <c r="F31" s="158" t="s">
        <v>7005</v>
      </c>
      <c r="G31" s="160" t="s">
        <v>1900</v>
      </c>
      <c r="H31" s="31">
        <v>670190997777</v>
      </c>
      <c r="I31" s="160" t="s">
        <v>1901</v>
      </c>
    </row>
    <row r="32" spans="1:11" ht="20.399999999999999" hidden="1">
      <c r="A32" s="5">
        <v>15</v>
      </c>
      <c r="B32" s="159" t="s">
        <v>7006</v>
      </c>
      <c r="C32" s="37" t="s">
        <v>7102</v>
      </c>
      <c r="D32" s="28">
        <v>0</v>
      </c>
      <c r="E32" s="29">
        <v>400000</v>
      </c>
      <c r="F32" s="35" t="s">
        <v>7007</v>
      </c>
      <c r="G32" s="160" t="s">
        <v>1900</v>
      </c>
      <c r="H32" s="31">
        <v>670190997777</v>
      </c>
      <c r="I32" s="160" t="s">
        <v>1901</v>
      </c>
    </row>
    <row r="33" spans="1:9" ht="20.399999999999999" hidden="1">
      <c r="A33" s="5">
        <v>16</v>
      </c>
      <c r="B33" s="159" t="s">
        <v>7008</v>
      </c>
      <c r="C33" s="37" t="s">
        <v>7101</v>
      </c>
      <c r="D33" s="28">
        <v>0</v>
      </c>
      <c r="E33" s="29">
        <v>800000</v>
      </c>
      <c r="F33" s="158" t="s">
        <v>7009</v>
      </c>
      <c r="G33" s="160" t="s">
        <v>1900</v>
      </c>
      <c r="H33" s="31">
        <v>670190997777</v>
      </c>
      <c r="I33" s="160" t="s">
        <v>1901</v>
      </c>
    </row>
    <row r="34" spans="1:9" ht="20.399999999999999" hidden="1">
      <c r="A34" s="5">
        <v>17</v>
      </c>
      <c r="B34" s="159" t="s">
        <v>7010</v>
      </c>
      <c r="C34" s="37" t="s">
        <v>7100</v>
      </c>
      <c r="D34" s="28">
        <v>0</v>
      </c>
      <c r="E34" s="29">
        <v>800000</v>
      </c>
      <c r="F34" s="158" t="s">
        <v>7011</v>
      </c>
      <c r="G34" s="160" t="s">
        <v>1900</v>
      </c>
      <c r="H34" s="31">
        <v>670190997777</v>
      </c>
      <c r="I34" s="160" t="s">
        <v>1901</v>
      </c>
    </row>
    <row r="35" spans="1:9" ht="20.399999999999999" hidden="1">
      <c r="A35" s="5">
        <v>18</v>
      </c>
      <c r="B35" s="159" t="s">
        <v>7012</v>
      </c>
      <c r="C35" s="37" t="s">
        <v>7099</v>
      </c>
      <c r="D35" s="28">
        <v>0</v>
      </c>
      <c r="E35" s="29">
        <v>700000</v>
      </c>
      <c r="F35" s="158" t="s">
        <v>7013</v>
      </c>
      <c r="G35" s="160" t="s">
        <v>1900</v>
      </c>
      <c r="H35" s="31">
        <v>670190997777</v>
      </c>
      <c r="I35" s="160" t="s">
        <v>1901</v>
      </c>
    </row>
    <row r="36" spans="1:9" ht="20.399999999999999" hidden="1">
      <c r="A36" s="5">
        <v>19</v>
      </c>
      <c r="B36" s="159" t="s">
        <v>7014</v>
      </c>
      <c r="C36" s="37" t="s">
        <v>7098</v>
      </c>
      <c r="D36" s="28">
        <v>0</v>
      </c>
      <c r="E36" s="29">
        <v>1200000</v>
      </c>
      <c r="F36" s="158" t="s">
        <v>7015</v>
      </c>
      <c r="G36" s="160" t="s">
        <v>1900</v>
      </c>
      <c r="H36" s="31">
        <v>670190997777</v>
      </c>
      <c r="I36" s="160" t="s">
        <v>1901</v>
      </c>
    </row>
    <row r="37" spans="1:9" ht="20.399999999999999" hidden="1">
      <c r="A37" s="5">
        <v>20</v>
      </c>
      <c r="B37" s="159" t="s">
        <v>7016</v>
      </c>
      <c r="C37" s="37" t="s">
        <v>7097</v>
      </c>
      <c r="D37" s="28">
        <v>0</v>
      </c>
      <c r="E37" s="29">
        <v>900000</v>
      </c>
      <c r="F37" s="158" t="s">
        <v>7017</v>
      </c>
      <c r="G37" s="160" t="s">
        <v>1900</v>
      </c>
      <c r="H37" s="31">
        <v>670190997777</v>
      </c>
      <c r="I37" s="160" t="s">
        <v>1901</v>
      </c>
    </row>
    <row r="38" spans="1:9" ht="20.399999999999999" hidden="1">
      <c r="A38" s="5">
        <v>21</v>
      </c>
      <c r="B38" s="159" t="s">
        <v>7018</v>
      </c>
      <c r="C38" s="37" t="s">
        <v>7096</v>
      </c>
      <c r="D38" s="28">
        <v>0</v>
      </c>
      <c r="E38" s="29">
        <v>300000</v>
      </c>
      <c r="F38" s="158" t="s">
        <v>7019</v>
      </c>
      <c r="G38" s="160" t="s">
        <v>1900</v>
      </c>
      <c r="H38" s="31">
        <v>670190997777</v>
      </c>
      <c r="I38" s="160" t="s">
        <v>1901</v>
      </c>
    </row>
    <row r="39" spans="1:9" ht="20.399999999999999" hidden="1">
      <c r="A39" s="5">
        <v>22</v>
      </c>
      <c r="B39" s="159" t="s">
        <v>7020</v>
      </c>
      <c r="C39" s="37" t="s">
        <v>7095</v>
      </c>
      <c r="D39" s="28">
        <v>0</v>
      </c>
      <c r="E39" s="29">
        <v>900000</v>
      </c>
      <c r="F39" s="158" t="s">
        <v>7021</v>
      </c>
      <c r="G39" s="160" t="s">
        <v>1900</v>
      </c>
      <c r="H39" s="31">
        <v>670190997777</v>
      </c>
      <c r="I39" s="160" t="s">
        <v>1901</v>
      </c>
    </row>
    <row r="40" spans="1:9" ht="20.399999999999999" hidden="1">
      <c r="A40" s="5">
        <v>23</v>
      </c>
      <c r="B40" s="159" t="s">
        <v>7022</v>
      </c>
      <c r="C40" s="37" t="s">
        <v>7094</v>
      </c>
      <c r="D40" s="28">
        <v>0</v>
      </c>
      <c r="E40" s="29">
        <v>600000</v>
      </c>
      <c r="F40" s="158" t="s">
        <v>7023</v>
      </c>
      <c r="G40" s="160" t="s">
        <v>1900</v>
      </c>
      <c r="H40" s="31">
        <v>670190997777</v>
      </c>
      <c r="I40" s="160" t="s">
        <v>1901</v>
      </c>
    </row>
    <row r="41" spans="1:9" ht="20.399999999999999" hidden="1">
      <c r="A41" s="5">
        <v>24</v>
      </c>
      <c r="B41" s="159" t="s">
        <v>7024</v>
      </c>
      <c r="C41" s="37" t="s">
        <v>7093</v>
      </c>
      <c r="D41" s="28">
        <v>0</v>
      </c>
      <c r="E41" s="29">
        <v>300000</v>
      </c>
      <c r="F41" s="158" t="s">
        <v>7025</v>
      </c>
      <c r="G41" s="160" t="s">
        <v>1900</v>
      </c>
      <c r="H41" s="31">
        <v>670190997777</v>
      </c>
      <c r="I41" s="160" t="s">
        <v>1901</v>
      </c>
    </row>
    <row r="42" spans="1:9" ht="20.399999999999999" hidden="1">
      <c r="A42" s="5">
        <v>25</v>
      </c>
      <c r="B42" s="159" t="s">
        <v>7026</v>
      </c>
      <c r="C42" s="37" t="s">
        <v>7092</v>
      </c>
      <c r="D42" s="28">
        <v>0</v>
      </c>
      <c r="E42" s="29">
        <v>300000</v>
      </c>
      <c r="F42" s="158" t="s">
        <v>7027</v>
      </c>
      <c r="G42" s="160" t="s">
        <v>1900</v>
      </c>
      <c r="H42" s="31">
        <v>670190997777</v>
      </c>
      <c r="I42" s="160" t="s">
        <v>1901</v>
      </c>
    </row>
    <row r="43" spans="1:9" ht="20.399999999999999" hidden="1">
      <c r="A43" s="5">
        <v>26</v>
      </c>
      <c r="B43" s="159" t="s">
        <v>7028</v>
      </c>
      <c r="C43" s="37" t="s">
        <v>7091</v>
      </c>
      <c r="D43" s="28">
        <v>0</v>
      </c>
      <c r="E43" s="29">
        <v>300000</v>
      </c>
      <c r="F43" s="158" t="s">
        <v>7029</v>
      </c>
      <c r="G43" s="160" t="s">
        <v>1900</v>
      </c>
      <c r="H43" s="31">
        <v>670190997777</v>
      </c>
      <c r="I43" s="160" t="s">
        <v>1901</v>
      </c>
    </row>
    <row r="44" spans="1:9" ht="20.399999999999999" hidden="1">
      <c r="A44" s="5">
        <v>27</v>
      </c>
      <c r="B44" s="159" t="s">
        <v>7030</v>
      </c>
      <c r="C44" s="37" t="s">
        <v>7090</v>
      </c>
      <c r="D44" s="28">
        <v>0</v>
      </c>
      <c r="E44" s="29">
        <v>1100000</v>
      </c>
      <c r="F44" s="158" t="s">
        <v>7031</v>
      </c>
      <c r="G44" s="160" t="s">
        <v>1900</v>
      </c>
      <c r="H44" s="31">
        <v>670190997777</v>
      </c>
      <c r="I44" s="160" t="s">
        <v>1901</v>
      </c>
    </row>
    <row r="45" spans="1:9" ht="20.399999999999999" hidden="1">
      <c r="A45" s="5">
        <v>28</v>
      </c>
      <c r="B45" s="159" t="s">
        <v>7032</v>
      </c>
      <c r="C45" s="37" t="s">
        <v>7089</v>
      </c>
      <c r="D45" s="28">
        <v>0</v>
      </c>
      <c r="E45" s="29">
        <v>400000</v>
      </c>
      <c r="F45" s="158" t="s">
        <v>7033</v>
      </c>
      <c r="G45" s="160" t="s">
        <v>1900</v>
      </c>
      <c r="H45" s="31">
        <v>670190997777</v>
      </c>
      <c r="I45" s="160" t="s">
        <v>1901</v>
      </c>
    </row>
    <row r="46" spans="1:9" ht="20.399999999999999" hidden="1">
      <c r="A46" s="5">
        <v>29</v>
      </c>
      <c r="B46" s="159" t="s">
        <v>7034</v>
      </c>
      <c r="C46" s="37" t="s">
        <v>7088</v>
      </c>
      <c r="D46" s="28">
        <v>0</v>
      </c>
      <c r="E46" s="29">
        <v>900000</v>
      </c>
      <c r="F46" s="158" t="s">
        <v>7035</v>
      </c>
      <c r="G46" s="160" t="s">
        <v>1900</v>
      </c>
      <c r="H46" s="31">
        <v>670190997777</v>
      </c>
      <c r="I46" s="160" t="s">
        <v>1901</v>
      </c>
    </row>
    <row r="47" spans="1:9" ht="20.399999999999999" hidden="1">
      <c r="A47" s="5">
        <v>30</v>
      </c>
      <c r="B47" s="159" t="s">
        <v>7036</v>
      </c>
      <c r="C47" s="37" t="s">
        <v>7087</v>
      </c>
      <c r="D47" s="28">
        <v>0</v>
      </c>
      <c r="E47" s="29">
        <v>500000</v>
      </c>
      <c r="F47" s="158" t="s">
        <v>7037</v>
      </c>
      <c r="G47" s="160" t="s">
        <v>1900</v>
      </c>
      <c r="H47" s="31">
        <v>670190997777</v>
      </c>
      <c r="I47" s="160" t="s">
        <v>1901</v>
      </c>
    </row>
    <row r="48" spans="1:9" ht="20.399999999999999" hidden="1">
      <c r="A48" s="5">
        <v>31</v>
      </c>
      <c r="B48" s="159" t="s">
        <v>7038</v>
      </c>
      <c r="C48" s="37" t="s">
        <v>7086</v>
      </c>
      <c r="D48" s="28">
        <v>0</v>
      </c>
      <c r="E48" s="29">
        <v>600000</v>
      </c>
      <c r="F48" s="158" t="s">
        <v>7039</v>
      </c>
      <c r="G48" s="160" t="s">
        <v>1900</v>
      </c>
      <c r="H48" s="31">
        <v>670190997777</v>
      </c>
      <c r="I48" s="160" t="s">
        <v>1901</v>
      </c>
    </row>
    <row r="49" spans="1:9" ht="20.399999999999999" hidden="1">
      <c r="A49" s="5">
        <v>32</v>
      </c>
      <c r="B49" s="159" t="s">
        <v>7040</v>
      </c>
      <c r="C49" s="37" t="s">
        <v>7085</v>
      </c>
      <c r="D49" s="28">
        <v>0</v>
      </c>
      <c r="E49" s="29">
        <v>300000</v>
      </c>
      <c r="F49" s="158" t="s">
        <v>7041</v>
      </c>
      <c r="G49" s="160" t="s">
        <v>1900</v>
      </c>
      <c r="H49" s="31">
        <v>670190997777</v>
      </c>
      <c r="I49" s="160" t="s">
        <v>1901</v>
      </c>
    </row>
    <row r="50" spans="1:9" ht="20.399999999999999" hidden="1">
      <c r="A50" s="5">
        <v>33</v>
      </c>
      <c r="B50" s="159" t="s">
        <v>7042</v>
      </c>
      <c r="C50" s="37" t="s">
        <v>7084</v>
      </c>
      <c r="D50" s="28">
        <v>0</v>
      </c>
      <c r="E50" s="29">
        <v>800000</v>
      </c>
      <c r="F50" s="158" t="s">
        <v>7043</v>
      </c>
      <c r="G50" s="160" t="s">
        <v>1900</v>
      </c>
      <c r="H50" s="31">
        <v>670190997777</v>
      </c>
      <c r="I50" s="160" t="s">
        <v>1901</v>
      </c>
    </row>
    <row r="51" spans="1:9" ht="20.399999999999999" hidden="1">
      <c r="A51" s="5">
        <v>34</v>
      </c>
      <c r="B51" s="159" t="s">
        <v>7044</v>
      </c>
      <c r="C51" s="37" t="s">
        <v>7083</v>
      </c>
      <c r="D51" s="28">
        <v>0</v>
      </c>
      <c r="E51" s="29">
        <v>600000</v>
      </c>
      <c r="F51" s="158" t="s">
        <v>7045</v>
      </c>
      <c r="G51" s="160" t="s">
        <v>1900</v>
      </c>
      <c r="H51" s="31">
        <v>670190997777</v>
      </c>
      <c r="I51" s="160" t="s">
        <v>1901</v>
      </c>
    </row>
    <row r="52" spans="1:9" ht="20.399999999999999" hidden="1">
      <c r="A52" s="5">
        <v>35</v>
      </c>
      <c r="B52" s="159" t="s">
        <v>7046</v>
      </c>
      <c r="C52" s="37" t="s">
        <v>7082</v>
      </c>
      <c r="D52" s="28">
        <v>0</v>
      </c>
      <c r="E52" s="29">
        <v>1000000</v>
      </c>
      <c r="F52" s="158" t="s">
        <v>7047</v>
      </c>
      <c r="G52" s="160" t="s">
        <v>1900</v>
      </c>
      <c r="H52" s="31">
        <v>670190997777</v>
      </c>
      <c r="I52" s="160" t="s">
        <v>1901</v>
      </c>
    </row>
    <row r="53" spans="1:9" ht="20.399999999999999" hidden="1">
      <c r="A53" s="5">
        <v>36</v>
      </c>
      <c r="B53" s="159" t="s">
        <v>7048</v>
      </c>
      <c r="C53" s="37" t="s">
        <v>7081</v>
      </c>
      <c r="D53" s="28">
        <v>0</v>
      </c>
      <c r="E53" s="29">
        <v>900000</v>
      </c>
      <c r="F53" s="158" t="s">
        <v>7049</v>
      </c>
      <c r="G53" s="160" t="s">
        <v>1900</v>
      </c>
      <c r="H53" s="31">
        <v>670190997777</v>
      </c>
      <c r="I53" s="160" t="s">
        <v>1901</v>
      </c>
    </row>
    <row r="54" spans="1:9" ht="20.399999999999999" hidden="1">
      <c r="A54" s="5">
        <v>37</v>
      </c>
      <c r="B54" s="159" t="s">
        <v>7050</v>
      </c>
      <c r="C54" s="37" t="s">
        <v>7080</v>
      </c>
      <c r="D54" s="28">
        <v>0</v>
      </c>
      <c r="E54" s="29">
        <v>800000</v>
      </c>
      <c r="F54" s="158" t="s">
        <v>7051</v>
      </c>
      <c r="G54" s="160" t="s">
        <v>1900</v>
      </c>
      <c r="H54" s="31">
        <v>670190997777</v>
      </c>
      <c r="I54" s="160" t="s">
        <v>1901</v>
      </c>
    </row>
    <row r="55" spans="1:9" ht="30.6" hidden="1">
      <c r="A55" s="5">
        <v>38</v>
      </c>
      <c r="B55" s="157" t="s">
        <v>7052</v>
      </c>
      <c r="C55" s="39" t="s">
        <v>7079</v>
      </c>
      <c r="D55" s="33">
        <v>0</v>
      </c>
      <c r="E55" s="34">
        <v>400000</v>
      </c>
      <c r="F55" s="35" t="s">
        <v>7053</v>
      </c>
      <c r="G55" s="158" t="s">
        <v>1900</v>
      </c>
      <c r="H55" s="36">
        <v>670190997777</v>
      </c>
      <c r="I55" s="158" t="s">
        <v>1901</v>
      </c>
    </row>
    <row r="56" spans="1:9" ht="20.399999999999999" hidden="1">
      <c r="A56" s="5">
        <v>39</v>
      </c>
      <c r="B56" s="159" t="s">
        <v>7054</v>
      </c>
      <c r="C56" s="37" t="s">
        <v>7077</v>
      </c>
      <c r="D56" s="28">
        <v>0</v>
      </c>
      <c r="E56" s="29">
        <v>200000</v>
      </c>
      <c r="F56" s="158" t="s">
        <v>7055</v>
      </c>
      <c r="G56" s="160" t="s">
        <v>1900</v>
      </c>
      <c r="H56" s="31">
        <v>670190997777</v>
      </c>
      <c r="I56" s="160" t="s">
        <v>1901</v>
      </c>
    </row>
    <row r="57" spans="1:9" ht="30.6" hidden="1">
      <c r="A57" s="5">
        <v>40</v>
      </c>
      <c r="B57" s="157" t="s">
        <v>7056</v>
      </c>
      <c r="C57" s="39" t="s">
        <v>7076</v>
      </c>
      <c r="D57" s="33">
        <v>0</v>
      </c>
      <c r="E57" s="34">
        <v>1000000</v>
      </c>
      <c r="F57" s="35" t="s">
        <v>7057</v>
      </c>
      <c r="G57" s="158" t="s">
        <v>1900</v>
      </c>
      <c r="H57" s="36">
        <v>670190997777</v>
      </c>
      <c r="I57" s="158" t="s">
        <v>1901</v>
      </c>
    </row>
    <row r="58" spans="1:9" ht="20.399999999999999" hidden="1">
      <c r="A58" s="5">
        <v>41</v>
      </c>
      <c r="B58" s="159" t="s">
        <v>7058</v>
      </c>
      <c r="C58" s="37" t="s">
        <v>7075</v>
      </c>
      <c r="D58" s="28">
        <v>0</v>
      </c>
      <c r="E58" s="29">
        <v>800000</v>
      </c>
      <c r="F58" s="158" t="s">
        <v>7059</v>
      </c>
      <c r="G58" s="160" t="s">
        <v>1900</v>
      </c>
      <c r="H58" s="31">
        <v>670190997777</v>
      </c>
      <c r="I58" s="160" t="s">
        <v>1901</v>
      </c>
    </row>
    <row r="59" spans="1:9" ht="20.399999999999999" hidden="1">
      <c r="A59" s="5">
        <v>42</v>
      </c>
      <c r="B59" s="159" t="s">
        <v>7060</v>
      </c>
      <c r="C59" s="37" t="s">
        <v>7074</v>
      </c>
      <c r="D59" s="28">
        <v>0</v>
      </c>
      <c r="E59" s="29">
        <v>900000</v>
      </c>
      <c r="F59" s="35" t="s">
        <v>7061</v>
      </c>
      <c r="G59" s="160" t="s">
        <v>1900</v>
      </c>
      <c r="H59" s="31">
        <v>670190997777</v>
      </c>
      <c r="I59" s="160" t="s">
        <v>1901</v>
      </c>
    </row>
    <row r="60" spans="1:9" ht="20.399999999999999" hidden="1">
      <c r="A60" s="5">
        <v>43</v>
      </c>
      <c r="B60" s="159" t="s">
        <v>6960</v>
      </c>
      <c r="C60" s="37" t="s">
        <v>7073</v>
      </c>
      <c r="D60" s="28">
        <v>0</v>
      </c>
      <c r="E60" s="29">
        <v>300000</v>
      </c>
      <c r="F60" s="158" t="s">
        <v>6961</v>
      </c>
      <c r="G60" s="160" t="s">
        <v>1900</v>
      </c>
      <c r="H60" s="31">
        <v>670190997777</v>
      </c>
      <c r="I60" s="160" t="s">
        <v>1901</v>
      </c>
    </row>
    <row r="61" spans="1:9" ht="20.399999999999999" hidden="1">
      <c r="A61" s="5">
        <v>44</v>
      </c>
      <c r="B61" s="159" t="s">
        <v>6962</v>
      </c>
      <c r="C61" s="37" t="s">
        <v>7072</v>
      </c>
      <c r="D61" s="28">
        <v>0</v>
      </c>
      <c r="E61" s="29">
        <v>800000</v>
      </c>
      <c r="F61" s="158" t="s">
        <v>6963</v>
      </c>
      <c r="G61" s="160" t="s">
        <v>1900</v>
      </c>
      <c r="H61" s="31">
        <v>670190997777</v>
      </c>
      <c r="I61" s="160" t="s">
        <v>1901</v>
      </c>
    </row>
    <row r="62" spans="1:9" ht="20.399999999999999" hidden="1">
      <c r="A62" s="5">
        <v>45</v>
      </c>
      <c r="B62" s="159" t="s">
        <v>6964</v>
      </c>
      <c r="C62" s="37" t="s">
        <v>7071</v>
      </c>
      <c r="D62" s="28">
        <v>0</v>
      </c>
      <c r="E62" s="29">
        <v>600000</v>
      </c>
      <c r="F62" s="158" t="s">
        <v>6965</v>
      </c>
      <c r="G62" s="160" t="s">
        <v>1900</v>
      </c>
      <c r="H62" s="31">
        <v>670190997777</v>
      </c>
      <c r="I62" s="160" t="s">
        <v>1901</v>
      </c>
    </row>
    <row r="63" spans="1:9" ht="20.399999999999999" hidden="1">
      <c r="A63" s="5">
        <v>46</v>
      </c>
      <c r="B63" s="159" t="s">
        <v>6966</v>
      </c>
      <c r="C63" s="37" t="s">
        <v>7070</v>
      </c>
      <c r="D63" s="28">
        <v>0</v>
      </c>
      <c r="E63" s="29">
        <v>800000</v>
      </c>
      <c r="F63" s="158" t="s">
        <v>6967</v>
      </c>
      <c r="G63" s="160" t="s">
        <v>1900</v>
      </c>
      <c r="H63" s="31">
        <v>670190997777</v>
      </c>
      <c r="I63" s="160" t="s">
        <v>1901</v>
      </c>
    </row>
    <row r="64" spans="1:9" ht="20.399999999999999" hidden="1">
      <c r="A64" s="5">
        <v>47</v>
      </c>
      <c r="B64" s="159" t="s">
        <v>6968</v>
      </c>
      <c r="C64" s="172" t="s">
        <v>7069</v>
      </c>
      <c r="D64" s="28">
        <v>0</v>
      </c>
      <c r="E64" s="29">
        <v>400000</v>
      </c>
      <c r="F64" s="158" t="s">
        <v>6969</v>
      </c>
      <c r="G64" s="160" t="s">
        <v>1900</v>
      </c>
      <c r="H64" s="31">
        <v>670190997777</v>
      </c>
      <c r="I64" s="160" t="s">
        <v>1901</v>
      </c>
    </row>
    <row r="65" spans="1:10" ht="20.399999999999999" hidden="1">
      <c r="A65" s="5">
        <v>48</v>
      </c>
      <c r="B65" s="159" t="s">
        <v>6970</v>
      </c>
      <c r="C65" s="37" t="s">
        <v>7068</v>
      </c>
      <c r="D65" s="28">
        <v>0</v>
      </c>
      <c r="E65" s="29">
        <v>300000</v>
      </c>
      <c r="F65" s="158" t="s">
        <v>6971</v>
      </c>
      <c r="G65" s="160" t="s">
        <v>1900</v>
      </c>
      <c r="H65" s="31">
        <v>670190997777</v>
      </c>
      <c r="I65" s="160" t="s">
        <v>1901</v>
      </c>
    </row>
    <row r="66" spans="1:10" ht="20.399999999999999" hidden="1">
      <c r="A66" s="5">
        <v>49</v>
      </c>
      <c r="B66" s="159" t="s">
        <v>6972</v>
      </c>
      <c r="C66" s="37" t="s">
        <v>7067</v>
      </c>
      <c r="D66" s="28">
        <v>0</v>
      </c>
      <c r="E66" s="29">
        <v>400000</v>
      </c>
      <c r="F66" s="158" t="s">
        <v>6973</v>
      </c>
      <c r="G66" s="160" t="s">
        <v>1900</v>
      </c>
      <c r="H66" s="31">
        <v>670190997777</v>
      </c>
      <c r="I66" s="160" t="s">
        <v>1901</v>
      </c>
    </row>
    <row r="67" spans="1:10" ht="20.399999999999999" hidden="1">
      <c r="A67" s="5">
        <v>50</v>
      </c>
      <c r="B67" s="159" t="s">
        <v>6974</v>
      </c>
      <c r="C67" s="37" t="s">
        <v>7066</v>
      </c>
      <c r="D67" s="28">
        <v>0</v>
      </c>
      <c r="E67" s="29">
        <v>900000</v>
      </c>
      <c r="F67" s="158" t="s">
        <v>6975</v>
      </c>
      <c r="G67" s="160" t="s">
        <v>1900</v>
      </c>
      <c r="H67" s="31">
        <v>670190997777</v>
      </c>
      <c r="I67" s="160" t="s">
        <v>1901</v>
      </c>
    </row>
    <row r="68" spans="1:10" ht="20.399999999999999" hidden="1">
      <c r="A68" s="5">
        <v>51</v>
      </c>
      <c r="B68" s="159" t="s">
        <v>6976</v>
      </c>
      <c r="C68" s="37" t="s">
        <v>7065</v>
      </c>
      <c r="D68" s="28">
        <v>0</v>
      </c>
      <c r="E68" s="29">
        <v>500000</v>
      </c>
      <c r="F68" s="158" t="s">
        <v>6977</v>
      </c>
      <c r="G68" s="160" t="s">
        <v>1900</v>
      </c>
      <c r="H68" s="31">
        <v>670190997777</v>
      </c>
      <c r="I68" s="160" t="s">
        <v>1901</v>
      </c>
    </row>
    <row r="69" spans="1:10" ht="20.399999999999999" hidden="1">
      <c r="A69" s="5">
        <v>52</v>
      </c>
      <c r="B69" s="159" t="s">
        <v>6954</v>
      </c>
      <c r="C69" s="37" t="s">
        <v>7064</v>
      </c>
      <c r="D69" s="28">
        <v>0</v>
      </c>
      <c r="E69" s="29">
        <v>1700000</v>
      </c>
      <c r="F69" s="158" t="s">
        <v>6955</v>
      </c>
      <c r="G69" s="160" t="s">
        <v>1900</v>
      </c>
      <c r="H69" s="167">
        <v>670190997777</v>
      </c>
      <c r="I69" s="160" t="s">
        <v>1901</v>
      </c>
    </row>
    <row r="70" spans="1:10" ht="20.399999999999999" hidden="1">
      <c r="A70" s="5">
        <v>53</v>
      </c>
      <c r="B70" s="159" t="s">
        <v>6956</v>
      </c>
      <c r="C70" s="37" t="s">
        <v>7063</v>
      </c>
      <c r="D70" s="28">
        <v>0</v>
      </c>
      <c r="E70" s="29">
        <v>1300000</v>
      </c>
      <c r="F70" s="158" t="s">
        <v>6957</v>
      </c>
      <c r="G70" s="160" t="s">
        <v>1900</v>
      </c>
      <c r="H70" s="167">
        <v>670190997777</v>
      </c>
      <c r="I70" s="160" t="s">
        <v>1901</v>
      </c>
    </row>
    <row r="71" spans="1:10" ht="30.6" hidden="1">
      <c r="A71" s="5">
        <v>54</v>
      </c>
      <c r="B71" s="157" t="s">
        <v>6958</v>
      </c>
      <c r="C71" s="39" t="s">
        <v>7062</v>
      </c>
      <c r="D71" s="33">
        <v>0</v>
      </c>
      <c r="E71" s="34">
        <v>700000</v>
      </c>
      <c r="F71" s="35" t="s">
        <v>6959</v>
      </c>
      <c r="G71" s="158" t="s">
        <v>1900</v>
      </c>
      <c r="H71" s="168">
        <v>670190997777</v>
      </c>
      <c r="I71" s="158" t="s">
        <v>1901</v>
      </c>
    </row>
    <row r="72" spans="1:10" ht="20.399999999999999" hidden="1">
      <c r="A72" s="5">
        <v>55</v>
      </c>
      <c r="B72" s="159" t="s">
        <v>6743</v>
      </c>
      <c r="C72" s="37" t="s">
        <v>6756</v>
      </c>
      <c r="D72" s="28">
        <v>0</v>
      </c>
      <c r="E72" s="29">
        <v>300000</v>
      </c>
      <c r="F72" s="158" t="s">
        <v>6744</v>
      </c>
      <c r="G72" s="160" t="s">
        <v>1900</v>
      </c>
      <c r="H72" s="167">
        <v>670190997777</v>
      </c>
      <c r="I72" s="160" t="s">
        <v>1901</v>
      </c>
    </row>
    <row r="73" spans="1:10" ht="20.399999999999999" hidden="1">
      <c r="A73" s="5">
        <v>56</v>
      </c>
      <c r="B73" s="159" t="s">
        <v>6745</v>
      </c>
      <c r="C73" s="37" t="s">
        <v>6755</v>
      </c>
      <c r="D73" s="28">
        <v>0</v>
      </c>
      <c r="E73" s="29">
        <v>300000</v>
      </c>
      <c r="F73" s="158" t="s">
        <v>6746</v>
      </c>
      <c r="G73" s="160" t="s">
        <v>1900</v>
      </c>
      <c r="H73" s="167">
        <v>670190997777</v>
      </c>
      <c r="I73" s="160" t="s">
        <v>1901</v>
      </c>
    </row>
    <row r="74" spans="1:10" ht="20.399999999999999" hidden="1">
      <c r="A74" s="5">
        <v>57</v>
      </c>
      <c r="B74" s="159" t="s">
        <v>6747</v>
      </c>
      <c r="C74" s="37" t="s">
        <v>6752</v>
      </c>
      <c r="D74" s="28">
        <v>0</v>
      </c>
      <c r="E74" s="29">
        <v>1157000</v>
      </c>
      <c r="F74" s="158" t="s">
        <v>6748</v>
      </c>
      <c r="G74" s="160" t="s">
        <v>1900</v>
      </c>
      <c r="H74" s="167">
        <v>670190997777</v>
      </c>
      <c r="I74" s="160" t="s">
        <v>1901</v>
      </c>
      <c r="J74" s="5" t="s">
        <v>6753</v>
      </c>
    </row>
    <row r="75" spans="1:10" ht="20.399999999999999" hidden="1">
      <c r="A75" s="5">
        <v>58</v>
      </c>
      <c r="B75" s="159" t="s">
        <v>6749</v>
      </c>
      <c r="C75" s="37" t="s">
        <v>6751</v>
      </c>
      <c r="D75" s="28">
        <v>0</v>
      </c>
      <c r="E75" s="29">
        <v>1400000</v>
      </c>
      <c r="F75" s="158" t="s">
        <v>6750</v>
      </c>
      <c r="G75" s="160" t="s">
        <v>1900</v>
      </c>
      <c r="H75" s="167">
        <v>670190997777</v>
      </c>
      <c r="I75" s="160" t="s">
        <v>1901</v>
      </c>
    </row>
    <row r="76" spans="1:10" ht="20.399999999999999" hidden="1">
      <c r="A76" s="5">
        <v>59</v>
      </c>
      <c r="B76" s="159" t="s">
        <v>6709</v>
      </c>
      <c r="C76" s="37" t="s">
        <v>6738</v>
      </c>
      <c r="D76" s="28">
        <v>0</v>
      </c>
      <c r="E76" s="29">
        <v>600000</v>
      </c>
      <c r="F76" s="158" t="s">
        <v>6710</v>
      </c>
      <c r="G76" s="160" t="s">
        <v>1900</v>
      </c>
      <c r="H76" s="167">
        <v>670190997777</v>
      </c>
      <c r="I76" s="160" t="s">
        <v>1901</v>
      </c>
    </row>
    <row r="77" spans="1:10" ht="20.399999999999999" hidden="1">
      <c r="A77" s="5">
        <v>60</v>
      </c>
      <c r="B77" s="159" t="s">
        <v>6711</v>
      </c>
      <c r="C77" s="37" t="s">
        <v>6737</v>
      </c>
      <c r="D77" s="28">
        <v>0</v>
      </c>
      <c r="E77" s="29">
        <v>600000</v>
      </c>
      <c r="F77" s="160" t="s">
        <v>6712</v>
      </c>
      <c r="G77" s="160" t="s">
        <v>1900</v>
      </c>
      <c r="H77" s="167">
        <v>670190997777</v>
      </c>
      <c r="I77" s="160" t="s">
        <v>1901</v>
      </c>
    </row>
    <row r="78" spans="1:10" ht="40.799999999999997" hidden="1">
      <c r="A78" s="5">
        <v>61</v>
      </c>
      <c r="B78" s="157" t="s">
        <v>6713</v>
      </c>
      <c r="C78" s="39" t="s">
        <v>6736</v>
      </c>
      <c r="D78" s="33">
        <v>0</v>
      </c>
      <c r="E78" s="34">
        <v>900000</v>
      </c>
      <c r="F78" s="35" t="s">
        <v>6714</v>
      </c>
      <c r="G78" s="158" t="s">
        <v>1900</v>
      </c>
      <c r="H78" s="168">
        <v>670190997777</v>
      </c>
      <c r="I78" s="158" t="s">
        <v>1901</v>
      </c>
    </row>
    <row r="79" spans="1:10" ht="30.6" hidden="1">
      <c r="A79" s="5">
        <v>62</v>
      </c>
      <c r="B79" s="157" t="s">
        <v>6715</v>
      </c>
      <c r="C79" s="39" t="s">
        <v>6735</v>
      </c>
      <c r="D79" s="33">
        <v>0</v>
      </c>
      <c r="E79" s="34">
        <v>800000</v>
      </c>
      <c r="F79" s="35" t="s">
        <v>6716</v>
      </c>
      <c r="G79" s="158" t="s">
        <v>1900</v>
      </c>
      <c r="H79" s="168">
        <v>670190997777</v>
      </c>
      <c r="I79" s="158" t="s">
        <v>1901</v>
      </c>
    </row>
    <row r="80" spans="1:10" ht="20.399999999999999" hidden="1">
      <c r="A80" s="5">
        <v>63</v>
      </c>
      <c r="B80" s="159" t="s">
        <v>6717</v>
      </c>
      <c r="C80" s="37" t="s">
        <v>6734</v>
      </c>
      <c r="D80" s="28">
        <v>0</v>
      </c>
      <c r="E80" s="29">
        <v>200000</v>
      </c>
      <c r="F80" s="158" t="s">
        <v>6718</v>
      </c>
      <c r="G80" s="160" t="s">
        <v>1900</v>
      </c>
      <c r="H80" s="167">
        <v>670190997777</v>
      </c>
      <c r="I80" s="160" t="s">
        <v>1901</v>
      </c>
    </row>
    <row r="81" spans="1:9" ht="20.399999999999999" hidden="1">
      <c r="A81" s="5">
        <v>64</v>
      </c>
      <c r="B81" s="159" t="s">
        <v>6719</v>
      </c>
      <c r="C81" s="37" t="s">
        <v>6733</v>
      </c>
      <c r="D81" s="28">
        <v>0</v>
      </c>
      <c r="E81" s="29">
        <v>1100000</v>
      </c>
      <c r="F81" s="158" t="s">
        <v>6720</v>
      </c>
      <c r="G81" s="160" t="s">
        <v>1900</v>
      </c>
      <c r="H81" s="167">
        <v>670190997777</v>
      </c>
      <c r="I81" s="160" t="s">
        <v>1901</v>
      </c>
    </row>
    <row r="82" spans="1:9" ht="20.399999999999999" hidden="1">
      <c r="A82" s="5">
        <v>65</v>
      </c>
      <c r="B82" s="159" t="s">
        <v>6721</v>
      </c>
      <c r="C82" s="37" t="s">
        <v>6732</v>
      </c>
      <c r="D82" s="28">
        <v>0</v>
      </c>
      <c r="E82" s="29">
        <v>2500000</v>
      </c>
      <c r="F82" s="158" t="s">
        <v>6722</v>
      </c>
      <c r="G82" s="160" t="s">
        <v>1900</v>
      </c>
      <c r="H82" s="167">
        <v>670190997777</v>
      </c>
      <c r="I82" s="160" t="s">
        <v>1901</v>
      </c>
    </row>
    <row r="83" spans="1:9" ht="20.399999999999999" hidden="1">
      <c r="A83" s="5">
        <v>66</v>
      </c>
      <c r="B83" s="159" t="s">
        <v>6723</v>
      </c>
      <c r="C83" s="37" t="s">
        <v>6731</v>
      </c>
      <c r="D83" s="28">
        <v>0</v>
      </c>
      <c r="E83" s="29">
        <v>400000</v>
      </c>
      <c r="F83" s="158" t="s">
        <v>6724</v>
      </c>
      <c r="G83" s="160" t="s">
        <v>1900</v>
      </c>
      <c r="H83" s="31">
        <v>670190997777</v>
      </c>
      <c r="I83" s="160" t="s">
        <v>1901</v>
      </c>
    </row>
    <row r="84" spans="1:9" ht="20.399999999999999" hidden="1">
      <c r="A84" s="5">
        <v>67</v>
      </c>
      <c r="B84" s="159" t="s">
        <v>6725</v>
      </c>
      <c r="C84" s="37" t="s">
        <v>6730</v>
      </c>
      <c r="D84" s="28">
        <v>0</v>
      </c>
      <c r="E84" s="92">
        <v>300000</v>
      </c>
      <c r="F84" s="158" t="s">
        <v>6726</v>
      </c>
      <c r="G84" s="160" t="s">
        <v>1900</v>
      </c>
      <c r="H84" s="31">
        <v>670190997777</v>
      </c>
      <c r="I84" s="160" t="s">
        <v>1901</v>
      </c>
    </row>
    <row r="85" spans="1:9" ht="30.6" hidden="1">
      <c r="A85" s="5">
        <v>68</v>
      </c>
      <c r="B85" s="157" t="s">
        <v>6727</v>
      </c>
      <c r="C85" s="39" t="s">
        <v>6729</v>
      </c>
      <c r="D85" s="33">
        <v>0</v>
      </c>
      <c r="E85" s="34">
        <v>1000000</v>
      </c>
      <c r="F85" s="35" t="s">
        <v>6728</v>
      </c>
      <c r="G85" s="158" t="s">
        <v>1900</v>
      </c>
      <c r="H85" s="36">
        <v>670190997777</v>
      </c>
      <c r="I85" s="158" t="s">
        <v>1901</v>
      </c>
    </row>
    <row r="86" spans="1:9" ht="40.799999999999997" hidden="1">
      <c r="A86" s="5">
        <v>69</v>
      </c>
      <c r="B86" s="157" t="s">
        <v>6616</v>
      </c>
      <c r="C86" s="39" t="s">
        <v>6658</v>
      </c>
      <c r="D86" s="33">
        <v>0</v>
      </c>
      <c r="E86" s="34">
        <v>300000</v>
      </c>
      <c r="F86" s="35" t="s">
        <v>6617</v>
      </c>
      <c r="G86" s="158" t="s">
        <v>1900</v>
      </c>
      <c r="H86" s="36">
        <v>670190997777</v>
      </c>
      <c r="I86" s="158" t="s">
        <v>1901</v>
      </c>
    </row>
    <row r="87" spans="1:9" ht="30.6" hidden="1">
      <c r="A87" s="5">
        <v>70</v>
      </c>
      <c r="B87" s="157" t="s">
        <v>6618</v>
      </c>
      <c r="C87" s="39" t="s">
        <v>6657</v>
      </c>
      <c r="D87" s="33">
        <v>0</v>
      </c>
      <c r="E87" s="34">
        <v>800000</v>
      </c>
      <c r="F87" s="35" t="s">
        <v>6619</v>
      </c>
      <c r="G87" s="158" t="s">
        <v>1900</v>
      </c>
      <c r="H87" s="36">
        <v>670190997777</v>
      </c>
      <c r="I87" s="158" t="s">
        <v>1901</v>
      </c>
    </row>
    <row r="88" spans="1:9" ht="20.399999999999999" hidden="1">
      <c r="A88" s="5">
        <v>71</v>
      </c>
      <c r="B88" s="159" t="s">
        <v>6620</v>
      </c>
      <c r="C88" s="37" t="s">
        <v>6656</v>
      </c>
      <c r="D88" s="28">
        <v>0</v>
      </c>
      <c r="E88" s="29">
        <v>800000</v>
      </c>
      <c r="F88" s="158" t="s">
        <v>6621</v>
      </c>
      <c r="G88" s="160" t="s">
        <v>1900</v>
      </c>
      <c r="H88" s="31">
        <v>670190997777</v>
      </c>
      <c r="I88" s="160" t="s">
        <v>1901</v>
      </c>
    </row>
    <row r="89" spans="1:9" ht="20.399999999999999" hidden="1">
      <c r="A89" s="5">
        <v>72</v>
      </c>
      <c r="B89" s="159" t="s">
        <v>6622</v>
      </c>
      <c r="C89" s="37" t="s">
        <v>6655</v>
      </c>
      <c r="D89" s="28">
        <v>0</v>
      </c>
      <c r="E89" s="29">
        <v>600000</v>
      </c>
      <c r="F89" s="158" t="s">
        <v>6623</v>
      </c>
      <c r="G89" s="160" t="s">
        <v>1900</v>
      </c>
      <c r="H89" s="31">
        <v>670190997777</v>
      </c>
      <c r="I89" s="160" t="s">
        <v>1901</v>
      </c>
    </row>
    <row r="90" spans="1:9" ht="20.399999999999999" hidden="1">
      <c r="A90" s="5">
        <v>73</v>
      </c>
      <c r="B90" s="159" t="s">
        <v>6624</v>
      </c>
      <c r="C90" s="37" t="s">
        <v>6654</v>
      </c>
      <c r="D90" s="28">
        <v>0</v>
      </c>
      <c r="E90" s="29">
        <v>700000</v>
      </c>
      <c r="F90" s="158" t="s">
        <v>6625</v>
      </c>
      <c r="G90" s="160" t="s">
        <v>1900</v>
      </c>
      <c r="H90" s="31">
        <v>670190997777</v>
      </c>
      <c r="I90" s="160" t="s">
        <v>1901</v>
      </c>
    </row>
    <row r="91" spans="1:9" ht="20.399999999999999" hidden="1">
      <c r="A91" s="5">
        <v>74</v>
      </c>
      <c r="B91" s="159" t="s">
        <v>6626</v>
      </c>
      <c r="C91" s="37" t="s">
        <v>6653</v>
      </c>
      <c r="D91" s="28">
        <v>0</v>
      </c>
      <c r="E91" s="29">
        <v>600000</v>
      </c>
      <c r="F91" s="35" t="s">
        <v>6627</v>
      </c>
      <c r="G91" s="160" t="s">
        <v>1900</v>
      </c>
      <c r="H91" s="31">
        <v>670190997777</v>
      </c>
      <c r="I91" s="160" t="s">
        <v>1901</v>
      </c>
    </row>
    <row r="92" spans="1:9" ht="20.399999999999999" hidden="1">
      <c r="A92" s="5">
        <v>75</v>
      </c>
      <c r="B92" s="159" t="s">
        <v>6628</v>
      </c>
      <c r="C92" s="37" t="s">
        <v>6652</v>
      </c>
      <c r="D92" s="28">
        <v>0</v>
      </c>
      <c r="E92" s="29">
        <v>900000</v>
      </c>
      <c r="F92" s="158" t="s">
        <v>6629</v>
      </c>
      <c r="G92" s="160" t="s">
        <v>1900</v>
      </c>
      <c r="H92" s="31">
        <v>670190997777</v>
      </c>
      <c r="I92" s="160" t="s">
        <v>1901</v>
      </c>
    </row>
    <row r="93" spans="1:9" ht="20.399999999999999" hidden="1">
      <c r="A93" s="5">
        <v>76</v>
      </c>
      <c r="B93" s="159" t="s">
        <v>6630</v>
      </c>
      <c r="C93" s="37" t="s">
        <v>6650</v>
      </c>
      <c r="D93" s="28">
        <v>0</v>
      </c>
      <c r="E93" s="29">
        <v>100000</v>
      </c>
      <c r="F93" s="35" t="s">
        <v>6631</v>
      </c>
      <c r="G93" s="160" t="s">
        <v>1900</v>
      </c>
      <c r="H93" s="31">
        <v>670190997777</v>
      </c>
      <c r="I93" s="160" t="s">
        <v>1901</v>
      </c>
    </row>
    <row r="94" spans="1:9" ht="30.6" hidden="1">
      <c r="A94" s="5">
        <v>77</v>
      </c>
      <c r="B94" s="157" t="s">
        <v>6632</v>
      </c>
      <c r="C94" s="39" t="s">
        <v>6649</v>
      </c>
      <c r="D94" s="33">
        <v>0</v>
      </c>
      <c r="E94" s="34">
        <v>500000</v>
      </c>
      <c r="F94" s="35" t="s">
        <v>6633</v>
      </c>
      <c r="G94" s="158" t="s">
        <v>1900</v>
      </c>
      <c r="H94" s="36">
        <v>670190997777</v>
      </c>
      <c r="I94" s="158" t="s">
        <v>1901</v>
      </c>
    </row>
    <row r="95" spans="1:9" ht="20.399999999999999" hidden="1">
      <c r="A95" s="5">
        <v>78</v>
      </c>
      <c r="B95" s="159" t="s">
        <v>6634</v>
      </c>
      <c r="C95" s="37" t="s">
        <v>6648</v>
      </c>
      <c r="D95" s="28">
        <v>0</v>
      </c>
      <c r="E95" s="29">
        <v>700000</v>
      </c>
      <c r="F95" s="35" t="s">
        <v>6635</v>
      </c>
      <c r="G95" s="160" t="s">
        <v>1900</v>
      </c>
      <c r="H95" s="31">
        <v>670190997777</v>
      </c>
      <c r="I95" s="160" t="s">
        <v>1901</v>
      </c>
    </row>
    <row r="96" spans="1:9" ht="20.399999999999999" hidden="1">
      <c r="A96" s="5">
        <v>79</v>
      </c>
      <c r="B96" s="159" t="s">
        <v>6636</v>
      </c>
      <c r="C96" s="37" t="s">
        <v>6647</v>
      </c>
      <c r="D96" s="28">
        <v>0</v>
      </c>
      <c r="E96" s="29">
        <v>900000</v>
      </c>
      <c r="F96" s="158" t="s">
        <v>6637</v>
      </c>
      <c r="G96" s="160" t="s">
        <v>1900</v>
      </c>
      <c r="H96" s="31">
        <v>670190997777</v>
      </c>
      <c r="I96" s="160" t="s">
        <v>1901</v>
      </c>
    </row>
    <row r="97" spans="1:10" ht="20.399999999999999" hidden="1">
      <c r="A97" s="5">
        <v>80</v>
      </c>
      <c r="B97" s="146" t="s">
        <v>6598</v>
      </c>
      <c r="C97" s="161" t="s">
        <v>6646</v>
      </c>
      <c r="D97" s="148">
        <v>0</v>
      </c>
      <c r="E97" s="149">
        <v>1400000</v>
      </c>
      <c r="F97" s="150" t="s">
        <v>6599</v>
      </c>
      <c r="G97" s="147" t="s">
        <v>1900</v>
      </c>
      <c r="H97" s="151">
        <v>670190997777</v>
      </c>
      <c r="I97" s="147" t="s">
        <v>1901</v>
      </c>
    </row>
    <row r="98" spans="1:10" ht="20.399999999999999" hidden="1">
      <c r="A98" s="5">
        <v>81</v>
      </c>
      <c r="B98" s="146" t="s">
        <v>6600</v>
      </c>
      <c r="C98" s="161" t="s">
        <v>6645</v>
      </c>
      <c r="D98" s="148">
        <v>0</v>
      </c>
      <c r="E98" s="149">
        <v>300000</v>
      </c>
      <c r="F98" s="147" t="s">
        <v>6601</v>
      </c>
      <c r="G98" s="147" t="s">
        <v>1900</v>
      </c>
      <c r="H98" s="151">
        <v>670190997777</v>
      </c>
      <c r="I98" s="147" t="s">
        <v>1901</v>
      </c>
    </row>
    <row r="99" spans="1:10" ht="30.6" hidden="1">
      <c r="A99" s="5">
        <v>82</v>
      </c>
      <c r="B99" s="152" t="s">
        <v>6602</v>
      </c>
      <c r="C99" s="162" t="s">
        <v>6644</v>
      </c>
      <c r="D99" s="153">
        <v>0</v>
      </c>
      <c r="E99" s="154">
        <v>1400000</v>
      </c>
      <c r="F99" s="155" t="s">
        <v>6603</v>
      </c>
      <c r="G99" s="150" t="s">
        <v>1900</v>
      </c>
      <c r="H99" s="156">
        <v>670190997777</v>
      </c>
      <c r="I99" s="150" t="s">
        <v>1901</v>
      </c>
    </row>
    <row r="100" spans="1:10" ht="20.399999999999999" hidden="1">
      <c r="A100" s="5">
        <v>83</v>
      </c>
      <c r="B100" s="146" t="s">
        <v>6604</v>
      </c>
      <c r="C100" s="161" t="s">
        <v>6643</v>
      </c>
      <c r="D100" s="148">
        <v>0</v>
      </c>
      <c r="E100" s="149">
        <v>1100000</v>
      </c>
      <c r="F100" s="150" t="s">
        <v>6605</v>
      </c>
      <c r="G100" s="147" t="s">
        <v>1900</v>
      </c>
      <c r="H100" s="151">
        <v>670190997777</v>
      </c>
      <c r="I100" s="147" t="s">
        <v>1901</v>
      </c>
    </row>
    <row r="101" spans="1:10" ht="20.399999999999999" hidden="1">
      <c r="A101" s="5">
        <v>84</v>
      </c>
      <c r="B101" s="146" t="s">
        <v>6606</v>
      </c>
      <c r="C101" s="161" t="s">
        <v>6642</v>
      </c>
      <c r="D101" s="148">
        <v>0</v>
      </c>
      <c r="E101" s="149">
        <v>1500000</v>
      </c>
      <c r="F101" s="150" t="s">
        <v>6607</v>
      </c>
      <c r="G101" s="147" t="s">
        <v>1900</v>
      </c>
      <c r="H101" s="151">
        <v>670190997777</v>
      </c>
      <c r="I101" s="147" t="s">
        <v>1901</v>
      </c>
    </row>
    <row r="102" spans="1:10" ht="20.399999999999999" hidden="1">
      <c r="A102" s="5">
        <v>85</v>
      </c>
      <c r="B102" s="146" t="s">
        <v>6608</v>
      </c>
      <c r="C102" s="161" t="s">
        <v>6641</v>
      </c>
      <c r="D102" s="148">
        <v>0</v>
      </c>
      <c r="E102" s="149">
        <v>600000</v>
      </c>
      <c r="F102" s="150" t="s">
        <v>6609</v>
      </c>
      <c r="G102" s="147" t="s">
        <v>1900</v>
      </c>
      <c r="H102" s="151">
        <v>670190997777</v>
      </c>
      <c r="I102" s="147" t="s">
        <v>1901</v>
      </c>
    </row>
    <row r="103" spans="1:10" ht="20.399999999999999" hidden="1">
      <c r="A103" s="5">
        <v>86</v>
      </c>
      <c r="B103" s="146" t="s">
        <v>6610</v>
      </c>
      <c r="C103" s="161" t="s">
        <v>6640</v>
      </c>
      <c r="D103" s="148">
        <v>0</v>
      </c>
      <c r="E103" s="149">
        <v>1400000</v>
      </c>
      <c r="F103" s="150" t="s">
        <v>6611</v>
      </c>
      <c r="G103" s="147" t="s">
        <v>1900</v>
      </c>
      <c r="H103" s="151">
        <v>670190997777</v>
      </c>
      <c r="I103" s="147" t="s">
        <v>1901</v>
      </c>
    </row>
    <row r="104" spans="1:10" ht="20.399999999999999" hidden="1">
      <c r="A104" s="5">
        <v>87</v>
      </c>
      <c r="B104" s="146" t="s">
        <v>6612</v>
      </c>
      <c r="C104" s="161" t="s">
        <v>6639</v>
      </c>
      <c r="D104" s="148">
        <v>0</v>
      </c>
      <c r="E104" s="149">
        <v>800000</v>
      </c>
      <c r="F104" s="150" t="s">
        <v>6613</v>
      </c>
      <c r="G104" s="147" t="s">
        <v>1900</v>
      </c>
      <c r="H104" s="151">
        <v>670190997777</v>
      </c>
      <c r="I104" s="147" t="s">
        <v>1901</v>
      </c>
    </row>
    <row r="105" spans="1:10" ht="20.399999999999999" hidden="1">
      <c r="A105" s="5">
        <v>88</v>
      </c>
      <c r="B105" s="146" t="s">
        <v>6614</v>
      </c>
      <c r="C105" s="161" t="s">
        <v>6638</v>
      </c>
      <c r="D105" s="148">
        <v>0</v>
      </c>
      <c r="E105" s="149">
        <v>600000</v>
      </c>
      <c r="F105" s="150" t="s">
        <v>6615</v>
      </c>
      <c r="G105" s="147" t="s">
        <v>1900</v>
      </c>
      <c r="H105" s="151">
        <v>670190997777</v>
      </c>
      <c r="I105" s="147" t="s">
        <v>1901</v>
      </c>
    </row>
    <row r="106" spans="1:10" ht="20.399999999999999" hidden="1">
      <c r="A106" s="5">
        <v>89</v>
      </c>
      <c r="B106" s="26" t="s">
        <v>6527</v>
      </c>
      <c r="C106" s="37" t="s">
        <v>6592</v>
      </c>
      <c r="D106" s="28">
        <v>0</v>
      </c>
      <c r="E106" s="29">
        <v>500000</v>
      </c>
      <c r="F106" s="30" t="s">
        <v>6528</v>
      </c>
      <c r="G106" s="27" t="s">
        <v>1900</v>
      </c>
      <c r="H106" s="31">
        <v>670190997777</v>
      </c>
      <c r="I106" s="27" t="s">
        <v>1901</v>
      </c>
    </row>
    <row r="107" spans="1:10" ht="20.399999999999999" hidden="1">
      <c r="A107" s="5">
        <v>90</v>
      </c>
      <c r="B107" s="26" t="s">
        <v>6529</v>
      </c>
      <c r="C107" s="37" t="s">
        <v>6589</v>
      </c>
      <c r="D107" s="28">
        <v>0</v>
      </c>
      <c r="E107" s="29">
        <v>800000</v>
      </c>
      <c r="F107" s="30" t="s">
        <v>6530</v>
      </c>
      <c r="G107" s="27" t="s">
        <v>1900</v>
      </c>
      <c r="H107" s="31">
        <v>670190997777</v>
      </c>
      <c r="I107" s="27" t="s">
        <v>1901</v>
      </c>
    </row>
    <row r="108" spans="1:10" ht="20.399999999999999" hidden="1">
      <c r="A108" s="5">
        <v>91</v>
      </c>
      <c r="B108" s="26" t="s">
        <v>6531</v>
      </c>
      <c r="C108" s="37" t="s">
        <v>6588</v>
      </c>
      <c r="D108" s="28">
        <v>0</v>
      </c>
      <c r="E108" s="29">
        <v>400000</v>
      </c>
      <c r="F108" s="30" t="s">
        <v>6532</v>
      </c>
      <c r="G108" s="27" t="s">
        <v>1900</v>
      </c>
      <c r="H108" s="31">
        <v>670190997777</v>
      </c>
      <c r="I108" s="27" t="s">
        <v>1901</v>
      </c>
    </row>
    <row r="109" spans="1:10" ht="20.399999999999999" hidden="1">
      <c r="A109" s="5">
        <v>92</v>
      </c>
      <c r="B109" s="26" t="s">
        <v>6533</v>
      </c>
      <c r="C109" s="37" t="s">
        <v>6587</v>
      </c>
      <c r="D109" s="28">
        <v>0</v>
      </c>
      <c r="E109" s="92">
        <v>300000</v>
      </c>
      <c r="F109" s="30" t="s">
        <v>6534</v>
      </c>
      <c r="G109" s="27" t="s">
        <v>1900</v>
      </c>
      <c r="H109" s="31">
        <v>670190997777</v>
      </c>
      <c r="I109" s="27" t="s">
        <v>1901</v>
      </c>
      <c r="J109" s="44" t="s">
        <v>541</v>
      </c>
    </row>
    <row r="110" spans="1:10" ht="20.399999999999999" hidden="1">
      <c r="A110" s="5">
        <v>93</v>
      </c>
      <c r="B110" s="26" t="s">
        <v>6535</v>
      </c>
      <c r="C110" s="37" t="s">
        <v>6586</v>
      </c>
      <c r="D110" s="28">
        <v>0</v>
      </c>
      <c r="E110" s="29">
        <v>700000</v>
      </c>
      <c r="F110" s="30" t="s">
        <v>6536</v>
      </c>
      <c r="G110" s="27" t="s">
        <v>1900</v>
      </c>
      <c r="H110" s="31">
        <v>670190997777</v>
      </c>
      <c r="I110" s="27" t="s">
        <v>1901</v>
      </c>
    </row>
    <row r="111" spans="1:10" ht="30.6" hidden="1">
      <c r="A111" s="5">
        <v>94</v>
      </c>
      <c r="B111" s="32" t="s">
        <v>6537</v>
      </c>
      <c r="C111" s="39" t="s">
        <v>6583</v>
      </c>
      <c r="D111" s="33">
        <v>0</v>
      </c>
      <c r="E111" s="34">
        <v>500000</v>
      </c>
      <c r="F111" s="35" t="s">
        <v>6538</v>
      </c>
      <c r="G111" s="30" t="s">
        <v>1900</v>
      </c>
      <c r="H111" s="36">
        <v>670190997777</v>
      </c>
      <c r="I111" s="30" t="s">
        <v>1901</v>
      </c>
      <c r="J111" s="5" t="s">
        <v>6585</v>
      </c>
    </row>
    <row r="112" spans="1:10" ht="20.399999999999999" hidden="1">
      <c r="A112" s="5">
        <v>95</v>
      </c>
      <c r="B112" s="26" t="s">
        <v>6539</v>
      </c>
      <c r="C112" s="37" t="s">
        <v>6582</v>
      </c>
      <c r="D112" s="28">
        <v>0</v>
      </c>
      <c r="E112" s="29">
        <v>400000</v>
      </c>
      <c r="F112" s="35" t="s">
        <v>6540</v>
      </c>
      <c r="G112" s="27" t="s">
        <v>1900</v>
      </c>
      <c r="H112" s="31">
        <v>670190997777</v>
      </c>
      <c r="I112" s="27" t="s">
        <v>1901</v>
      </c>
    </row>
    <row r="113" spans="1:11" ht="20.399999999999999" hidden="1">
      <c r="A113" s="5">
        <v>96</v>
      </c>
      <c r="B113" s="26" t="s">
        <v>6541</v>
      </c>
      <c r="C113" s="37" t="s">
        <v>6581</v>
      </c>
      <c r="D113" s="28">
        <v>0</v>
      </c>
      <c r="E113" s="29">
        <v>1800000</v>
      </c>
      <c r="F113" s="30" t="s">
        <v>6542</v>
      </c>
      <c r="G113" s="27" t="s">
        <v>1900</v>
      </c>
      <c r="H113" s="31">
        <v>670190997777</v>
      </c>
      <c r="I113" s="27" t="s">
        <v>1901</v>
      </c>
    </row>
    <row r="114" spans="1:11" ht="20.399999999999999" hidden="1">
      <c r="A114" s="5">
        <v>97</v>
      </c>
      <c r="B114" s="26" t="s">
        <v>6543</v>
      </c>
      <c r="C114" s="37" t="s">
        <v>6580</v>
      </c>
      <c r="D114" s="28">
        <v>0</v>
      </c>
      <c r="E114" s="29">
        <v>1700000</v>
      </c>
      <c r="F114" s="30" t="s">
        <v>6544</v>
      </c>
      <c r="G114" s="27" t="s">
        <v>1900</v>
      </c>
      <c r="H114" s="31">
        <v>670190997777</v>
      </c>
      <c r="I114" s="27" t="s">
        <v>1901</v>
      </c>
    </row>
    <row r="115" spans="1:11" ht="20.399999999999999" hidden="1">
      <c r="A115" s="5">
        <v>98</v>
      </c>
      <c r="B115" s="26" t="s">
        <v>6497</v>
      </c>
      <c r="C115" s="37" t="s">
        <v>6579</v>
      </c>
      <c r="D115" s="28">
        <v>0</v>
      </c>
      <c r="E115" s="29">
        <v>2500000</v>
      </c>
      <c r="F115" s="35" t="s">
        <v>6498</v>
      </c>
      <c r="G115" s="27" t="s">
        <v>1900</v>
      </c>
      <c r="H115" s="31">
        <v>670190997777</v>
      </c>
      <c r="I115" s="27" t="s">
        <v>1901</v>
      </c>
    </row>
    <row r="116" spans="1:11" ht="20.399999999999999" hidden="1">
      <c r="A116" s="5">
        <v>99</v>
      </c>
      <c r="B116" s="26" t="s">
        <v>6499</v>
      </c>
      <c r="C116" s="37" t="s">
        <v>6578</v>
      </c>
      <c r="D116" s="28">
        <v>0</v>
      </c>
      <c r="E116" s="29">
        <v>900000</v>
      </c>
      <c r="F116" s="30" t="s">
        <v>6500</v>
      </c>
      <c r="G116" s="27" t="s">
        <v>1900</v>
      </c>
      <c r="H116" s="31">
        <v>670190997777</v>
      </c>
      <c r="I116" s="27" t="s">
        <v>1901</v>
      </c>
      <c r="J116" s="44" t="s">
        <v>6591</v>
      </c>
    </row>
    <row r="117" spans="1:11" ht="20.399999999999999" hidden="1">
      <c r="A117" s="5">
        <v>100</v>
      </c>
      <c r="B117" s="26" t="s">
        <v>6501</v>
      </c>
      <c r="C117" s="37" t="s">
        <v>6577</v>
      </c>
      <c r="D117" s="28">
        <v>0</v>
      </c>
      <c r="E117" s="29">
        <v>3100000</v>
      </c>
      <c r="F117" s="30" t="s">
        <v>6502</v>
      </c>
      <c r="G117" s="27" t="s">
        <v>1900</v>
      </c>
      <c r="H117" s="31">
        <v>670190997777</v>
      </c>
      <c r="I117" s="27" t="s">
        <v>1901</v>
      </c>
    </row>
    <row r="118" spans="1:11" ht="20.399999999999999" hidden="1">
      <c r="A118" s="5">
        <v>101</v>
      </c>
      <c r="B118" s="26" t="s">
        <v>6503</v>
      </c>
      <c r="C118" s="37" t="s">
        <v>6576</v>
      </c>
      <c r="D118" s="28">
        <v>0</v>
      </c>
      <c r="E118" s="29">
        <v>800000</v>
      </c>
      <c r="F118" s="30" t="s">
        <v>6504</v>
      </c>
      <c r="G118" s="27" t="s">
        <v>1900</v>
      </c>
      <c r="H118" s="31">
        <v>670190997777</v>
      </c>
      <c r="I118" s="27" t="s">
        <v>1901</v>
      </c>
    </row>
    <row r="119" spans="1:11" ht="20.399999999999999" hidden="1">
      <c r="A119" s="5">
        <v>102</v>
      </c>
      <c r="B119" s="26" t="s">
        <v>6505</v>
      </c>
      <c r="C119" s="37" t="s">
        <v>6575</v>
      </c>
      <c r="D119" s="28">
        <v>0</v>
      </c>
      <c r="E119" s="29">
        <v>900000</v>
      </c>
      <c r="F119" s="35" t="s">
        <v>6506</v>
      </c>
      <c r="G119" s="27" t="s">
        <v>1900</v>
      </c>
      <c r="H119" s="31">
        <v>670190997777</v>
      </c>
      <c r="I119" s="27" t="s">
        <v>1901</v>
      </c>
      <c r="J119" s="44" t="s">
        <v>855</v>
      </c>
    </row>
    <row r="120" spans="1:11" ht="20.399999999999999" hidden="1">
      <c r="A120" s="5">
        <v>103</v>
      </c>
      <c r="B120" s="26" t="s">
        <v>6507</v>
      </c>
      <c r="C120" s="37" t="s">
        <v>6574</v>
      </c>
      <c r="D120" s="28">
        <v>0</v>
      </c>
      <c r="E120" s="29">
        <v>500000</v>
      </c>
      <c r="F120" s="30" t="s">
        <v>6508</v>
      </c>
      <c r="G120" s="27" t="s">
        <v>1900</v>
      </c>
      <c r="H120" s="31">
        <v>670190997777</v>
      </c>
      <c r="I120" s="27" t="s">
        <v>1901</v>
      </c>
      <c r="J120" s="44" t="s">
        <v>460</v>
      </c>
    </row>
    <row r="121" spans="1:11" ht="20.399999999999999" hidden="1">
      <c r="A121" s="5">
        <v>104</v>
      </c>
      <c r="B121" s="26" t="s">
        <v>6509</v>
      </c>
      <c r="C121" s="37" t="s">
        <v>6573</v>
      </c>
      <c r="D121" s="28">
        <v>0</v>
      </c>
      <c r="E121" s="29">
        <v>600000</v>
      </c>
      <c r="F121" s="30" t="s">
        <v>6510</v>
      </c>
      <c r="G121" s="27" t="s">
        <v>1900</v>
      </c>
      <c r="H121" s="31">
        <v>670190997777</v>
      </c>
      <c r="I121" s="27" t="s">
        <v>1901</v>
      </c>
      <c r="J121" s="44"/>
    </row>
    <row r="122" spans="1:11" ht="40.799999999999997" hidden="1">
      <c r="A122" s="5">
        <v>105</v>
      </c>
      <c r="B122" s="32" t="s">
        <v>6511</v>
      </c>
      <c r="C122" s="39" t="s">
        <v>6572</v>
      </c>
      <c r="D122" s="33">
        <v>0</v>
      </c>
      <c r="E122" s="34">
        <v>1300000</v>
      </c>
      <c r="F122" s="35" t="s">
        <v>6512</v>
      </c>
      <c r="G122" s="30" t="s">
        <v>1900</v>
      </c>
      <c r="H122" s="36">
        <v>670190997777</v>
      </c>
      <c r="I122" s="30" t="s">
        <v>1901</v>
      </c>
    </row>
    <row r="123" spans="1:11" ht="20.399999999999999" hidden="1">
      <c r="A123" s="5">
        <v>106</v>
      </c>
      <c r="B123" s="26" t="s">
        <v>6513</v>
      </c>
      <c r="C123" s="37" t="s">
        <v>6571</v>
      </c>
      <c r="D123" s="28">
        <v>0</v>
      </c>
      <c r="E123" s="92">
        <v>300000</v>
      </c>
      <c r="F123" s="30" t="s">
        <v>6514</v>
      </c>
      <c r="G123" s="27" t="s">
        <v>1900</v>
      </c>
      <c r="H123" s="31">
        <v>670190997777</v>
      </c>
      <c r="I123" s="27" t="s">
        <v>1901</v>
      </c>
      <c r="J123" s="44" t="s">
        <v>532</v>
      </c>
      <c r="K123" s="44" t="s">
        <v>533</v>
      </c>
    </row>
    <row r="124" spans="1:11" ht="20.399999999999999" hidden="1">
      <c r="A124" s="5">
        <v>107</v>
      </c>
      <c r="B124" s="26" t="s">
        <v>6515</v>
      </c>
      <c r="C124" s="37" t="s">
        <v>6570</v>
      </c>
      <c r="D124" s="28">
        <v>0</v>
      </c>
      <c r="E124" s="29">
        <v>800000</v>
      </c>
      <c r="F124" s="30" t="s">
        <v>6516</v>
      </c>
      <c r="G124" s="27" t="s">
        <v>1900</v>
      </c>
      <c r="H124" s="31">
        <v>670190997777</v>
      </c>
      <c r="I124" s="27" t="s">
        <v>1901</v>
      </c>
    </row>
    <row r="125" spans="1:11" ht="20.399999999999999" hidden="1">
      <c r="A125" s="5">
        <v>108</v>
      </c>
      <c r="B125" s="26" t="s">
        <v>6517</v>
      </c>
      <c r="C125" s="37" t="s">
        <v>6569</v>
      </c>
      <c r="D125" s="28">
        <v>0</v>
      </c>
      <c r="E125" s="29">
        <v>300000</v>
      </c>
      <c r="F125" s="30" t="s">
        <v>6518</v>
      </c>
      <c r="G125" s="27" t="s">
        <v>1900</v>
      </c>
      <c r="H125" s="31">
        <v>670190997777</v>
      </c>
      <c r="I125" s="27" t="s">
        <v>1901</v>
      </c>
    </row>
    <row r="126" spans="1:11" ht="20.399999999999999" hidden="1">
      <c r="A126" s="5">
        <v>109</v>
      </c>
      <c r="B126" s="26" t="s">
        <v>6519</v>
      </c>
      <c r="C126" s="37" t="s">
        <v>6568</v>
      </c>
      <c r="D126" s="28">
        <v>0</v>
      </c>
      <c r="E126" s="29">
        <v>300000</v>
      </c>
      <c r="F126" s="30" t="s">
        <v>6520</v>
      </c>
      <c r="G126" s="27" t="s">
        <v>1900</v>
      </c>
      <c r="H126" s="31">
        <v>670190997777</v>
      </c>
      <c r="I126" s="27" t="s">
        <v>1901</v>
      </c>
      <c r="J126" s="44" t="s">
        <v>535</v>
      </c>
    </row>
    <row r="127" spans="1:11" ht="20.399999999999999" hidden="1">
      <c r="A127" s="5">
        <v>110</v>
      </c>
      <c r="B127" s="26" t="s">
        <v>6521</v>
      </c>
      <c r="C127" s="37" t="s">
        <v>6566</v>
      </c>
      <c r="D127" s="28">
        <v>0</v>
      </c>
      <c r="E127" s="29">
        <v>500000</v>
      </c>
      <c r="F127" s="30" t="s">
        <v>6522</v>
      </c>
      <c r="G127" s="27" t="s">
        <v>1900</v>
      </c>
      <c r="H127" s="31">
        <v>670190997777</v>
      </c>
      <c r="I127" s="27" t="s">
        <v>1901</v>
      </c>
      <c r="J127" s="5" t="s">
        <v>6567</v>
      </c>
    </row>
    <row r="128" spans="1:11" ht="20.399999999999999" hidden="1">
      <c r="A128" s="5">
        <v>111</v>
      </c>
      <c r="B128" s="26" t="s">
        <v>6523</v>
      </c>
      <c r="C128" s="37" t="s">
        <v>6565</v>
      </c>
      <c r="D128" s="28">
        <v>0</v>
      </c>
      <c r="E128" s="29">
        <v>500000</v>
      </c>
      <c r="F128" s="30" t="s">
        <v>6524</v>
      </c>
      <c r="G128" s="27" t="s">
        <v>1900</v>
      </c>
      <c r="H128" s="31">
        <v>670190997777</v>
      </c>
      <c r="I128" s="27" t="s">
        <v>1901</v>
      </c>
      <c r="J128" s="44" t="s">
        <v>214</v>
      </c>
    </row>
    <row r="129" spans="1:10" ht="20.399999999999999" hidden="1">
      <c r="A129" s="5">
        <v>112</v>
      </c>
      <c r="B129" s="26" t="s">
        <v>6525</v>
      </c>
      <c r="C129" s="37" t="s">
        <v>6564</v>
      </c>
      <c r="D129" s="28">
        <v>0</v>
      </c>
      <c r="E129" s="29">
        <v>300000</v>
      </c>
      <c r="F129" s="30" t="s">
        <v>6526</v>
      </c>
      <c r="G129" s="27" t="s">
        <v>1900</v>
      </c>
      <c r="H129" s="31">
        <v>670190997777</v>
      </c>
      <c r="I129" s="27" t="s">
        <v>1901</v>
      </c>
    </row>
    <row r="130" spans="1:10" ht="20.399999999999999" hidden="1">
      <c r="A130" s="5">
        <v>113</v>
      </c>
      <c r="B130" s="26" t="s">
        <v>6468</v>
      </c>
      <c r="C130" s="37" t="s">
        <v>6563</v>
      </c>
      <c r="D130" s="28">
        <v>0</v>
      </c>
      <c r="E130" s="29">
        <v>600000</v>
      </c>
      <c r="F130" s="30" t="s">
        <v>6469</v>
      </c>
      <c r="G130" s="27" t="s">
        <v>1900</v>
      </c>
      <c r="H130" s="31">
        <v>670190997777</v>
      </c>
      <c r="I130" s="27" t="s">
        <v>1901</v>
      </c>
    </row>
    <row r="131" spans="1:10" ht="20.399999999999999" hidden="1">
      <c r="A131" s="5">
        <v>114</v>
      </c>
      <c r="B131" s="26" t="s">
        <v>6470</v>
      </c>
      <c r="C131" s="37" t="s">
        <v>6562</v>
      </c>
      <c r="D131" s="28">
        <v>0</v>
      </c>
      <c r="E131" s="29">
        <v>500000</v>
      </c>
      <c r="F131" s="30" t="s">
        <v>6471</v>
      </c>
      <c r="G131" s="27" t="s">
        <v>1900</v>
      </c>
      <c r="H131" s="31">
        <v>670190997777</v>
      </c>
      <c r="I131" s="27" t="s">
        <v>1901</v>
      </c>
    </row>
    <row r="132" spans="1:10" ht="28.2" hidden="1" customHeight="1">
      <c r="A132" s="5">
        <v>115</v>
      </c>
      <c r="B132" s="32" t="s">
        <v>6472</v>
      </c>
      <c r="C132" s="39" t="s">
        <v>6561</v>
      </c>
      <c r="D132" s="33">
        <v>0</v>
      </c>
      <c r="E132" s="34">
        <v>400000</v>
      </c>
      <c r="F132" s="35" t="s">
        <v>6473</v>
      </c>
      <c r="G132" s="30" t="s">
        <v>1900</v>
      </c>
      <c r="H132" s="36">
        <v>670190997777</v>
      </c>
      <c r="I132" s="30" t="s">
        <v>1901</v>
      </c>
    </row>
    <row r="133" spans="1:10" ht="20.399999999999999" hidden="1">
      <c r="A133" s="5">
        <v>116</v>
      </c>
      <c r="B133" s="26" t="s">
        <v>6474</v>
      </c>
      <c r="C133" s="37" t="s">
        <v>6560</v>
      </c>
      <c r="D133" s="28">
        <v>0</v>
      </c>
      <c r="E133" s="29">
        <v>300000</v>
      </c>
      <c r="F133" s="30" t="s">
        <v>6475</v>
      </c>
      <c r="G133" s="27" t="s">
        <v>1900</v>
      </c>
      <c r="H133" s="31">
        <v>670190997777</v>
      </c>
      <c r="I133" s="27" t="s">
        <v>1901</v>
      </c>
    </row>
    <row r="134" spans="1:10" ht="20.399999999999999" hidden="1">
      <c r="A134" s="5">
        <v>117</v>
      </c>
      <c r="B134" s="26" t="s">
        <v>6476</v>
      </c>
      <c r="C134" s="37" t="s">
        <v>6559</v>
      </c>
      <c r="D134" s="28">
        <v>0</v>
      </c>
      <c r="E134" s="29">
        <v>1900000</v>
      </c>
      <c r="F134" s="30" t="s">
        <v>6477</v>
      </c>
      <c r="G134" s="27" t="s">
        <v>1900</v>
      </c>
      <c r="H134" s="31">
        <v>670190997777</v>
      </c>
      <c r="I134" s="27" t="s">
        <v>1901</v>
      </c>
    </row>
    <row r="135" spans="1:10" ht="20.399999999999999" hidden="1">
      <c r="A135" s="5">
        <v>118</v>
      </c>
      <c r="B135" s="26" t="s">
        <v>6476</v>
      </c>
      <c r="C135" s="37" t="s">
        <v>6558</v>
      </c>
      <c r="D135" s="28">
        <v>0</v>
      </c>
      <c r="E135" s="29">
        <v>700000</v>
      </c>
      <c r="F135" s="35" t="s">
        <v>6478</v>
      </c>
      <c r="G135" s="27" t="s">
        <v>1900</v>
      </c>
      <c r="H135" s="31">
        <v>670190997777</v>
      </c>
      <c r="I135" s="27" t="s">
        <v>1901</v>
      </c>
    </row>
    <row r="136" spans="1:10" ht="20.399999999999999" hidden="1">
      <c r="A136" s="5">
        <v>119</v>
      </c>
      <c r="B136" s="26" t="s">
        <v>6479</v>
      </c>
      <c r="C136" s="37" t="s">
        <v>6557</v>
      </c>
      <c r="D136" s="28">
        <v>0</v>
      </c>
      <c r="E136" s="29">
        <v>300000</v>
      </c>
      <c r="F136" s="30" t="s">
        <v>6480</v>
      </c>
      <c r="G136" s="27" t="s">
        <v>1900</v>
      </c>
      <c r="H136" s="31">
        <v>670190997777</v>
      </c>
      <c r="I136" s="27" t="s">
        <v>1901</v>
      </c>
    </row>
    <row r="137" spans="1:10" ht="20.399999999999999" hidden="1">
      <c r="A137" s="5">
        <v>120</v>
      </c>
      <c r="B137" s="26" t="s">
        <v>6481</v>
      </c>
      <c r="C137" s="37" t="s">
        <v>6556</v>
      </c>
      <c r="D137" s="28">
        <v>0</v>
      </c>
      <c r="E137" s="29">
        <v>600000</v>
      </c>
      <c r="F137" s="30" t="s">
        <v>6482</v>
      </c>
      <c r="G137" s="27" t="s">
        <v>1900</v>
      </c>
      <c r="H137" s="31">
        <v>670190997777</v>
      </c>
      <c r="I137" s="27" t="s">
        <v>1901</v>
      </c>
    </row>
    <row r="138" spans="1:10" ht="20.399999999999999" hidden="1">
      <c r="A138" s="5">
        <v>121</v>
      </c>
      <c r="B138" s="26" t="s">
        <v>6483</v>
      </c>
      <c r="C138" s="37" t="s">
        <v>6555</v>
      </c>
      <c r="D138" s="28">
        <v>0</v>
      </c>
      <c r="E138" s="29">
        <v>500000</v>
      </c>
      <c r="F138" s="30" t="s">
        <v>6484</v>
      </c>
      <c r="G138" s="27" t="s">
        <v>1900</v>
      </c>
      <c r="H138" s="31">
        <v>670190997777</v>
      </c>
      <c r="I138" s="27" t="s">
        <v>1901</v>
      </c>
    </row>
    <row r="139" spans="1:10" ht="20.399999999999999" hidden="1">
      <c r="A139" s="5">
        <v>122</v>
      </c>
      <c r="B139" s="26" t="s">
        <v>6485</v>
      </c>
      <c r="C139" s="37" t="s">
        <v>6553</v>
      </c>
      <c r="D139" s="28">
        <v>0</v>
      </c>
      <c r="E139" s="29">
        <v>600000</v>
      </c>
      <c r="F139" s="35" t="s">
        <v>6486</v>
      </c>
      <c r="G139" s="27" t="s">
        <v>1900</v>
      </c>
      <c r="H139" s="31">
        <v>670190997777</v>
      </c>
      <c r="I139" s="27" t="s">
        <v>1901</v>
      </c>
      <c r="J139" s="5" t="s">
        <v>6554</v>
      </c>
    </row>
    <row r="140" spans="1:10" ht="20.399999999999999" hidden="1">
      <c r="A140" s="5">
        <v>123</v>
      </c>
      <c r="B140" s="26" t="s">
        <v>6487</v>
      </c>
      <c r="C140" s="37" t="s">
        <v>6552</v>
      </c>
      <c r="D140" s="28">
        <v>0</v>
      </c>
      <c r="E140" s="29">
        <v>600000</v>
      </c>
      <c r="F140" s="30" t="s">
        <v>6488</v>
      </c>
      <c r="G140" s="27" t="s">
        <v>1900</v>
      </c>
      <c r="H140" s="31">
        <v>670190997777</v>
      </c>
      <c r="I140" s="27" t="s">
        <v>1901</v>
      </c>
    </row>
    <row r="141" spans="1:10" ht="20.399999999999999" hidden="1">
      <c r="A141" s="5">
        <v>124</v>
      </c>
      <c r="B141" s="26" t="s">
        <v>6489</v>
      </c>
      <c r="C141" s="37" t="s">
        <v>6551</v>
      </c>
      <c r="D141" s="28">
        <v>0</v>
      </c>
      <c r="E141" s="29">
        <v>800000</v>
      </c>
      <c r="F141" s="30" t="s">
        <v>6490</v>
      </c>
      <c r="G141" s="27" t="s">
        <v>1900</v>
      </c>
      <c r="H141" s="31">
        <v>670190997777</v>
      </c>
      <c r="I141" s="27" t="s">
        <v>1901</v>
      </c>
    </row>
    <row r="142" spans="1:10" ht="20.399999999999999" hidden="1">
      <c r="A142" s="5">
        <v>125</v>
      </c>
      <c r="B142" s="26" t="s">
        <v>6491</v>
      </c>
      <c r="C142" s="37" t="s">
        <v>6550</v>
      </c>
      <c r="D142" s="28">
        <v>0</v>
      </c>
      <c r="E142" s="29">
        <v>900000</v>
      </c>
      <c r="F142" s="30" t="s">
        <v>6492</v>
      </c>
      <c r="G142" s="27" t="s">
        <v>1900</v>
      </c>
      <c r="H142" s="31">
        <v>670190997777</v>
      </c>
      <c r="I142" s="27" t="s">
        <v>1901</v>
      </c>
    </row>
    <row r="143" spans="1:10" ht="20.399999999999999" hidden="1">
      <c r="A143" s="5">
        <v>126</v>
      </c>
      <c r="B143" s="26" t="s">
        <v>6493</v>
      </c>
      <c r="C143" s="37" t="s">
        <v>6549</v>
      </c>
      <c r="D143" s="28">
        <v>0</v>
      </c>
      <c r="E143" s="29">
        <v>200000</v>
      </c>
      <c r="F143" s="30" t="s">
        <v>6494</v>
      </c>
      <c r="G143" s="27" t="s">
        <v>1900</v>
      </c>
      <c r="H143" s="31">
        <v>670190997777</v>
      </c>
      <c r="I143" s="27" t="s">
        <v>1901</v>
      </c>
    </row>
    <row r="144" spans="1:10" ht="20.399999999999999" hidden="1">
      <c r="A144" s="5">
        <v>127</v>
      </c>
      <c r="B144" s="26" t="s">
        <v>6495</v>
      </c>
      <c r="C144" s="37" t="s">
        <v>6548</v>
      </c>
      <c r="D144" s="28">
        <v>0</v>
      </c>
      <c r="E144" s="29">
        <v>800000</v>
      </c>
      <c r="F144" s="30" t="s">
        <v>6496</v>
      </c>
      <c r="G144" s="27" t="s">
        <v>1900</v>
      </c>
      <c r="H144" s="31">
        <v>670190997777</v>
      </c>
      <c r="I144" s="27" t="s">
        <v>1901</v>
      </c>
    </row>
    <row r="145" spans="1:10" ht="20.399999999999999" hidden="1">
      <c r="A145" s="5">
        <v>128</v>
      </c>
      <c r="B145" s="26" t="s">
        <v>6442</v>
      </c>
      <c r="C145" s="37" t="s">
        <v>6428</v>
      </c>
      <c r="D145" s="28">
        <v>0</v>
      </c>
      <c r="E145" s="29">
        <v>900000</v>
      </c>
      <c r="F145" s="30" t="s">
        <v>6443</v>
      </c>
      <c r="G145" s="27" t="s">
        <v>1900</v>
      </c>
      <c r="H145" s="31">
        <v>670190997777</v>
      </c>
      <c r="I145" s="27" t="s">
        <v>1901</v>
      </c>
    </row>
    <row r="146" spans="1:10" ht="30.6" hidden="1">
      <c r="A146" s="5">
        <v>129</v>
      </c>
      <c r="B146" s="32" t="s">
        <v>6444</v>
      </c>
      <c r="C146" s="39" t="s">
        <v>6429</v>
      </c>
      <c r="D146" s="33">
        <v>0</v>
      </c>
      <c r="E146" s="34">
        <v>500000</v>
      </c>
      <c r="F146" s="35" t="s">
        <v>6445</v>
      </c>
      <c r="G146" s="30" t="s">
        <v>1900</v>
      </c>
      <c r="H146" s="36">
        <v>670190997777</v>
      </c>
      <c r="I146" s="30" t="s">
        <v>1901</v>
      </c>
    </row>
    <row r="147" spans="1:10" ht="30.6" hidden="1">
      <c r="A147" s="5">
        <v>130</v>
      </c>
      <c r="B147" s="32" t="s">
        <v>6446</v>
      </c>
      <c r="C147" s="39" t="s">
        <v>6430</v>
      </c>
      <c r="D147" s="33">
        <v>0</v>
      </c>
      <c r="E147" s="34">
        <v>900000</v>
      </c>
      <c r="F147" s="35" t="s">
        <v>6447</v>
      </c>
      <c r="G147" s="30" t="s">
        <v>1900</v>
      </c>
      <c r="H147" s="36">
        <v>670190997777</v>
      </c>
      <c r="I147" s="30" t="s">
        <v>1901</v>
      </c>
    </row>
    <row r="148" spans="1:10" ht="30.6" hidden="1">
      <c r="A148" s="5">
        <v>131</v>
      </c>
      <c r="B148" s="32" t="s">
        <v>6448</v>
      </c>
      <c r="C148" s="39" t="s">
        <v>6431</v>
      </c>
      <c r="D148" s="33">
        <v>0</v>
      </c>
      <c r="E148" s="34">
        <v>900000</v>
      </c>
      <c r="F148" s="35" t="s">
        <v>6449</v>
      </c>
      <c r="G148" s="30" t="s">
        <v>1900</v>
      </c>
      <c r="H148" s="36">
        <v>670190997777</v>
      </c>
      <c r="I148" s="30" t="s">
        <v>1901</v>
      </c>
      <c r="J148" s="5" t="s">
        <v>6547</v>
      </c>
    </row>
    <row r="149" spans="1:10" ht="20.399999999999999" hidden="1">
      <c r="A149" s="5">
        <v>132</v>
      </c>
      <c r="B149" s="26" t="s">
        <v>6450</v>
      </c>
      <c r="C149" s="37" t="s">
        <v>6432</v>
      </c>
      <c r="D149" s="28">
        <v>0</v>
      </c>
      <c r="E149" s="29">
        <v>1600000</v>
      </c>
      <c r="F149" s="30" t="s">
        <v>6451</v>
      </c>
      <c r="G149" s="27" t="s">
        <v>1900</v>
      </c>
      <c r="H149" s="31">
        <v>670190997777</v>
      </c>
      <c r="I149" s="27" t="s">
        <v>1901</v>
      </c>
    </row>
    <row r="150" spans="1:10" ht="20.399999999999999" hidden="1">
      <c r="A150" s="5">
        <v>133</v>
      </c>
      <c r="B150" s="26" t="s">
        <v>6452</v>
      </c>
      <c r="C150" s="37" t="s">
        <v>6433</v>
      </c>
      <c r="D150" s="28">
        <v>0</v>
      </c>
      <c r="E150" s="29">
        <v>600000</v>
      </c>
      <c r="F150" s="30" t="s">
        <v>6453</v>
      </c>
      <c r="G150" s="27" t="s">
        <v>1900</v>
      </c>
      <c r="H150" s="31">
        <v>670190997777</v>
      </c>
      <c r="I150" s="27" t="s">
        <v>1901</v>
      </c>
    </row>
    <row r="151" spans="1:10" ht="20.399999999999999" hidden="1">
      <c r="A151" s="5">
        <v>134</v>
      </c>
      <c r="B151" s="26" t="s">
        <v>6452</v>
      </c>
      <c r="C151" s="37" t="s">
        <v>6434</v>
      </c>
      <c r="D151" s="28">
        <v>0</v>
      </c>
      <c r="E151" s="29">
        <v>300000</v>
      </c>
      <c r="F151" s="30" t="s">
        <v>6454</v>
      </c>
      <c r="G151" s="27" t="s">
        <v>1900</v>
      </c>
      <c r="H151" s="31">
        <v>670190997777</v>
      </c>
      <c r="I151" s="27" t="s">
        <v>1901</v>
      </c>
    </row>
    <row r="152" spans="1:10" ht="30.6" hidden="1">
      <c r="A152" s="5">
        <v>135</v>
      </c>
      <c r="B152" s="32" t="s">
        <v>6455</v>
      </c>
      <c r="C152" s="39" t="s">
        <v>6435</v>
      </c>
      <c r="D152" s="33">
        <v>0</v>
      </c>
      <c r="E152" s="34">
        <v>800000</v>
      </c>
      <c r="F152" s="35" t="s">
        <v>6456</v>
      </c>
      <c r="G152" s="30" t="s">
        <v>1900</v>
      </c>
      <c r="H152" s="36">
        <v>670190997777</v>
      </c>
      <c r="I152" s="30" t="s">
        <v>1901</v>
      </c>
    </row>
    <row r="153" spans="1:10" ht="30.6" hidden="1">
      <c r="A153" s="5">
        <v>136</v>
      </c>
      <c r="B153" s="32" t="s">
        <v>6457</v>
      </c>
      <c r="C153" s="39" t="s">
        <v>6436</v>
      </c>
      <c r="D153" s="33">
        <v>0</v>
      </c>
      <c r="E153" s="34">
        <v>900000</v>
      </c>
      <c r="F153" s="35" t="s">
        <v>6458</v>
      </c>
      <c r="G153" s="30" t="s">
        <v>1900</v>
      </c>
      <c r="H153" s="36">
        <v>670190997777</v>
      </c>
      <c r="I153" s="30" t="s">
        <v>1901</v>
      </c>
    </row>
    <row r="154" spans="1:10" ht="40.799999999999997" hidden="1">
      <c r="A154" s="5">
        <v>137</v>
      </c>
      <c r="B154" s="32" t="s">
        <v>6459</v>
      </c>
      <c r="C154" s="39" t="s">
        <v>6437</v>
      </c>
      <c r="D154" s="33">
        <v>0</v>
      </c>
      <c r="E154" s="34">
        <v>600000</v>
      </c>
      <c r="F154" s="35" t="s">
        <v>6460</v>
      </c>
      <c r="G154" s="30" t="s">
        <v>1900</v>
      </c>
      <c r="H154" s="36">
        <v>670190997777</v>
      </c>
      <c r="I154" s="30" t="s">
        <v>1901</v>
      </c>
    </row>
    <row r="155" spans="1:10" ht="20.399999999999999" hidden="1">
      <c r="A155" s="5">
        <v>138</v>
      </c>
      <c r="B155" s="26" t="s">
        <v>6461</v>
      </c>
      <c r="C155" s="37" t="s">
        <v>6438</v>
      </c>
      <c r="D155" s="28">
        <v>0</v>
      </c>
      <c r="E155" s="29">
        <v>800000</v>
      </c>
      <c r="F155" s="30" t="s">
        <v>6462</v>
      </c>
      <c r="G155" s="27" t="s">
        <v>1900</v>
      </c>
      <c r="H155" s="31">
        <v>670190997777</v>
      </c>
      <c r="I155" s="27" t="s">
        <v>1901</v>
      </c>
    </row>
    <row r="156" spans="1:10" ht="20.399999999999999" hidden="1">
      <c r="A156" s="5">
        <v>139</v>
      </c>
      <c r="B156" s="26" t="s">
        <v>6463</v>
      </c>
      <c r="C156" s="37" t="s">
        <v>6439</v>
      </c>
      <c r="D156" s="28">
        <v>0</v>
      </c>
      <c r="E156" s="29">
        <v>500000</v>
      </c>
      <c r="F156" s="30" t="s">
        <v>6464</v>
      </c>
      <c r="G156" s="27" t="s">
        <v>1900</v>
      </c>
      <c r="H156" s="31">
        <v>670190997777</v>
      </c>
      <c r="I156" s="27" t="s">
        <v>1901</v>
      </c>
    </row>
    <row r="157" spans="1:10" ht="20.399999999999999" hidden="1">
      <c r="A157" s="5">
        <v>140</v>
      </c>
      <c r="B157" s="26" t="s">
        <v>6463</v>
      </c>
      <c r="C157" s="37" t="s">
        <v>6440</v>
      </c>
      <c r="D157" s="28">
        <v>0</v>
      </c>
      <c r="E157" s="29">
        <v>900000</v>
      </c>
      <c r="F157" s="30" t="s">
        <v>6465</v>
      </c>
      <c r="G157" s="27" t="s">
        <v>1900</v>
      </c>
      <c r="H157" s="31">
        <v>670190997777</v>
      </c>
      <c r="I157" s="27" t="s">
        <v>1901</v>
      </c>
    </row>
    <row r="158" spans="1:10" ht="20.399999999999999" hidden="1">
      <c r="A158" s="5">
        <v>141</v>
      </c>
      <c r="B158" s="26" t="s">
        <v>6466</v>
      </c>
      <c r="C158" s="37" t="s">
        <v>6441</v>
      </c>
      <c r="D158" s="28">
        <v>0</v>
      </c>
      <c r="E158" s="29">
        <v>300000</v>
      </c>
      <c r="F158" s="35" t="s">
        <v>6467</v>
      </c>
      <c r="G158" s="27" t="s">
        <v>1900</v>
      </c>
      <c r="H158" s="31">
        <v>670190997777</v>
      </c>
      <c r="I158" s="27" t="s">
        <v>1901</v>
      </c>
    </row>
    <row r="159" spans="1:10" ht="20.399999999999999" hidden="1">
      <c r="A159" s="5">
        <v>142</v>
      </c>
      <c r="B159" s="26" t="s">
        <v>6424</v>
      </c>
      <c r="C159" s="37" t="s">
        <v>6546</v>
      </c>
      <c r="D159" s="28">
        <v>0</v>
      </c>
      <c r="E159" s="29">
        <v>700000</v>
      </c>
      <c r="F159" s="30" t="s">
        <v>6425</v>
      </c>
      <c r="G159" s="27" t="s">
        <v>1900</v>
      </c>
      <c r="H159" s="31">
        <v>670190997777</v>
      </c>
      <c r="I159" s="27" t="s">
        <v>1901</v>
      </c>
    </row>
    <row r="160" spans="1:10" ht="20.399999999999999" hidden="1">
      <c r="A160" s="5">
        <v>143</v>
      </c>
      <c r="B160" s="26" t="s">
        <v>6426</v>
      </c>
      <c r="C160" s="37" t="s">
        <v>6545</v>
      </c>
      <c r="D160" s="28">
        <v>0</v>
      </c>
      <c r="E160" s="29">
        <v>800000</v>
      </c>
      <c r="F160" s="30" t="s">
        <v>6427</v>
      </c>
      <c r="G160" s="27" t="s">
        <v>1900</v>
      </c>
      <c r="H160" s="31">
        <v>670190997777</v>
      </c>
      <c r="I160" s="27" t="s">
        <v>1901</v>
      </c>
    </row>
    <row r="161" spans="1:10" ht="20.399999999999999" hidden="1">
      <c r="A161" s="5">
        <v>144</v>
      </c>
      <c r="B161" s="26" t="s">
        <v>6331</v>
      </c>
      <c r="C161" s="37" t="s">
        <v>6376</v>
      </c>
      <c r="D161" s="28">
        <v>0</v>
      </c>
      <c r="E161" s="29">
        <v>600000</v>
      </c>
      <c r="F161" s="30" t="s">
        <v>6332</v>
      </c>
      <c r="G161" s="27" t="s">
        <v>1900</v>
      </c>
      <c r="H161" s="31">
        <v>670190997777</v>
      </c>
      <c r="I161" s="27" t="s">
        <v>1901</v>
      </c>
    </row>
    <row r="162" spans="1:10" ht="20.399999999999999" hidden="1">
      <c r="A162" s="5">
        <v>145</v>
      </c>
      <c r="B162" s="26" t="s">
        <v>6333</v>
      </c>
      <c r="C162" s="37" t="s">
        <v>6375</v>
      </c>
      <c r="D162" s="28">
        <v>0</v>
      </c>
      <c r="E162" s="29">
        <v>800000</v>
      </c>
      <c r="F162" s="30" t="s">
        <v>6334</v>
      </c>
      <c r="G162" s="27" t="s">
        <v>1900</v>
      </c>
      <c r="H162" s="31">
        <v>670190997777</v>
      </c>
      <c r="I162" s="27" t="s">
        <v>1901</v>
      </c>
    </row>
    <row r="163" spans="1:10" ht="20.399999999999999" hidden="1">
      <c r="A163" s="5">
        <v>146</v>
      </c>
      <c r="B163" s="26" t="s">
        <v>6335</v>
      </c>
      <c r="C163" s="37" t="s">
        <v>6374</v>
      </c>
      <c r="D163" s="28">
        <v>0</v>
      </c>
      <c r="E163" s="142">
        <v>500000</v>
      </c>
      <c r="F163" s="30" t="s">
        <v>6336</v>
      </c>
      <c r="G163" s="27" t="s">
        <v>1900</v>
      </c>
      <c r="H163" s="31">
        <v>670190997777</v>
      </c>
      <c r="I163" s="27" t="s">
        <v>1901</v>
      </c>
    </row>
    <row r="164" spans="1:10" ht="20.399999999999999" hidden="1">
      <c r="A164" s="5">
        <v>147</v>
      </c>
      <c r="B164" s="26" t="s">
        <v>6337</v>
      </c>
      <c r="C164" s="37" t="s">
        <v>6373</v>
      </c>
      <c r="D164" s="28">
        <v>0</v>
      </c>
      <c r="E164" s="29">
        <v>1200000</v>
      </c>
      <c r="F164" s="30" t="s">
        <v>6338</v>
      </c>
      <c r="G164" s="27" t="s">
        <v>1900</v>
      </c>
      <c r="H164" s="31">
        <v>670190997777</v>
      </c>
      <c r="I164" s="27" t="s">
        <v>1901</v>
      </c>
    </row>
    <row r="165" spans="1:10" ht="20.399999999999999" hidden="1">
      <c r="A165" s="5">
        <v>148</v>
      </c>
      <c r="B165" s="26" t="s">
        <v>6339</v>
      </c>
      <c r="C165" s="37" t="s">
        <v>6372</v>
      </c>
      <c r="D165" s="28">
        <v>0</v>
      </c>
      <c r="E165" s="29">
        <v>800000</v>
      </c>
      <c r="F165" s="30" t="s">
        <v>6340</v>
      </c>
      <c r="G165" s="27" t="s">
        <v>1900</v>
      </c>
      <c r="H165" s="31">
        <v>670190997777</v>
      </c>
      <c r="I165" s="27" t="s">
        <v>1901</v>
      </c>
    </row>
    <row r="166" spans="1:10" ht="20.399999999999999" hidden="1">
      <c r="A166" s="5">
        <v>149</v>
      </c>
      <c r="B166" s="26" t="s">
        <v>6341</v>
      </c>
      <c r="C166" s="37" t="s">
        <v>6371</v>
      </c>
      <c r="D166" s="28">
        <v>0</v>
      </c>
      <c r="E166" s="29">
        <v>800000</v>
      </c>
      <c r="F166" s="30" t="s">
        <v>6342</v>
      </c>
      <c r="G166" s="27" t="s">
        <v>1900</v>
      </c>
      <c r="H166" s="31">
        <v>670190997777</v>
      </c>
      <c r="I166" s="27" t="s">
        <v>1901</v>
      </c>
    </row>
    <row r="167" spans="1:10" ht="20.399999999999999" hidden="1">
      <c r="A167" s="5">
        <v>150</v>
      </c>
      <c r="B167" s="26" t="s">
        <v>6343</v>
      </c>
      <c r="C167" s="37" t="s">
        <v>6370</v>
      </c>
      <c r="D167" s="28">
        <v>0</v>
      </c>
      <c r="E167" s="29">
        <v>500000</v>
      </c>
      <c r="F167" s="41" t="s">
        <v>7122</v>
      </c>
      <c r="G167" s="27" t="s">
        <v>1900</v>
      </c>
      <c r="H167" s="31">
        <v>670190997777</v>
      </c>
      <c r="I167" s="27" t="s">
        <v>1901</v>
      </c>
    </row>
    <row r="168" spans="1:10" ht="20.399999999999999" hidden="1">
      <c r="A168" s="5">
        <v>151</v>
      </c>
      <c r="B168" s="26" t="s">
        <v>6344</v>
      </c>
      <c r="C168" s="37" t="s">
        <v>6367</v>
      </c>
      <c r="D168" s="28">
        <v>0</v>
      </c>
      <c r="E168" s="29">
        <v>200000</v>
      </c>
      <c r="F168" s="30" t="s">
        <v>6345</v>
      </c>
      <c r="G168" s="27" t="s">
        <v>1900</v>
      </c>
      <c r="H168" s="31">
        <v>670190997777</v>
      </c>
      <c r="I168" s="27" t="s">
        <v>1901</v>
      </c>
      <c r="J168" s="5" t="s">
        <v>6369</v>
      </c>
    </row>
    <row r="169" spans="1:10" ht="20.399999999999999" hidden="1">
      <c r="A169" s="5">
        <v>152</v>
      </c>
      <c r="B169" s="26" t="s">
        <v>6346</v>
      </c>
      <c r="C169" s="37" t="s">
        <v>6366</v>
      </c>
      <c r="D169" s="28">
        <v>0</v>
      </c>
      <c r="E169" s="29">
        <v>1100000</v>
      </c>
      <c r="F169" s="30" t="s">
        <v>6347</v>
      </c>
      <c r="G169" s="27" t="s">
        <v>1900</v>
      </c>
      <c r="H169" s="31">
        <v>670190997777</v>
      </c>
      <c r="I169" s="27" t="s">
        <v>1901</v>
      </c>
    </row>
    <row r="170" spans="1:10" ht="30.6" hidden="1">
      <c r="A170" s="5">
        <v>153</v>
      </c>
      <c r="B170" s="32" t="s">
        <v>6348</v>
      </c>
      <c r="C170" s="39" t="s">
        <v>6365</v>
      </c>
      <c r="D170" s="33">
        <v>0</v>
      </c>
      <c r="E170" s="34">
        <v>500000</v>
      </c>
      <c r="F170" s="35" t="s">
        <v>6349</v>
      </c>
      <c r="G170" s="30" t="s">
        <v>1900</v>
      </c>
      <c r="H170" s="36">
        <v>670190997777</v>
      </c>
      <c r="I170" s="30" t="s">
        <v>1901</v>
      </c>
    </row>
    <row r="171" spans="1:10" ht="20.399999999999999" hidden="1">
      <c r="A171" s="5">
        <v>154</v>
      </c>
      <c r="B171" s="26" t="s">
        <v>6350</v>
      </c>
      <c r="C171" s="37" t="s">
        <v>6364</v>
      </c>
      <c r="D171" s="28">
        <v>0</v>
      </c>
      <c r="E171" s="29">
        <v>500000</v>
      </c>
      <c r="F171" s="35" t="s">
        <v>6351</v>
      </c>
      <c r="G171" s="27" t="s">
        <v>1900</v>
      </c>
      <c r="H171" s="31">
        <v>670190997777</v>
      </c>
      <c r="I171" s="27" t="s">
        <v>1901</v>
      </c>
    </row>
    <row r="172" spans="1:10" ht="40.799999999999997" hidden="1">
      <c r="A172" s="5">
        <v>155</v>
      </c>
      <c r="B172" s="32" t="s">
        <v>6352</v>
      </c>
      <c r="C172" s="39" t="s">
        <v>6363</v>
      </c>
      <c r="D172" s="33">
        <v>0</v>
      </c>
      <c r="E172" s="34">
        <v>500000</v>
      </c>
      <c r="F172" s="35" t="s">
        <v>6353</v>
      </c>
      <c r="G172" s="30" t="s">
        <v>1900</v>
      </c>
      <c r="H172" s="36">
        <v>670190997777</v>
      </c>
      <c r="I172" s="30" t="s">
        <v>1901</v>
      </c>
    </row>
    <row r="173" spans="1:10" ht="20.399999999999999" hidden="1">
      <c r="A173" s="5">
        <v>156</v>
      </c>
      <c r="B173" s="26" t="s">
        <v>6354</v>
      </c>
      <c r="C173" s="37" t="s">
        <v>6362</v>
      </c>
      <c r="D173" s="28">
        <v>0</v>
      </c>
      <c r="E173" s="29">
        <v>800000</v>
      </c>
      <c r="F173" s="30" t="s">
        <v>6355</v>
      </c>
      <c r="G173" s="27" t="s">
        <v>1900</v>
      </c>
      <c r="H173" s="31">
        <v>670190997777</v>
      </c>
      <c r="I173" s="27" t="s">
        <v>1901</v>
      </c>
    </row>
    <row r="174" spans="1:10" ht="20.399999999999999" hidden="1">
      <c r="A174" s="5">
        <v>157</v>
      </c>
      <c r="B174" s="26" t="s">
        <v>6356</v>
      </c>
      <c r="C174" s="37" t="s">
        <v>6361</v>
      </c>
      <c r="D174" s="28">
        <v>0</v>
      </c>
      <c r="E174" s="29">
        <v>700000</v>
      </c>
      <c r="F174" s="30" t="s">
        <v>6357</v>
      </c>
      <c r="G174" s="27" t="s">
        <v>1900</v>
      </c>
      <c r="H174" s="31">
        <v>670190997777</v>
      </c>
      <c r="I174" s="27" t="s">
        <v>1901</v>
      </c>
    </row>
    <row r="175" spans="1:10" ht="20.399999999999999" hidden="1">
      <c r="A175" s="5">
        <v>158</v>
      </c>
      <c r="B175" s="26" t="s">
        <v>6358</v>
      </c>
      <c r="C175" s="37" t="s">
        <v>6360</v>
      </c>
      <c r="D175" s="28">
        <v>0</v>
      </c>
      <c r="E175" s="29">
        <v>800000</v>
      </c>
      <c r="F175" s="30" t="s">
        <v>6359</v>
      </c>
      <c r="G175" s="27" t="s">
        <v>1900</v>
      </c>
      <c r="H175" s="31">
        <v>670190997777</v>
      </c>
      <c r="I175" s="27" t="s">
        <v>1901</v>
      </c>
    </row>
    <row r="176" spans="1:10" ht="20.399999999999999" hidden="1">
      <c r="A176" s="5">
        <v>159</v>
      </c>
      <c r="B176" s="26" t="s">
        <v>6159</v>
      </c>
      <c r="C176" s="37" t="s">
        <v>6330</v>
      </c>
      <c r="D176" s="28">
        <v>0</v>
      </c>
      <c r="E176" s="29">
        <v>2500000</v>
      </c>
      <c r="F176" s="30" t="s">
        <v>6160</v>
      </c>
      <c r="G176" s="27" t="s">
        <v>1900</v>
      </c>
      <c r="H176" s="31">
        <v>670190997777</v>
      </c>
      <c r="I176" s="27" t="s">
        <v>1901</v>
      </c>
    </row>
    <row r="177" spans="1:10" ht="6" hidden="1" customHeight="1">
      <c r="A177" s="5">
        <v>160</v>
      </c>
      <c r="B177" s="26" t="s">
        <v>6161</v>
      </c>
      <c r="C177" s="37" t="s">
        <v>6329</v>
      </c>
      <c r="D177" s="28">
        <v>0</v>
      </c>
      <c r="E177" s="29">
        <v>500000</v>
      </c>
      <c r="F177" s="30" t="s">
        <v>6162</v>
      </c>
      <c r="G177" s="27" t="s">
        <v>1900</v>
      </c>
      <c r="H177" s="31">
        <v>670190997777</v>
      </c>
      <c r="I177" s="27" t="s">
        <v>1901</v>
      </c>
    </row>
    <row r="178" spans="1:10" ht="20.399999999999999" hidden="1">
      <c r="A178" s="5">
        <v>161</v>
      </c>
      <c r="B178" s="26" t="s">
        <v>6163</v>
      </c>
      <c r="C178" s="40" t="s">
        <v>6328</v>
      </c>
      <c r="D178" s="28">
        <v>0</v>
      </c>
      <c r="E178" s="142">
        <v>200000</v>
      </c>
      <c r="F178" s="30" t="s">
        <v>6164</v>
      </c>
      <c r="G178" s="27" t="s">
        <v>1900</v>
      </c>
      <c r="H178" s="31">
        <v>670190997777</v>
      </c>
      <c r="I178" s="27" t="s">
        <v>1901</v>
      </c>
      <c r="J178" s="5" t="s">
        <v>6597</v>
      </c>
    </row>
    <row r="179" spans="1:10" ht="20.399999999999999" hidden="1">
      <c r="A179" s="5">
        <v>162</v>
      </c>
      <c r="B179" s="26" t="s">
        <v>6165</v>
      </c>
      <c r="C179" s="37" t="s">
        <v>6327</v>
      </c>
      <c r="D179" s="28">
        <v>0</v>
      </c>
      <c r="E179" s="29">
        <v>800000</v>
      </c>
      <c r="F179" s="30" t="s">
        <v>6166</v>
      </c>
      <c r="G179" s="27" t="s">
        <v>1900</v>
      </c>
      <c r="H179" s="31">
        <v>670190997777</v>
      </c>
      <c r="I179" s="27" t="s">
        <v>1901</v>
      </c>
    </row>
    <row r="180" spans="1:10" ht="20.399999999999999" hidden="1">
      <c r="A180" s="5">
        <v>163</v>
      </c>
      <c r="B180" s="26" t="s">
        <v>6167</v>
      </c>
      <c r="C180" s="37" t="s">
        <v>6326</v>
      </c>
      <c r="D180" s="28">
        <v>0</v>
      </c>
      <c r="E180" s="29">
        <v>900000</v>
      </c>
      <c r="F180" s="30" t="s">
        <v>6168</v>
      </c>
      <c r="G180" s="27" t="s">
        <v>1900</v>
      </c>
      <c r="H180" s="31">
        <v>670190997777</v>
      </c>
      <c r="I180" s="27" t="s">
        <v>1901</v>
      </c>
    </row>
    <row r="181" spans="1:10" ht="20.399999999999999" hidden="1">
      <c r="A181" s="5">
        <v>164</v>
      </c>
      <c r="B181" s="26" t="s">
        <v>6169</v>
      </c>
      <c r="C181" s="37" t="s">
        <v>6325</v>
      </c>
      <c r="D181" s="28">
        <v>0</v>
      </c>
      <c r="E181" s="29">
        <v>1200000</v>
      </c>
      <c r="F181" s="30" t="s">
        <v>6170</v>
      </c>
      <c r="G181" s="27" t="s">
        <v>1900</v>
      </c>
      <c r="H181" s="31">
        <v>670190997777</v>
      </c>
      <c r="I181" s="27" t="s">
        <v>1901</v>
      </c>
    </row>
    <row r="182" spans="1:10" ht="40.799999999999997" hidden="1">
      <c r="A182" s="5">
        <v>165</v>
      </c>
      <c r="B182" s="32" t="s">
        <v>6171</v>
      </c>
      <c r="C182" s="39" t="s">
        <v>6324</v>
      </c>
      <c r="D182" s="33">
        <v>0</v>
      </c>
      <c r="E182" s="34">
        <v>700000</v>
      </c>
      <c r="F182" s="35" t="s">
        <v>6172</v>
      </c>
      <c r="G182" s="30" t="s">
        <v>1900</v>
      </c>
      <c r="H182" s="36">
        <v>670190997777</v>
      </c>
      <c r="I182" s="30" t="s">
        <v>1901</v>
      </c>
    </row>
    <row r="183" spans="1:10" ht="20.399999999999999" hidden="1">
      <c r="A183" s="5">
        <v>166</v>
      </c>
      <c r="B183" s="26" t="s">
        <v>6173</v>
      </c>
      <c r="C183" s="37" t="s">
        <v>6323</v>
      </c>
      <c r="D183" s="28">
        <v>0</v>
      </c>
      <c r="E183" s="29">
        <v>500000</v>
      </c>
      <c r="F183" s="30" t="s">
        <v>6174</v>
      </c>
      <c r="G183" s="27" t="s">
        <v>1900</v>
      </c>
      <c r="H183" s="31">
        <v>670190997777</v>
      </c>
      <c r="I183" s="27" t="s">
        <v>1901</v>
      </c>
    </row>
    <row r="184" spans="1:10" ht="20.399999999999999" hidden="1">
      <c r="A184" s="5">
        <v>167</v>
      </c>
      <c r="B184" s="26" t="s">
        <v>6175</v>
      </c>
      <c r="C184" s="37" t="s">
        <v>6322</v>
      </c>
      <c r="D184" s="28">
        <v>0</v>
      </c>
      <c r="E184" s="29">
        <v>700000</v>
      </c>
      <c r="F184" s="30" t="s">
        <v>6176</v>
      </c>
      <c r="G184" s="27" t="s">
        <v>1900</v>
      </c>
      <c r="H184" s="31">
        <v>670190997777</v>
      </c>
      <c r="I184" s="27" t="s">
        <v>1901</v>
      </c>
    </row>
    <row r="185" spans="1:10" ht="20.399999999999999" hidden="1">
      <c r="A185" s="5">
        <v>168</v>
      </c>
      <c r="B185" s="26" t="s">
        <v>6177</v>
      </c>
      <c r="C185" s="37" t="s">
        <v>6321</v>
      </c>
      <c r="D185" s="28">
        <v>0</v>
      </c>
      <c r="E185" s="29">
        <v>800000</v>
      </c>
      <c r="F185" s="30" t="s">
        <v>6178</v>
      </c>
      <c r="G185" s="27" t="s">
        <v>1900</v>
      </c>
      <c r="H185" s="31">
        <v>670190997777</v>
      </c>
      <c r="I185" s="27" t="s">
        <v>1901</v>
      </c>
    </row>
    <row r="186" spans="1:10" ht="20.399999999999999" hidden="1">
      <c r="A186" s="5">
        <v>169</v>
      </c>
      <c r="B186" s="26" t="s">
        <v>6179</v>
      </c>
      <c r="C186" s="37" t="s">
        <v>6320</v>
      </c>
      <c r="D186" s="28">
        <v>0</v>
      </c>
      <c r="E186" s="29">
        <v>1900000</v>
      </c>
      <c r="F186" s="30" t="s">
        <v>6180</v>
      </c>
      <c r="G186" s="27" t="s">
        <v>1900</v>
      </c>
      <c r="H186" s="31">
        <v>670190997777</v>
      </c>
      <c r="I186" s="27" t="s">
        <v>1901</v>
      </c>
    </row>
    <row r="187" spans="1:10" ht="20.399999999999999" hidden="1">
      <c r="A187" s="5">
        <v>170</v>
      </c>
      <c r="B187" s="26" t="s">
        <v>6181</v>
      </c>
      <c r="C187" s="37" t="s">
        <v>6319</v>
      </c>
      <c r="D187" s="28">
        <v>0</v>
      </c>
      <c r="E187" s="29">
        <v>400000</v>
      </c>
      <c r="F187" s="30" t="s">
        <v>6182</v>
      </c>
      <c r="G187" s="27" t="s">
        <v>1900</v>
      </c>
      <c r="H187" s="31">
        <v>670190997777</v>
      </c>
      <c r="I187" s="27" t="s">
        <v>1901</v>
      </c>
    </row>
    <row r="188" spans="1:10" ht="20.399999999999999" hidden="1">
      <c r="A188" s="5">
        <v>171</v>
      </c>
      <c r="B188" s="26" t="s">
        <v>6183</v>
      </c>
      <c r="C188" s="37" t="s">
        <v>6318</v>
      </c>
      <c r="D188" s="28">
        <v>0</v>
      </c>
      <c r="E188" s="29">
        <v>500000</v>
      </c>
      <c r="F188" s="30" t="s">
        <v>6184</v>
      </c>
      <c r="G188" s="27" t="s">
        <v>1900</v>
      </c>
      <c r="H188" s="31">
        <v>670190997777</v>
      </c>
      <c r="I188" s="27" t="s">
        <v>1901</v>
      </c>
    </row>
    <row r="189" spans="1:10" ht="20.399999999999999" hidden="1">
      <c r="A189" s="5">
        <v>172</v>
      </c>
      <c r="B189" s="26" t="s">
        <v>6185</v>
      </c>
      <c r="C189" s="37" t="s">
        <v>6317</v>
      </c>
      <c r="D189" s="28">
        <v>0</v>
      </c>
      <c r="E189" s="29">
        <v>800000</v>
      </c>
      <c r="F189" s="30" t="s">
        <v>6186</v>
      </c>
      <c r="G189" s="27" t="s">
        <v>1900</v>
      </c>
      <c r="H189" s="31">
        <v>670190997777</v>
      </c>
      <c r="I189" s="27" t="s">
        <v>1901</v>
      </c>
    </row>
    <row r="190" spans="1:10" ht="30.6" hidden="1">
      <c r="A190" s="5">
        <v>173</v>
      </c>
      <c r="B190" s="32" t="s">
        <v>6187</v>
      </c>
      <c r="C190" s="39" t="s">
        <v>6316</v>
      </c>
      <c r="D190" s="33">
        <v>0</v>
      </c>
      <c r="E190" s="34">
        <v>900000</v>
      </c>
      <c r="F190" s="35" t="s">
        <v>6188</v>
      </c>
      <c r="G190" s="30" t="s">
        <v>1900</v>
      </c>
      <c r="H190" s="36">
        <v>670190997777</v>
      </c>
      <c r="I190" s="30" t="s">
        <v>1901</v>
      </c>
    </row>
    <row r="191" spans="1:10" ht="20.399999999999999" hidden="1">
      <c r="A191" s="5">
        <v>174</v>
      </c>
      <c r="B191" s="26" t="s">
        <v>6189</v>
      </c>
      <c r="C191" s="37" t="s">
        <v>6315</v>
      </c>
      <c r="D191" s="28">
        <v>0</v>
      </c>
      <c r="E191" s="29">
        <v>800000</v>
      </c>
      <c r="F191" s="30" t="s">
        <v>6190</v>
      </c>
      <c r="G191" s="27" t="s">
        <v>1900</v>
      </c>
      <c r="H191" s="31">
        <v>670190997777</v>
      </c>
      <c r="I191" s="27" t="s">
        <v>1901</v>
      </c>
    </row>
    <row r="192" spans="1:10" ht="20.399999999999999" hidden="1">
      <c r="A192" s="5">
        <v>175</v>
      </c>
      <c r="B192" s="26" t="s">
        <v>6191</v>
      </c>
      <c r="C192" s="37" t="s">
        <v>6314</v>
      </c>
      <c r="D192" s="28">
        <v>0</v>
      </c>
      <c r="E192" s="29">
        <v>300000</v>
      </c>
      <c r="F192" s="30" t="s">
        <v>6192</v>
      </c>
      <c r="G192" s="27" t="s">
        <v>1900</v>
      </c>
      <c r="H192" s="31">
        <v>670190997777</v>
      </c>
      <c r="I192" s="27" t="s">
        <v>1901</v>
      </c>
    </row>
    <row r="193" spans="1:10" ht="20.399999999999999" hidden="1">
      <c r="A193" s="5">
        <v>176</v>
      </c>
      <c r="B193" s="26" t="s">
        <v>6193</v>
      </c>
      <c r="C193" s="37" t="s">
        <v>6313</v>
      </c>
      <c r="D193" s="28">
        <v>0</v>
      </c>
      <c r="E193" s="29">
        <v>500000</v>
      </c>
      <c r="F193" s="30" t="s">
        <v>6194</v>
      </c>
      <c r="G193" s="27" t="s">
        <v>1900</v>
      </c>
      <c r="H193" s="31">
        <v>670190997777</v>
      </c>
      <c r="I193" s="27" t="s">
        <v>1901</v>
      </c>
    </row>
    <row r="194" spans="1:10" ht="20.399999999999999" hidden="1">
      <c r="A194" s="5">
        <v>177</v>
      </c>
      <c r="B194" s="26" t="s">
        <v>6195</v>
      </c>
      <c r="C194" s="37" t="s">
        <v>6312</v>
      </c>
      <c r="D194" s="28">
        <v>0</v>
      </c>
      <c r="E194" s="29">
        <v>900000</v>
      </c>
      <c r="F194" s="30" t="s">
        <v>6196</v>
      </c>
      <c r="G194" s="27" t="s">
        <v>1900</v>
      </c>
      <c r="H194" s="31">
        <v>670190997777</v>
      </c>
      <c r="I194" s="27" t="s">
        <v>1901</v>
      </c>
    </row>
    <row r="195" spans="1:10" ht="20.399999999999999" hidden="1">
      <c r="A195" s="5">
        <v>178</v>
      </c>
      <c r="B195" s="26" t="s">
        <v>6197</v>
      </c>
      <c r="C195" s="37" t="s">
        <v>6311</v>
      </c>
      <c r="D195" s="28">
        <v>0</v>
      </c>
      <c r="E195" s="29">
        <v>500000</v>
      </c>
      <c r="F195" s="30" t="s">
        <v>6198</v>
      </c>
      <c r="G195" s="27" t="s">
        <v>1900</v>
      </c>
      <c r="H195" s="31">
        <v>670190997777</v>
      </c>
      <c r="I195" s="27" t="s">
        <v>1901</v>
      </c>
    </row>
    <row r="196" spans="1:10" ht="30.6" hidden="1">
      <c r="A196" s="5">
        <v>179</v>
      </c>
      <c r="B196" s="32" t="s">
        <v>6199</v>
      </c>
      <c r="C196" s="39" t="s">
        <v>6310</v>
      </c>
      <c r="D196" s="33">
        <v>0</v>
      </c>
      <c r="E196" s="34">
        <v>500000</v>
      </c>
      <c r="F196" s="35" t="s">
        <v>6200</v>
      </c>
      <c r="G196" s="30" t="s">
        <v>1900</v>
      </c>
      <c r="H196" s="36">
        <v>670190997777</v>
      </c>
      <c r="I196" s="30" t="s">
        <v>1901</v>
      </c>
    </row>
    <row r="197" spans="1:10" ht="20.399999999999999" hidden="1">
      <c r="A197" s="5">
        <v>180</v>
      </c>
      <c r="B197" s="26" t="s">
        <v>6201</v>
      </c>
      <c r="C197" s="37" t="s">
        <v>6309</v>
      </c>
      <c r="D197" s="28">
        <v>0</v>
      </c>
      <c r="E197" s="29">
        <v>1300000</v>
      </c>
      <c r="F197" s="30" t="s">
        <v>6202</v>
      </c>
      <c r="G197" s="27" t="s">
        <v>1900</v>
      </c>
      <c r="H197" s="31">
        <v>670190997777</v>
      </c>
      <c r="I197" s="27" t="s">
        <v>1901</v>
      </c>
      <c r="J197" s="44" t="s">
        <v>739</v>
      </c>
    </row>
    <row r="198" spans="1:10" ht="40.799999999999997" hidden="1">
      <c r="A198" s="5">
        <v>181</v>
      </c>
      <c r="B198" s="32" t="s">
        <v>6203</v>
      </c>
      <c r="C198" s="39" t="s">
        <v>6308</v>
      </c>
      <c r="D198" s="33">
        <v>0</v>
      </c>
      <c r="E198" s="34">
        <v>800000</v>
      </c>
      <c r="F198" s="35" t="s">
        <v>6204</v>
      </c>
      <c r="G198" s="30" t="s">
        <v>1900</v>
      </c>
      <c r="H198" s="36">
        <v>670190997777</v>
      </c>
      <c r="I198" s="30" t="s">
        <v>1901</v>
      </c>
    </row>
    <row r="199" spans="1:10" ht="30.6" hidden="1">
      <c r="A199" s="5">
        <v>182</v>
      </c>
      <c r="B199" s="32" t="s">
        <v>6205</v>
      </c>
      <c r="C199" s="39" t="s">
        <v>6307</v>
      </c>
      <c r="D199" s="33">
        <v>0</v>
      </c>
      <c r="E199" s="34">
        <v>900000</v>
      </c>
      <c r="F199" s="35" t="s">
        <v>6206</v>
      </c>
      <c r="G199" s="30" t="s">
        <v>1900</v>
      </c>
      <c r="H199" s="36">
        <v>670190997777</v>
      </c>
      <c r="I199" s="30" t="s">
        <v>1901</v>
      </c>
    </row>
    <row r="200" spans="1:10" ht="20.399999999999999" hidden="1">
      <c r="A200" s="5">
        <v>183</v>
      </c>
      <c r="B200" s="26" t="s">
        <v>6207</v>
      </c>
      <c r="C200" s="37" t="s">
        <v>6306</v>
      </c>
      <c r="D200" s="28">
        <v>0</v>
      </c>
      <c r="E200" s="29">
        <v>1400000</v>
      </c>
      <c r="F200" s="30" t="s">
        <v>6208</v>
      </c>
      <c r="G200" s="27" t="s">
        <v>1900</v>
      </c>
      <c r="H200" s="31">
        <v>670190997777</v>
      </c>
      <c r="I200" s="27" t="s">
        <v>1901</v>
      </c>
    </row>
    <row r="201" spans="1:10" ht="20.399999999999999" hidden="1">
      <c r="A201" s="5">
        <v>184</v>
      </c>
      <c r="B201" s="26" t="s">
        <v>6209</v>
      </c>
      <c r="C201" s="37" t="s">
        <v>6305</v>
      </c>
      <c r="D201" s="28">
        <v>0</v>
      </c>
      <c r="E201" s="29">
        <v>500000</v>
      </c>
      <c r="F201" s="30" t="s">
        <v>6210</v>
      </c>
      <c r="G201" s="27" t="s">
        <v>1900</v>
      </c>
      <c r="H201" s="31">
        <v>670190997777</v>
      </c>
      <c r="I201" s="27" t="s">
        <v>1901</v>
      </c>
    </row>
    <row r="202" spans="1:10" ht="40.799999999999997" hidden="1">
      <c r="A202" s="5">
        <v>185</v>
      </c>
      <c r="B202" s="32" t="s">
        <v>6211</v>
      </c>
      <c r="C202" s="39" t="s">
        <v>6304</v>
      </c>
      <c r="D202" s="33">
        <v>0</v>
      </c>
      <c r="E202" s="34">
        <v>400000</v>
      </c>
      <c r="F202" s="35" t="s">
        <v>6212</v>
      </c>
      <c r="G202" s="30" t="s">
        <v>1900</v>
      </c>
      <c r="H202" s="36">
        <v>670190997777</v>
      </c>
      <c r="I202" s="30" t="s">
        <v>1901</v>
      </c>
    </row>
    <row r="203" spans="1:10" ht="40.799999999999997" hidden="1">
      <c r="A203" s="5">
        <v>186</v>
      </c>
      <c r="B203" s="32" t="s">
        <v>6213</v>
      </c>
      <c r="C203" s="39" t="s">
        <v>6303</v>
      </c>
      <c r="D203" s="33">
        <v>0</v>
      </c>
      <c r="E203" s="34">
        <v>400000</v>
      </c>
      <c r="F203" s="35" t="s">
        <v>6214</v>
      </c>
      <c r="G203" s="30" t="s">
        <v>1900</v>
      </c>
      <c r="H203" s="36">
        <v>670190997777</v>
      </c>
      <c r="I203" s="30" t="s">
        <v>1901</v>
      </c>
    </row>
    <row r="204" spans="1:10" ht="20.399999999999999" hidden="1">
      <c r="A204" s="5">
        <v>187</v>
      </c>
      <c r="B204" s="26" t="s">
        <v>6215</v>
      </c>
      <c r="C204" s="37" t="s">
        <v>6302</v>
      </c>
      <c r="D204" s="28">
        <v>0</v>
      </c>
      <c r="E204" s="29">
        <v>200000</v>
      </c>
      <c r="F204" s="30" t="s">
        <v>6216</v>
      </c>
      <c r="G204" s="27" t="s">
        <v>1900</v>
      </c>
      <c r="H204" s="31">
        <v>670190997777</v>
      </c>
      <c r="I204" s="27" t="s">
        <v>1901</v>
      </c>
    </row>
    <row r="205" spans="1:10" ht="20.399999999999999" hidden="1">
      <c r="A205" s="5">
        <v>188</v>
      </c>
      <c r="B205" s="26" t="s">
        <v>6217</v>
      </c>
      <c r="C205" s="37" t="s">
        <v>6299</v>
      </c>
      <c r="D205" s="28">
        <v>0</v>
      </c>
      <c r="E205" s="29">
        <v>500000</v>
      </c>
      <c r="F205" s="30" t="s">
        <v>6218</v>
      </c>
      <c r="G205" s="27" t="s">
        <v>1900</v>
      </c>
      <c r="H205" s="31">
        <v>670190997777</v>
      </c>
      <c r="I205" s="27" t="s">
        <v>1901</v>
      </c>
      <c r="J205" s="38" t="s">
        <v>6301</v>
      </c>
    </row>
    <row r="206" spans="1:10" ht="20.399999999999999" hidden="1">
      <c r="A206" s="5">
        <v>189</v>
      </c>
      <c r="B206" s="26" t="s">
        <v>6219</v>
      </c>
      <c r="C206" s="37" t="s">
        <v>6298</v>
      </c>
      <c r="D206" s="28">
        <v>0</v>
      </c>
      <c r="E206" s="29">
        <v>600000</v>
      </c>
      <c r="F206" s="30" t="s">
        <v>6220</v>
      </c>
      <c r="G206" s="27" t="s">
        <v>1900</v>
      </c>
      <c r="H206" s="31">
        <v>670190997777</v>
      </c>
      <c r="I206" s="27" t="s">
        <v>1901</v>
      </c>
    </row>
    <row r="207" spans="1:10" ht="30.6" hidden="1">
      <c r="A207" s="5">
        <v>190</v>
      </c>
      <c r="B207" s="32" t="s">
        <v>6221</v>
      </c>
      <c r="C207" s="41" t="s">
        <v>6297</v>
      </c>
      <c r="D207" s="33">
        <v>0</v>
      </c>
      <c r="E207" s="34">
        <v>500000</v>
      </c>
      <c r="F207" s="35" t="s">
        <v>6222</v>
      </c>
      <c r="G207" s="30" t="s">
        <v>1900</v>
      </c>
      <c r="H207" s="36">
        <v>670190997777</v>
      </c>
      <c r="I207" s="30" t="s">
        <v>1901</v>
      </c>
      <c r="J207" s="44" t="s">
        <v>874</v>
      </c>
    </row>
    <row r="208" spans="1:10" ht="20.399999999999999" hidden="1">
      <c r="A208" s="5">
        <v>191</v>
      </c>
      <c r="B208" s="26" t="s">
        <v>6223</v>
      </c>
      <c r="C208" s="37" t="s">
        <v>6296</v>
      </c>
      <c r="D208" s="28">
        <v>0</v>
      </c>
      <c r="E208" s="29">
        <v>500000</v>
      </c>
      <c r="F208" s="30" t="s">
        <v>6224</v>
      </c>
      <c r="G208" s="27" t="s">
        <v>1900</v>
      </c>
      <c r="H208" s="31">
        <v>670190997777</v>
      </c>
      <c r="I208" s="27" t="s">
        <v>1901</v>
      </c>
    </row>
    <row r="209" spans="1:10" ht="20.399999999999999" hidden="1">
      <c r="A209" s="5">
        <v>192</v>
      </c>
      <c r="B209" s="26" t="s">
        <v>6225</v>
      </c>
      <c r="C209" s="37" t="s">
        <v>6295</v>
      </c>
      <c r="D209" s="28">
        <v>0</v>
      </c>
      <c r="E209" s="29">
        <v>800000</v>
      </c>
      <c r="F209" s="30" t="s">
        <v>6226</v>
      </c>
      <c r="G209" s="27" t="s">
        <v>1900</v>
      </c>
      <c r="H209" s="31">
        <v>670190997777</v>
      </c>
      <c r="I209" s="27" t="s">
        <v>1901</v>
      </c>
    </row>
    <row r="210" spans="1:10" ht="30.6">
      <c r="A210" s="5">
        <v>193</v>
      </c>
      <c r="B210" s="32" t="s">
        <v>6227</v>
      </c>
      <c r="C210" s="41" t="s">
        <v>6294</v>
      </c>
      <c r="D210" s="33">
        <v>0</v>
      </c>
      <c r="E210" s="169">
        <v>500000</v>
      </c>
      <c r="F210" s="35" t="s">
        <v>6228</v>
      </c>
      <c r="G210" s="30" t="s">
        <v>1900</v>
      </c>
      <c r="H210" s="36">
        <v>670190997777</v>
      </c>
      <c r="I210" s="30" t="s">
        <v>1901</v>
      </c>
      <c r="J210" s="38" t="s">
        <v>3113</v>
      </c>
    </row>
    <row r="211" spans="1:10" ht="20.399999999999999" hidden="1">
      <c r="A211" s="5">
        <v>194</v>
      </c>
      <c r="B211" s="26" t="s">
        <v>6229</v>
      </c>
      <c r="C211" s="37" t="s">
        <v>6293</v>
      </c>
      <c r="D211" s="28">
        <v>0</v>
      </c>
      <c r="E211" s="29">
        <v>400000</v>
      </c>
      <c r="F211" s="30" t="s">
        <v>6230</v>
      </c>
      <c r="G211" s="27" t="s">
        <v>1900</v>
      </c>
      <c r="H211" s="31">
        <v>670190997777</v>
      </c>
      <c r="I211" s="27" t="s">
        <v>1901</v>
      </c>
    </row>
    <row r="212" spans="1:10" ht="40.799999999999997" hidden="1">
      <c r="A212" s="5">
        <v>195</v>
      </c>
      <c r="B212" s="32" t="s">
        <v>6231</v>
      </c>
      <c r="C212" s="39" t="s">
        <v>6292</v>
      </c>
      <c r="D212" s="33">
        <v>0</v>
      </c>
      <c r="E212" s="34">
        <v>1000000</v>
      </c>
      <c r="F212" s="35" t="s">
        <v>6232</v>
      </c>
      <c r="G212" s="30" t="s">
        <v>1900</v>
      </c>
      <c r="H212" s="36">
        <v>670190997777</v>
      </c>
      <c r="I212" s="30" t="s">
        <v>1901</v>
      </c>
    </row>
    <row r="213" spans="1:10" ht="20.399999999999999" hidden="1">
      <c r="A213" s="5">
        <v>196</v>
      </c>
      <c r="B213" s="26" t="s">
        <v>6233</v>
      </c>
      <c r="C213" s="37" t="s">
        <v>6291</v>
      </c>
      <c r="D213" s="28">
        <v>0</v>
      </c>
      <c r="E213" s="29">
        <v>500000</v>
      </c>
      <c r="F213" s="30" t="s">
        <v>6234</v>
      </c>
      <c r="G213" s="27" t="s">
        <v>1900</v>
      </c>
      <c r="H213" s="31">
        <v>670190997777</v>
      </c>
      <c r="I213" s="27" t="s">
        <v>1901</v>
      </c>
    </row>
    <row r="214" spans="1:10" ht="20.399999999999999" hidden="1">
      <c r="A214" s="5">
        <v>197</v>
      </c>
      <c r="B214" s="26" t="s">
        <v>6235</v>
      </c>
      <c r="C214" s="37" t="s">
        <v>6290</v>
      </c>
      <c r="D214" s="28">
        <v>0</v>
      </c>
      <c r="E214" s="29">
        <v>500000</v>
      </c>
      <c r="F214" s="30" t="s">
        <v>6236</v>
      </c>
      <c r="G214" s="27" t="s">
        <v>1900</v>
      </c>
      <c r="H214" s="31">
        <v>670190997777</v>
      </c>
      <c r="I214" s="27" t="s">
        <v>1901</v>
      </c>
    </row>
    <row r="215" spans="1:10" ht="20.399999999999999" hidden="1">
      <c r="A215" s="5">
        <v>198</v>
      </c>
      <c r="B215" s="26" t="s">
        <v>6237</v>
      </c>
      <c r="C215" s="37" t="s">
        <v>6289</v>
      </c>
      <c r="D215" s="28">
        <v>0</v>
      </c>
      <c r="E215" s="29">
        <v>1000000</v>
      </c>
      <c r="F215" s="30" t="s">
        <v>6238</v>
      </c>
      <c r="G215" s="27" t="s">
        <v>1900</v>
      </c>
      <c r="H215" s="31">
        <v>670190997777</v>
      </c>
      <c r="I215" s="27" t="s">
        <v>1901</v>
      </c>
    </row>
    <row r="216" spans="1:10" ht="20.399999999999999" hidden="1">
      <c r="A216" s="5">
        <v>199</v>
      </c>
      <c r="B216" s="26" t="s">
        <v>6239</v>
      </c>
      <c r="C216" s="37" t="s">
        <v>6288</v>
      </c>
      <c r="D216" s="28">
        <v>0</v>
      </c>
      <c r="E216" s="29">
        <v>500000</v>
      </c>
      <c r="F216" s="30" t="s">
        <v>6240</v>
      </c>
      <c r="G216" s="27" t="s">
        <v>1900</v>
      </c>
      <c r="H216" s="31">
        <v>670190997777</v>
      </c>
      <c r="I216" s="27" t="s">
        <v>1901</v>
      </c>
    </row>
    <row r="217" spans="1:10" ht="20.399999999999999" hidden="1">
      <c r="A217" s="5">
        <v>200</v>
      </c>
      <c r="B217" s="26" t="s">
        <v>6241</v>
      </c>
      <c r="C217" s="37" t="s">
        <v>6287</v>
      </c>
      <c r="D217" s="28">
        <v>0</v>
      </c>
      <c r="E217" s="29">
        <v>400000</v>
      </c>
      <c r="F217" s="30" t="s">
        <v>6242</v>
      </c>
      <c r="G217" s="27" t="s">
        <v>1900</v>
      </c>
      <c r="H217" s="31">
        <v>670190997777</v>
      </c>
      <c r="I217" s="27" t="s">
        <v>1901</v>
      </c>
    </row>
    <row r="218" spans="1:10" ht="30.6" hidden="1">
      <c r="A218" s="5">
        <v>201</v>
      </c>
      <c r="B218" s="32" t="s">
        <v>6243</v>
      </c>
      <c r="C218" s="39" t="s">
        <v>6286</v>
      </c>
      <c r="D218" s="33">
        <v>0</v>
      </c>
      <c r="E218" s="34">
        <v>500000</v>
      </c>
      <c r="F218" s="35" t="s">
        <v>6244</v>
      </c>
      <c r="G218" s="30" t="s">
        <v>1900</v>
      </c>
      <c r="H218" s="36">
        <v>670190997777</v>
      </c>
      <c r="I218" s="30" t="s">
        <v>1901</v>
      </c>
    </row>
    <row r="219" spans="1:10" ht="20.399999999999999" hidden="1">
      <c r="A219" s="5">
        <v>202</v>
      </c>
      <c r="B219" s="26" t="s">
        <v>6245</v>
      </c>
      <c r="C219" s="37" t="s">
        <v>6285</v>
      </c>
      <c r="D219" s="28">
        <v>0</v>
      </c>
      <c r="E219" s="29">
        <v>1000000</v>
      </c>
      <c r="F219" s="30" t="s">
        <v>6246</v>
      </c>
      <c r="G219" s="27" t="s">
        <v>1900</v>
      </c>
      <c r="H219" s="31">
        <v>670190997777</v>
      </c>
      <c r="I219" s="27" t="s">
        <v>1901</v>
      </c>
    </row>
    <row r="220" spans="1:10" ht="20.399999999999999" hidden="1">
      <c r="A220" s="5">
        <v>203</v>
      </c>
      <c r="B220" s="26" t="s">
        <v>6247</v>
      </c>
      <c r="C220" s="37" t="s">
        <v>6284</v>
      </c>
      <c r="D220" s="28">
        <v>0</v>
      </c>
      <c r="E220" s="29">
        <v>800000</v>
      </c>
      <c r="F220" s="35" t="s">
        <v>6248</v>
      </c>
      <c r="G220" s="27" t="s">
        <v>1900</v>
      </c>
      <c r="H220" s="31">
        <v>670190997777</v>
      </c>
      <c r="I220" s="27" t="s">
        <v>1901</v>
      </c>
    </row>
    <row r="221" spans="1:10" ht="20.399999999999999" hidden="1">
      <c r="A221" s="5">
        <v>204</v>
      </c>
      <c r="B221" s="26" t="s">
        <v>6249</v>
      </c>
      <c r="C221" s="37" t="s">
        <v>6283</v>
      </c>
      <c r="D221" s="28">
        <v>0</v>
      </c>
      <c r="E221" s="29">
        <v>1400000</v>
      </c>
      <c r="F221" s="30" t="s">
        <v>6250</v>
      </c>
      <c r="G221" s="27" t="s">
        <v>1900</v>
      </c>
      <c r="H221" s="31">
        <v>670190997777</v>
      </c>
      <c r="I221" s="27" t="s">
        <v>1901</v>
      </c>
    </row>
    <row r="222" spans="1:10" ht="30.6" hidden="1">
      <c r="A222" s="5">
        <v>205</v>
      </c>
      <c r="B222" s="32" t="s">
        <v>6251</v>
      </c>
      <c r="C222" s="39" t="s">
        <v>6282</v>
      </c>
      <c r="D222" s="33">
        <v>0</v>
      </c>
      <c r="E222" s="34">
        <v>800000</v>
      </c>
      <c r="F222" s="35" t="s">
        <v>6252</v>
      </c>
      <c r="G222" s="30" t="s">
        <v>1900</v>
      </c>
      <c r="H222" s="36">
        <v>670190997777</v>
      </c>
      <c r="I222" s="30" t="s">
        <v>1901</v>
      </c>
    </row>
    <row r="223" spans="1:10" ht="30.6" hidden="1">
      <c r="A223" s="5">
        <v>206</v>
      </c>
      <c r="B223" s="32" t="s">
        <v>6253</v>
      </c>
      <c r="C223" s="39" t="s">
        <v>6281</v>
      </c>
      <c r="D223" s="33">
        <v>0</v>
      </c>
      <c r="E223" s="34">
        <v>800000</v>
      </c>
      <c r="F223" s="35" t="s">
        <v>6254</v>
      </c>
      <c r="G223" s="30" t="s">
        <v>1900</v>
      </c>
      <c r="H223" s="36">
        <v>670190997777</v>
      </c>
      <c r="I223" s="30" t="s">
        <v>1901</v>
      </c>
    </row>
    <row r="224" spans="1:10" ht="20.399999999999999" hidden="1">
      <c r="A224" s="5">
        <v>207</v>
      </c>
      <c r="B224" s="26" t="s">
        <v>6255</v>
      </c>
      <c r="C224" s="37" t="s">
        <v>6280</v>
      </c>
      <c r="D224" s="28">
        <v>0</v>
      </c>
      <c r="E224" s="29">
        <v>2600000</v>
      </c>
      <c r="F224" s="30" t="s">
        <v>6256</v>
      </c>
      <c r="G224" s="27" t="s">
        <v>1900</v>
      </c>
      <c r="H224" s="31">
        <v>670190997777</v>
      </c>
      <c r="I224" s="27" t="s">
        <v>1901</v>
      </c>
    </row>
    <row r="225" spans="1:10" ht="40.799999999999997" hidden="1">
      <c r="A225" s="5">
        <v>208</v>
      </c>
      <c r="B225" s="32" t="s">
        <v>6257</v>
      </c>
      <c r="C225" s="39" t="s">
        <v>6279</v>
      </c>
      <c r="D225" s="33">
        <v>0</v>
      </c>
      <c r="E225" s="34">
        <v>1200000</v>
      </c>
      <c r="F225" s="35" t="s">
        <v>6258</v>
      </c>
      <c r="G225" s="30" t="s">
        <v>1900</v>
      </c>
      <c r="H225" s="36">
        <v>670190997777</v>
      </c>
      <c r="I225" s="30" t="s">
        <v>1901</v>
      </c>
    </row>
    <row r="226" spans="1:10" ht="20.399999999999999" hidden="1">
      <c r="A226" s="5">
        <v>209</v>
      </c>
      <c r="B226" s="26" t="s">
        <v>6259</v>
      </c>
      <c r="C226" s="37" t="s">
        <v>6278</v>
      </c>
      <c r="D226" s="28">
        <v>0</v>
      </c>
      <c r="E226" s="29">
        <v>1000000</v>
      </c>
      <c r="F226" s="30" t="s">
        <v>6260</v>
      </c>
      <c r="G226" s="27" t="s">
        <v>1900</v>
      </c>
      <c r="H226" s="31">
        <v>670190997777</v>
      </c>
      <c r="I226" s="27" t="s">
        <v>1901</v>
      </c>
    </row>
    <row r="227" spans="1:10" ht="20.399999999999999" hidden="1">
      <c r="A227" s="5">
        <v>210</v>
      </c>
      <c r="B227" s="26" t="s">
        <v>6261</v>
      </c>
      <c r="C227" s="37" t="s">
        <v>6277</v>
      </c>
      <c r="D227" s="28">
        <v>0</v>
      </c>
      <c r="E227" s="29">
        <v>300000</v>
      </c>
      <c r="F227" s="30" t="s">
        <v>6262</v>
      </c>
      <c r="G227" s="27" t="s">
        <v>1900</v>
      </c>
      <c r="H227" s="31">
        <v>670190997777</v>
      </c>
      <c r="I227" s="27" t="s">
        <v>1901</v>
      </c>
    </row>
    <row r="228" spans="1:10" ht="20.399999999999999" hidden="1">
      <c r="A228" s="5">
        <v>211</v>
      </c>
      <c r="B228" s="26" t="s">
        <v>6263</v>
      </c>
      <c r="C228" s="37" t="s">
        <v>6276</v>
      </c>
      <c r="D228" s="28">
        <v>0</v>
      </c>
      <c r="E228" s="29">
        <v>2500000</v>
      </c>
      <c r="F228" s="30" t="s">
        <v>6264</v>
      </c>
      <c r="G228" s="27" t="s">
        <v>1900</v>
      </c>
      <c r="H228" s="31">
        <v>670190997777</v>
      </c>
      <c r="I228" s="27" t="s">
        <v>1901</v>
      </c>
    </row>
    <row r="229" spans="1:10" ht="20.399999999999999" hidden="1">
      <c r="A229" s="5">
        <v>212</v>
      </c>
      <c r="B229" s="26" t="s">
        <v>6265</v>
      </c>
      <c r="C229" s="37" t="s">
        <v>6273</v>
      </c>
      <c r="D229" s="28">
        <v>0</v>
      </c>
      <c r="E229" s="29">
        <v>400000</v>
      </c>
      <c r="F229" s="30" t="s">
        <v>2629</v>
      </c>
      <c r="G229" s="27" t="s">
        <v>1900</v>
      </c>
      <c r="H229" s="31">
        <v>670190997777</v>
      </c>
      <c r="I229" s="27" t="s">
        <v>1901</v>
      </c>
      <c r="J229" s="38" t="s">
        <v>6275</v>
      </c>
    </row>
    <row r="230" spans="1:10" ht="20.399999999999999" hidden="1">
      <c r="A230" s="5">
        <v>213</v>
      </c>
      <c r="B230" s="26" t="s">
        <v>6266</v>
      </c>
      <c r="C230" s="37" t="s">
        <v>6272</v>
      </c>
      <c r="D230" s="28">
        <v>0</v>
      </c>
      <c r="E230" s="29">
        <v>1200000</v>
      </c>
      <c r="F230" s="30" t="s">
        <v>6267</v>
      </c>
      <c r="G230" s="27" t="s">
        <v>1900</v>
      </c>
      <c r="H230" s="31">
        <v>670190997777</v>
      </c>
      <c r="I230" s="27" t="s">
        <v>1901</v>
      </c>
    </row>
    <row r="231" spans="1:10" ht="20.399999999999999" hidden="1">
      <c r="A231" s="5">
        <v>214</v>
      </c>
      <c r="B231" s="26" t="s">
        <v>6268</v>
      </c>
      <c r="C231" s="37" t="s">
        <v>6271</v>
      </c>
      <c r="D231" s="28">
        <v>0</v>
      </c>
      <c r="E231" s="29">
        <v>800000</v>
      </c>
      <c r="F231" s="30" t="s">
        <v>6269</v>
      </c>
      <c r="G231" s="27" t="s">
        <v>1900</v>
      </c>
      <c r="H231" s="31">
        <v>670190997777</v>
      </c>
      <c r="I231" s="27" t="s">
        <v>1901</v>
      </c>
    </row>
    <row r="232" spans="1:10" ht="20.399999999999999" hidden="1">
      <c r="A232" s="5">
        <v>215</v>
      </c>
      <c r="B232" s="26" t="s">
        <v>6045</v>
      </c>
      <c r="C232" s="37" t="s">
        <v>6083</v>
      </c>
      <c r="D232" s="28">
        <v>0</v>
      </c>
      <c r="E232" s="29">
        <v>1100000</v>
      </c>
      <c r="F232" s="30" t="s">
        <v>6046</v>
      </c>
      <c r="G232" s="27" t="s">
        <v>1900</v>
      </c>
      <c r="H232" s="31">
        <v>670190997777</v>
      </c>
      <c r="I232" s="27" t="s">
        <v>1901</v>
      </c>
      <c r="J232" s="5" t="s">
        <v>6270</v>
      </c>
    </row>
    <row r="233" spans="1:10" ht="40.799999999999997" hidden="1">
      <c r="A233" s="5">
        <v>216</v>
      </c>
      <c r="B233" s="32" t="s">
        <v>6047</v>
      </c>
      <c r="C233" s="39" t="s">
        <v>6082</v>
      </c>
      <c r="D233" s="33">
        <v>0</v>
      </c>
      <c r="E233" s="34">
        <v>800000</v>
      </c>
      <c r="F233" s="35" t="s">
        <v>6048</v>
      </c>
      <c r="G233" s="30" t="s">
        <v>1900</v>
      </c>
      <c r="H233" s="36">
        <v>670190997777</v>
      </c>
      <c r="I233" s="30" t="s">
        <v>1901</v>
      </c>
    </row>
    <row r="234" spans="1:10" ht="20.399999999999999" hidden="1">
      <c r="A234" s="5">
        <v>217</v>
      </c>
      <c r="B234" s="26" t="s">
        <v>6049</v>
      </c>
      <c r="C234" s="37" t="s">
        <v>6078</v>
      </c>
      <c r="D234" s="28">
        <v>0</v>
      </c>
      <c r="E234" s="29">
        <v>400000</v>
      </c>
      <c r="F234" s="30" t="s">
        <v>6050</v>
      </c>
      <c r="G234" s="27" t="s">
        <v>1900</v>
      </c>
      <c r="H234" s="31">
        <v>670190997777</v>
      </c>
      <c r="I234" s="27" t="s">
        <v>1901</v>
      </c>
    </row>
    <row r="235" spans="1:10" ht="20.399999999999999" hidden="1">
      <c r="A235" s="5">
        <v>218</v>
      </c>
      <c r="B235" s="26" t="s">
        <v>6051</v>
      </c>
      <c r="C235" s="37" t="s">
        <v>6077</v>
      </c>
      <c r="D235" s="28">
        <v>0</v>
      </c>
      <c r="E235" s="29">
        <v>900000</v>
      </c>
      <c r="F235" s="30" t="s">
        <v>6052</v>
      </c>
      <c r="G235" s="27" t="s">
        <v>1900</v>
      </c>
      <c r="H235" s="31">
        <v>670190997777</v>
      </c>
      <c r="I235" s="27" t="s">
        <v>1901</v>
      </c>
    </row>
    <row r="236" spans="1:10" ht="40.799999999999997" hidden="1">
      <c r="A236" s="5">
        <v>219</v>
      </c>
      <c r="B236" s="32" t="s">
        <v>6053</v>
      </c>
      <c r="C236" s="39" t="s">
        <v>6076</v>
      </c>
      <c r="D236" s="33">
        <v>0</v>
      </c>
      <c r="E236" s="34">
        <v>900000</v>
      </c>
      <c r="F236" s="35" t="s">
        <v>6054</v>
      </c>
      <c r="G236" s="30" t="s">
        <v>1900</v>
      </c>
      <c r="H236" s="36">
        <v>670190997777</v>
      </c>
      <c r="I236" s="30" t="s">
        <v>1901</v>
      </c>
    </row>
    <row r="237" spans="1:10" ht="20.399999999999999" hidden="1">
      <c r="A237" s="5">
        <v>220</v>
      </c>
      <c r="B237" s="26" t="s">
        <v>6055</v>
      </c>
      <c r="C237" s="37" t="s">
        <v>6075</v>
      </c>
      <c r="D237" s="28">
        <v>0</v>
      </c>
      <c r="E237" s="29">
        <v>900000</v>
      </c>
      <c r="F237" s="30" t="s">
        <v>6056</v>
      </c>
      <c r="G237" s="27" t="s">
        <v>1900</v>
      </c>
      <c r="H237" s="31">
        <v>670190997777</v>
      </c>
      <c r="I237" s="27" t="s">
        <v>1901</v>
      </c>
    </row>
    <row r="238" spans="1:10" ht="20.399999999999999" hidden="1">
      <c r="A238" s="5">
        <v>221</v>
      </c>
      <c r="B238" s="26" t="s">
        <v>6057</v>
      </c>
      <c r="C238" s="37" t="s">
        <v>6074</v>
      </c>
      <c r="D238" s="28">
        <v>0</v>
      </c>
      <c r="E238" s="29">
        <v>500000</v>
      </c>
      <c r="F238" s="30" t="s">
        <v>6058</v>
      </c>
      <c r="G238" s="27" t="s">
        <v>1900</v>
      </c>
      <c r="H238" s="31">
        <v>670190997777</v>
      </c>
      <c r="I238" s="27" t="s">
        <v>1901</v>
      </c>
    </row>
    <row r="239" spans="1:10" ht="20.399999999999999" hidden="1">
      <c r="A239" s="5">
        <v>222</v>
      </c>
      <c r="B239" s="26" t="s">
        <v>6059</v>
      </c>
      <c r="C239" s="37" t="s">
        <v>6073</v>
      </c>
      <c r="D239" s="28">
        <v>0</v>
      </c>
      <c r="E239" s="29">
        <v>400000</v>
      </c>
      <c r="F239" s="30" t="s">
        <v>6060</v>
      </c>
      <c r="G239" s="27" t="s">
        <v>1900</v>
      </c>
      <c r="H239" s="31">
        <v>670190997777</v>
      </c>
      <c r="I239" s="27" t="s">
        <v>1901</v>
      </c>
    </row>
    <row r="240" spans="1:10" ht="20.399999999999999" hidden="1">
      <c r="A240" s="5">
        <v>223</v>
      </c>
      <c r="B240" s="26" t="s">
        <v>6061</v>
      </c>
      <c r="C240" s="37" t="s">
        <v>6072</v>
      </c>
      <c r="D240" s="28">
        <v>0</v>
      </c>
      <c r="E240" s="29">
        <v>1600000</v>
      </c>
      <c r="F240" s="30" t="s">
        <v>6062</v>
      </c>
      <c r="G240" s="27" t="s">
        <v>1900</v>
      </c>
      <c r="H240" s="31">
        <v>670190997777</v>
      </c>
      <c r="I240" s="27" t="s">
        <v>1901</v>
      </c>
    </row>
    <row r="241" spans="1:9" ht="20.399999999999999" hidden="1">
      <c r="A241" s="5">
        <v>224</v>
      </c>
      <c r="B241" s="26" t="s">
        <v>6063</v>
      </c>
      <c r="C241" s="37" t="s">
        <v>6071</v>
      </c>
      <c r="D241" s="28">
        <v>0</v>
      </c>
      <c r="E241" s="29">
        <v>600000</v>
      </c>
      <c r="F241" s="30" t="s">
        <v>6064</v>
      </c>
      <c r="G241" s="27" t="s">
        <v>1900</v>
      </c>
      <c r="H241" s="31">
        <v>670190997777</v>
      </c>
      <c r="I241" s="27" t="s">
        <v>1901</v>
      </c>
    </row>
    <row r="242" spans="1:9" ht="20.399999999999999" hidden="1">
      <c r="A242" s="5">
        <v>225</v>
      </c>
      <c r="B242" s="26" t="s">
        <v>6065</v>
      </c>
      <c r="C242" s="37" t="s">
        <v>6070</v>
      </c>
      <c r="D242" s="28">
        <v>0</v>
      </c>
      <c r="E242" s="29">
        <v>500000</v>
      </c>
      <c r="F242" s="30" t="s">
        <v>6066</v>
      </c>
      <c r="G242" s="27" t="s">
        <v>1900</v>
      </c>
      <c r="H242" s="31">
        <v>670190997777</v>
      </c>
      <c r="I242" s="27" t="s">
        <v>1901</v>
      </c>
    </row>
    <row r="243" spans="1:9" ht="40.799999999999997" hidden="1">
      <c r="A243" s="5">
        <v>226</v>
      </c>
      <c r="B243" s="32" t="s">
        <v>6067</v>
      </c>
      <c r="C243" s="39" t="s">
        <v>6069</v>
      </c>
      <c r="D243" s="33">
        <v>0</v>
      </c>
      <c r="E243" s="34">
        <v>300000</v>
      </c>
      <c r="F243" s="35" t="s">
        <v>6068</v>
      </c>
      <c r="G243" s="30" t="s">
        <v>1900</v>
      </c>
      <c r="H243" s="36">
        <v>670190997777</v>
      </c>
      <c r="I243" s="30" t="s">
        <v>1901</v>
      </c>
    </row>
    <row r="244" spans="1:9" ht="20.399999999999999" hidden="1">
      <c r="A244" s="5">
        <v>227</v>
      </c>
      <c r="B244" s="26" t="s">
        <v>2853</v>
      </c>
      <c r="C244" s="37" t="s">
        <v>3147</v>
      </c>
      <c r="D244" s="28">
        <v>0</v>
      </c>
      <c r="E244" s="92">
        <v>300000</v>
      </c>
      <c r="F244" s="30" t="s">
        <v>2854</v>
      </c>
      <c r="G244" s="27" t="s">
        <v>1900</v>
      </c>
      <c r="H244" s="31">
        <v>670190997777</v>
      </c>
      <c r="I244" s="27" t="s">
        <v>1901</v>
      </c>
    </row>
    <row r="245" spans="1:9" ht="30.6" hidden="1">
      <c r="A245" s="5">
        <v>228</v>
      </c>
      <c r="B245" s="32" t="s">
        <v>2855</v>
      </c>
      <c r="C245" s="39" t="s">
        <v>3146</v>
      </c>
      <c r="D245" s="33">
        <v>0</v>
      </c>
      <c r="E245" s="93">
        <v>1700000</v>
      </c>
      <c r="F245" s="35" t="s">
        <v>2856</v>
      </c>
      <c r="G245" s="30" t="s">
        <v>1900</v>
      </c>
      <c r="H245" s="36">
        <v>670190997777</v>
      </c>
      <c r="I245" s="30" t="s">
        <v>1901</v>
      </c>
    </row>
    <row r="246" spans="1:9" ht="20.399999999999999" hidden="1">
      <c r="A246" s="5">
        <v>229</v>
      </c>
      <c r="B246" s="26" t="s">
        <v>2857</v>
      </c>
      <c r="C246" s="37" t="s">
        <v>3145</v>
      </c>
      <c r="D246" s="28">
        <v>0</v>
      </c>
      <c r="E246" s="92">
        <v>600000</v>
      </c>
      <c r="F246" s="30" t="s">
        <v>2858</v>
      </c>
      <c r="G246" s="27" t="s">
        <v>1900</v>
      </c>
      <c r="H246" s="31">
        <v>670190997777</v>
      </c>
      <c r="I246" s="27" t="s">
        <v>1901</v>
      </c>
    </row>
    <row r="247" spans="1:9" ht="20.399999999999999" hidden="1">
      <c r="A247" s="5">
        <v>230</v>
      </c>
      <c r="B247" s="26" t="s">
        <v>2859</v>
      </c>
      <c r="C247" s="37" t="s">
        <v>3144</v>
      </c>
      <c r="D247" s="28">
        <v>0</v>
      </c>
      <c r="E247" s="92">
        <v>400000</v>
      </c>
      <c r="F247" s="30" t="s">
        <v>2860</v>
      </c>
      <c r="G247" s="27" t="s">
        <v>1900</v>
      </c>
      <c r="H247" s="31">
        <v>670190997777</v>
      </c>
      <c r="I247" s="27" t="s">
        <v>1901</v>
      </c>
    </row>
    <row r="248" spans="1:9" ht="30.6" hidden="1">
      <c r="A248" s="5">
        <v>231</v>
      </c>
      <c r="B248" s="32" t="s">
        <v>2861</v>
      </c>
      <c r="C248" s="39" t="s">
        <v>3143</v>
      </c>
      <c r="D248" s="33">
        <v>0</v>
      </c>
      <c r="E248" s="93">
        <v>800000</v>
      </c>
      <c r="F248" s="35" t="s">
        <v>2862</v>
      </c>
      <c r="G248" s="30" t="s">
        <v>1900</v>
      </c>
      <c r="H248" s="36">
        <v>670190997777</v>
      </c>
      <c r="I248" s="30" t="s">
        <v>1901</v>
      </c>
    </row>
    <row r="249" spans="1:9" ht="30.6" hidden="1">
      <c r="A249" s="5">
        <v>232</v>
      </c>
      <c r="B249" s="32" t="s">
        <v>2863</v>
      </c>
      <c r="C249" s="39" t="s">
        <v>3142</v>
      </c>
      <c r="D249" s="33">
        <v>0</v>
      </c>
      <c r="E249" s="93">
        <v>400000</v>
      </c>
      <c r="F249" s="35" t="s">
        <v>2864</v>
      </c>
      <c r="G249" s="30" t="s">
        <v>1900</v>
      </c>
      <c r="H249" s="36">
        <v>670190997777</v>
      </c>
      <c r="I249" s="30" t="s">
        <v>1901</v>
      </c>
    </row>
    <row r="250" spans="1:9" ht="20.399999999999999" hidden="1">
      <c r="A250" s="5">
        <v>233</v>
      </c>
      <c r="B250" s="26" t="s">
        <v>2865</v>
      </c>
      <c r="C250" s="37" t="s">
        <v>3141</v>
      </c>
      <c r="D250" s="28">
        <v>0</v>
      </c>
      <c r="E250" s="92">
        <v>500000</v>
      </c>
      <c r="F250" s="30" t="s">
        <v>2866</v>
      </c>
      <c r="G250" s="27" t="s">
        <v>1900</v>
      </c>
      <c r="H250" s="31">
        <v>670190997777</v>
      </c>
      <c r="I250" s="27" t="s">
        <v>1901</v>
      </c>
    </row>
    <row r="251" spans="1:9" ht="20.399999999999999" hidden="1">
      <c r="A251" s="5">
        <v>234</v>
      </c>
      <c r="B251" s="26" t="s">
        <v>2867</v>
      </c>
      <c r="C251" s="37" t="s">
        <v>3140</v>
      </c>
      <c r="D251" s="28">
        <v>0</v>
      </c>
      <c r="E251" s="92">
        <v>800000</v>
      </c>
      <c r="F251" s="30" t="s">
        <v>2868</v>
      </c>
      <c r="G251" s="27" t="s">
        <v>1900</v>
      </c>
      <c r="H251" s="31">
        <v>670190997777</v>
      </c>
      <c r="I251" s="27" t="s">
        <v>1901</v>
      </c>
    </row>
    <row r="252" spans="1:9" ht="20.399999999999999" hidden="1">
      <c r="A252" s="5">
        <v>235</v>
      </c>
      <c r="B252" s="26" t="s">
        <v>2869</v>
      </c>
      <c r="C252" s="37" t="s">
        <v>3139</v>
      </c>
      <c r="D252" s="28">
        <v>0</v>
      </c>
      <c r="E252" s="92">
        <v>400000</v>
      </c>
      <c r="F252" s="30" t="s">
        <v>2870</v>
      </c>
      <c r="G252" s="27" t="s">
        <v>1900</v>
      </c>
      <c r="H252" s="31">
        <v>670190997777</v>
      </c>
      <c r="I252" s="27" t="s">
        <v>1901</v>
      </c>
    </row>
    <row r="253" spans="1:9" ht="20.399999999999999" hidden="1">
      <c r="A253" s="5">
        <v>236</v>
      </c>
      <c r="B253" s="26" t="s">
        <v>2871</v>
      </c>
      <c r="C253" s="37" t="s">
        <v>3138</v>
      </c>
      <c r="D253" s="28">
        <v>0</v>
      </c>
      <c r="E253" s="92">
        <v>500000</v>
      </c>
      <c r="F253" s="30" t="s">
        <v>2872</v>
      </c>
      <c r="G253" s="27" t="s">
        <v>1900</v>
      </c>
      <c r="H253" s="31">
        <v>670190997777</v>
      </c>
      <c r="I253" s="27" t="s">
        <v>1901</v>
      </c>
    </row>
    <row r="254" spans="1:9" ht="20.399999999999999" hidden="1">
      <c r="A254" s="5">
        <v>237</v>
      </c>
      <c r="B254" s="26" t="s">
        <v>2873</v>
      </c>
      <c r="C254" s="37" t="s">
        <v>3137</v>
      </c>
      <c r="D254" s="28">
        <v>0</v>
      </c>
      <c r="E254" s="92">
        <v>900000</v>
      </c>
      <c r="F254" s="30" t="s">
        <v>2874</v>
      </c>
      <c r="G254" s="27" t="s">
        <v>1900</v>
      </c>
      <c r="H254" s="31">
        <v>670190997777</v>
      </c>
      <c r="I254" s="27" t="s">
        <v>1901</v>
      </c>
    </row>
    <row r="255" spans="1:9" ht="20.399999999999999" hidden="1">
      <c r="A255" s="5">
        <v>238</v>
      </c>
      <c r="B255" s="26" t="s">
        <v>2875</v>
      </c>
      <c r="C255" s="37" t="s">
        <v>3136</v>
      </c>
      <c r="D255" s="28">
        <v>0</v>
      </c>
      <c r="E255" s="92">
        <v>400000</v>
      </c>
      <c r="F255" s="30" t="s">
        <v>2876</v>
      </c>
      <c r="G255" s="27" t="s">
        <v>1900</v>
      </c>
      <c r="H255" s="31">
        <v>670190997777</v>
      </c>
      <c r="I255" s="27" t="s">
        <v>1901</v>
      </c>
    </row>
    <row r="256" spans="1:9" ht="30.6" hidden="1">
      <c r="A256" s="5">
        <v>239</v>
      </c>
      <c r="B256" s="32" t="s">
        <v>2877</v>
      </c>
      <c r="C256" s="39" t="s">
        <v>3135</v>
      </c>
      <c r="D256" s="33">
        <v>0</v>
      </c>
      <c r="E256" s="93">
        <v>800000</v>
      </c>
      <c r="F256" s="35" t="s">
        <v>2878</v>
      </c>
      <c r="G256" s="30" t="s">
        <v>1900</v>
      </c>
      <c r="H256" s="36">
        <v>670190997777</v>
      </c>
      <c r="I256" s="30" t="s">
        <v>1901</v>
      </c>
    </row>
    <row r="257" spans="1:11" ht="20.399999999999999" hidden="1">
      <c r="A257" s="5">
        <v>240</v>
      </c>
      <c r="B257" s="26" t="s">
        <v>2879</v>
      </c>
      <c r="C257" s="37" t="s">
        <v>3134</v>
      </c>
      <c r="D257" s="28">
        <v>0</v>
      </c>
      <c r="E257" s="92">
        <v>800000</v>
      </c>
      <c r="F257" s="30" t="s">
        <v>2880</v>
      </c>
      <c r="G257" s="27" t="s">
        <v>1900</v>
      </c>
      <c r="H257" s="31">
        <v>670190997777</v>
      </c>
      <c r="I257" s="27" t="s">
        <v>1901</v>
      </c>
    </row>
    <row r="258" spans="1:11" ht="20.399999999999999" hidden="1">
      <c r="A258" s="5">
        <v>241</v>
      </c>
      <c r="B258" s="26" t="s">
        <v>2881</v>
      </c>
      <c r="C258" s="37" t="s">
        <v>3133</v>
      </c>
      <c r="D258" s="28">
        <v>0</v>
      </c>
      <c r="E258" s="92">
        <v>800000</v>
      </c>
      <c r="F258" s="30" t="s">
        <v>2882</v>
      </c>
      <c r="G258" s="27" t="s">
        <v>1900</v>
      </c>
      <c r="H258" s="31">
        <v>670190997777</v>
      </c>
      <c r="I258" s="27" t="s">
        <v>1901</v>
      </c>
    </row>
    <row r="259" spans="1:11" ht="20.399999999999999" hidden="1">
      <c r="A259" s="5">
        <v>242</v>
      </c>
      <c r="B259" s="26" t="s">
        <v>2883</v>
      </c>
      <c r="C259" s="37" t="s">
        <v>3132</v>
      </c>
      <c r="D259" s="28">
        <v>0</v>
      </c>
      <c r="E259" s="92">
        <v>1400000</v>
      </c>
      <c r="F259" s="30" t="s">
        <v>2884</v>
      </c>
      <c r="G259" s="27" t="s">
        <v>1900</v>
      </c>
      <c r="H259" s="31">
        <v>670190997777</v>
      </c>
      <c r="I259" s="27" t="s">
        <v>1901</v>
      </c>
    </row>
    <row r="260" spans="1:11" ht="20.399999999999999" hidden="1">
      <c r="A260" s="5">
        <v>243</v>
      </c>
      <c r="B260" s="26" t="s">
        <v>2885</v>
      </c>
      <c r="C260" s="37" t="s">
        <v>3131</v>
      </c>
      <c r="D260" s="28">
        <v>0</v>
      </c>
      <c r="E260" s="92">
        <v>300000</v>
      </c>
      <c r="F260" s="30" t="s">
        <v>2886</v>
      </c>
      <c r="G260" s="27" t="s">
        <v>1900</v>
      </c>
      <c r="H260" s="31">
        <v>670190997777</v>
      </c>
      <c r="I260" s="27" t="s">
        <v>1901</v>
      </c>
    </row>
    <row r="261" spans="1:11" ht="20.399999999999999" hidden="1">
      <c r="A261" s="5">
        <v>244</v>
      </c>
      <c r="B261" s="26" t="s">
        <v>2887</v>
      </c>
      <c r="C261" s="37" t="s">
        <v>3130</v>
      </c>
      <c r="D261" s="28">
        <v>0</v>
      </c>
      <c r="E261" s="92">
        <v>900000</v>
      </c>
      <c r="F261" s="30" t="s">
        <v>2888</v>
      </c>
      <c r="G261" s="27" t="s">
        <v>1900</v>
      </c>
      <c r="H261" s="31">
        <v>670190997777</v>
      </c>
      <c r="I261" s="27" t="s">
        <v>1901</v>
      </c>
    </row>
    <row r="262" spans="1:11" ht="20.399999999999999" hidden="1">
      <c r="A262" s="5">
        <v>245</v>
      </c>
      <c r="B262" s="26" t="s">
        <v>2889</v>
      </c>
      <c r="C262" s="37" t="s">
        <v>3129</v>
      </c>
      <c r="D262" s="28">
        <v>0</v>
      </c>
      <c r="E262" s="92">
        <v>1300000</v>
      </c>
      <c r="F262" s="30" t="s">
        <v>2890</v>
      </c>
      <c r="G262" s="27" t="s">
        <v>1900</v>
      </c>
      <c r="H262" s="31">
        <v>670190997777</v>
      </c>
      <c r="I262" s="27" t="s">
        <v>1901</v>
      </c>
    </row>
    <row r="263" spans="1:11" ht="20.399999999999999" hidden="1">
      <c r="A263" s="5">
        <v>246</v>
      </c>
      <c r="B263" s="26" t="s">
        <v>2891</v>
      </c>
      <c r="C263" s="37" t="s">
        <v>3128</v>
      </c>
      <c r="D263" s="28">
        <v>0</v>
      </c>
      <c r="E263" s="92">
        <v>400000</v>
      </c>
      <c r="F263" s="30" t="s">
        <v>2892</v>
      </c>
      <c r="G263" s="27" t="s">
        <v>1900</v>
      </c>
      <c r="H263" s="31">
        <v>670190997777</v>
      </c>
      <c r="I263" s="27" t="s">
        <v>1901</v>
      </c>
    </row>
    <row r="264" spans="1:11" ht="20.399999999999999" hidden="1">
      <c r="A264" s="5">
        <v>247</v>
      </c>
      <c r="B264" s="26" t="s">
        <v>2893</v>
      </c>
      <c r="C264" s="37" t="s">
        <v>3127</v>
      </c>
      <c r="D264" s="28">
        <v>0</v>
      </c>
      <c r="E264" s="92">
        <v>1400000</v>
      </c>
      <c r="F264" s="30" t="s">
        <v>2894</v>
      </c>
      <c r="G264" s="27" t="s">
        <v>1900</v>
      </c>
      <c r="H264" s="31">
        <v>670190997777</v>
      </c>
      <c r="I264" s="27" t="s">
        <v>1901</v>
      </c>
    </row>
    <row r="265" spans="1:11" ht="20.399999999999999" hidden="1">
      <c r="A265" s="5">
        <v>248</v>
      </c>
      <c r="B265" s="26" t="s">
        <v>2895</v>
      </c>
      <c r="C265" s="37" t="s">
        <v>3126</v>
      </c>
      <c r="D265" s="28">
        <v>0</v>
      </c>
      <c r="E265" s="92">
        <v>500000</v>
      </c>
      <c r="F265" s="30" t="s">
        <v>2896</v>
      </c>
      <c r="G265" s="27" t="s">
        <v>1900</v>
      </c>
      <c r="H265" s="31">
        <v>670190997777</v>
      </c>
      <c r="I265" s="27" t="s">
        <v>1901</v>
      </c>
    </row>
    <row r="266" spans="1:11" ht="20.399999999999999" hidden="1">
      <c r="A266" s="5">
        <v>249</v>
      </c>
      <c r="B266" s="26" t="s">
        <v>2897</v>
      </c>
      <c r="C266" s="37" t="s">
        <v>3125</v>
      </c>
      <c r="D266" s="28">
        <v>0</v>
      </c>
      <c r="E266" s="92">
        <v>500000</v>
      </c>
      <c r="F266" s="30" t="s">
        <v>2898</v>
      </c>
      <c r="G266" s="27" t="s">
        <v>1900</v>
      </c>
      <c r="H266" s="31">
        <v>670190997777</v>
      </c>
      <c r="I266" s="27" t="s">
        <v>1901</v>
      </c>
    </row>
    <row r="267" spans="1:11" ht="20.399999999999999" hidden="1">
      <c r="A267" s="5">
        <v>250</v>
      </c>
      <c r="B267" s="26" t="s">
        <v>2899</v>
      </c>
      <c r="C267" s="37" t="s">
        <v>3124</v>
      </c>
      <c r="D267" s="28">
        <v>0</v>
      </c>
      <c r="E267" s="92">
        <v>300000</v>
      </c>
      <c r="F267" s="30" t="s">
        <v>2900</v>
      </c>
      <c r="G267" s="27" t="s">
        <v>1900</v>
      </c>
      <c r="H267" s="31">
        <v>670190997777</v>
      </c>
      <c r="I267" s="27" t="s">
        <v>1901</v>
      </c>
    </row>
    <row r="268" spans="1:11" ht="20.399999999999999" hidden="1">
      <c r="A268" s="5">
        <v>251</v>
      </c>
      <c r="B268" s="26" t="s">
        <v>2901</v>
      </c>
      <c r="C268" s="37" t="s">
        <v>3123</v>
      </c>
      <c r="D268" s="28">
        <v>0</v>
      </c>
      <c r="E268" s="92">
        <v>800000</v>
      </c>
      <c r="F268" s="30" t="s">
        <v>2902</v>
      </c>
      <c r="G268" s="27" t="s">
        <v>1900</v>
      </c>
      <c r="H268" s="31">
        <v>670190997777</v>
      </c>
      <c r="I268" s="27" t="s">
        <v>1901</v>
      </c>
    </row>
    <row r="269" spans="1:11" ht="25.8" hidden="1" customHeight="1">
      <c r="A269" s="5">
        <v>252</v>
      </c>
      <c r="B269" s="26" t="s">
        <v>2903</v>
      </c>
      <c r="C269" s="37" t="s">
        <v>3122</v>
      </c>
      <c r="D269" s="28">
        <v>0</v>
      </c>
      <c r="E269" s="94">
        <v>800000</v>
      </c>
      <c r="F269" s="35" t="s">
        <v>2904</v>
      </c>
      <c r="G269" s="27" t="s">
        <v>1900</v>
      </c>
      <c r="H269" s="31">
        <v>670190997777</v>
      </c>
      <c r="I269" s="27" t="s">
        <v>1901</v>
      </c>
      <c r="J269" s="44" t="s">
        <v>784</v>
      </c>
      <c r="K269" s="44" t="s">
        <v>785</v>
      </c>
    </row>
    <row r="270" spans="1:11" ht="20.399999999999999" hidden="1">
      <c r="A270" s="5">
        <v>253</v>
      </c>
      <c r="B270" s="26" t="s">
        <v>2905</v>
      </c>
      <c r="C270" s="37" t="s">
        <v>3121</v>
      </c>
      <c r="D270" s="28">
        <v>0</v>
      </c>
      <c r="E270" s="92">
        <v>800000</v>
      </c>
      <c r="F270" s="30" t="s">
        <v>2906</v>
      </c>
      <c r="G270" s="27" t="s">
        <v>1900</v>
      </c>
      <c r="H270" s="31">
        <v>670190997777</v>
      </c>
      <c r="I270" s="27" t="s">
        <v>1901</v>
      </c>
    </row>
    <row r="271" spans="1:11" ht="20.399999999999999" hidden="1">
      <c r="A271" s="5">
        <v>254</v>
      </c>
      <c r="B271" s="26" t="s">
        <v>2907</v>
      </c>
      <c r="C271" s="37" t="s">
        <v>3120</v>
      </c>
      <c r="D271" s="28">
        <v>0</v>
      </c>
      <c r="E271" s="92">
        <v>900000</v>
      </c>
      <c r="F271" s="30" t="s">
        <v>2908</v>
      </c>
      <c r="G271" s="27" t="s">
        <v>1900</v>
      </c>
      <c r="H271" s="31">
        <v>670190997777</v>
      </c>
      <c r="I271" s="27" t="s">
        <v>1901</v>
      </c>
    </row>
    <row r="272" spans="1:11" ht="20.399999999999999" hidden="1">
      <c r="A272" s="5">
        <v>255</v>
      </c>
      <c r="B272" s="26" t="s">
        <v>2909</v>
      </c>
      <c r="C272" s="37" t="s">
        <v>3119</v>
      </c>
      <c r="D272" s="28">
        <v>0</v>
      </c>
      <c r="E272" s="92">
        <v>1400000</v>
      </c>
      <c r="F272" s="30" t="s">
        <v>2910</v>
      </c>
      <c r="G272" s="27" t="s">
        <v>1900</v>
      </c>
      <c r="H272" s="31">
        <v>670190997777</v>
      </c>
      <c r="I272" s="27" t="s">
        <v>1901</v>
      </c>
    </row>
    <row r="273" spans="1:10" ht="20.399999999999999" hidden="1">
      <c r="A273" s="5">
        <v>256</v>
      </c>
      <c r="B273" s="26" t="s">
        <v>2911</v>
      </c>
      <c r="C273" s="37" t="s">
        <v>3118</v>
      </c>
      <c r="D273" s="28">
        <v>0</v>
      </c>
      <c r="E273" s="92">
        <v>800000</v>
      </c>
      <c r="F273" s="30" t="s">
        <v>2912</v>
      </c>
      <c r="G273" s="27" t="s">
        <v>1900</v>
      </c>
      <c r="H273" s="31">
        <v>670190997777</v>
      </c>
      <c r="I273" s="27" t="s">
        <v>1901</v>
      </c>
    </row>
    <row r="274" spans="1:10" ht="40.799999999999997" hidden="1">
      <c r="A274" s="5">
        <v>257</v>
      </c>
      <c r="B274" s="32" t="s">
        <v>2913</v>
      </c>
      <c r="C274" s="39" t="s">
        <v>3117</v>
      </c>
      <c r="D274" s="33">
        <v>0</v>
      </c>
      <c r="E274" s="93">
        <v>300000</v>
      </c>
      <c r="F274" s="35" t="s">
        <v>2914</v>
      </c>
      <c r="G274" s="30" t="s">
        <v>1900</v>
      </c>
      <c r="H274" s="36">
        <v>670190997777</v>
      </c>
      <c r="I274" s="30" t="s">
        <v>1901</v>
      </c>
      <c r="J274" s="5" t="s">
        <v>2086</v>
      </c>
    </row>
    <row r="275" spans="1:10" ht="30.6" hidden="1">
      <c r="A275" s="5">
        <v>258</v>
      </c>
      <c r="B275" s="32" t="s">
        <v>2915</v>
      </c>
      <c r="C275" s="39" t="s">
        <v>3116</v>
      </c>
      <c r="D275" s="33">
        <v>0</v>
      </c>
      <c r="E275" s="93">
        <v>600000</v>
      </c>
      <c r="F275" s="35" t="s">
        <v>2916</v>
      </c>
      <c r="G275" s="30" t="s">
        <v>1900</v>
      </c>
      <c r="H275" s="36">
        <v>670190997777</v>
      </c>
      <c r="I275" s="30" t="s">
        <v>1901</v>
      </c>
    </row>
    <row r="276" spans="1:10" ht="20.399999999999999" hidden="1">
      <c r="A276" s="5">
        <v>259</v>
      </c>
      <c r="B276" s="26" t="s">
        <v>2917</v>
      </c>
      <c r="C276" s="37" t="s">
        <v>3115</v>
      </c>
      <c r="D276" s="28">
        <v>0</v>
      </c>
      <c r="E276" s="92">
        <v>900000</v>
      </c>
      <c r="F276" s="30" t="s">
        <v>2918</v>
      </c>
      <c r="G276" s="27" t="s">
        <v>1900</v>
      </c>
      <c r="H276" s="31">
        <v>670190997777</v>
      </c>
      <c r="I276" s="27" t="s">
        <v>1901</v>
      </c>
    </row>
    <row r="277" spans="1:10" ht="30.6" hidden="1">
      <c r="A277" s="5">
        <v>260</v>
      </c>
      <c r="B277" s="32" t="s">
        <v>2919</v>
      </c>
      <c r="C277" s="39" t="s">
        <v>3114</v>
      </c>
      <c r="D277" s="33">
        <v>0</v>
      </c>
      <c r="E277" s="93">
        <v>500000</v>
      </c>
      <c r="F277" s="35" t="s">
        <v>2920</v>
      </c>
      <c r="G277" s="30" t="s">
        <v>1900</v>
      </c>
      <c r="H277" s="36">
        <v>670190997777</v>
      </c>
      <c r="I277" s="30" t="s">
        <v>1901</v>
      </c>
    </row>
    <row r="278" spans="1:10" ht="20.399999999999999" hidden="1">
      <c r="A278" s="5">
        <v>261</v>
      </c>
      <c r="B278" s="26" t="s">
        <v>2921</v>
      </c>
      <c r="C278" s="42" t="s">
        <v>2922</v>
      </c>
      <c r="D278" s="28">
        <v>0</v>
      </c>
      <c r="E278" s="92">
        <v>400000</v>
      </c>
      <c r="F278" s="30" t="s">
        <v>2923</v>
      </c>
      <c r="G278" s="27" t="s">
        <v>1900</v>
      </c>
      <c r="H278" s="31">
        <v>670190997777</v>
      </c>
      <c r="I278" s="27" t="s">
        <v>1901</v>
      </c>
    </row>
    <row r="279" spans="1:10" ht="20.399999999999999" hidden="1">
      <c r="A279" s="5">
        <v>262</v>
      </c>
      <c r="B279" s="26" t="s">
        <v>2924</v>
      </c>
      <c r="C279" s="37" t="s">
        <v>3112</v>
      </c>
      <c r="D279" s="28">
        <v>0</v>
      </c>
      <c r="E279" s="94">
        <v>700000</v>
      </c>
      <c r="F279" s="30" t="s">
        <v>2925</v>
      </c>
      <c r="G279" s="27" t="s">
        <v>1900</v>
      </c>
      <c r="H279" s="31">
        <v>670190997777</v>
      </c>
      <c r="I279" s="27" t="s">
        <v>1901</v>
      </c>
    </row>
    <row r="280" spans="1:10" ht="20.399999999999999" hidden="1">
      <c r="A280" s="5">
        <v>263</v>
      </c>
      <c r="B280" s="26" t="s">
        <v>2926</v>
      </c>
      <c r="C280" s="37" t="s">
        <v>3111</v>
      </c>
      <c r="D280" s="28">
        <v>0</v>
      </c>
      <c r="E280" s="92">
        <v>400000</v>
      </c>
      <c r="F280" s="30" t="s">
        <v>2927</v>
      </c>
      <c r="G280" s="27" t="s">
        <v>1900</v>
      </c>
      <c r="H280" s="31">
        <v>670190997777</v>
      </c>
      <c r="I280" s="27" t="s">
        <v>1901</v>
      </c>
    </row>
    <row r="281" spans="1:10" ht="20.399999999999999" hidden="1">
      <c r="A281" s="5">
        <v>264</v>
      </c>
      <c r="B281" s="26" t="s">
        <v>2928</v>
      </c>
      <c r="C281" s="37" t="s">
        <v>3110</v>
      </c>
      <c r="D281" s="28">
        <v>0</v>
      </c>
      <c r="E281" s="92">
        <v>1100000</v>
      </c>
      <c r="F281" s="30" t="s">
        <v>2929</v>
      </c>
      <c r="G281" s="27" t="s">
        <v>1900</v>
      </c>
      <c r="H281" s="31">
        <v>670190997777</v>
      </c>
      <c r="I281" s="27" t="s">
        <v>1901</v>
      </c>
    </row>
    <row r="282" spans="1:10" ht="20.399999999999999" hidden="1">
      <c r="A282" s="5">
        <v>265</v>
      </c>
      <c r="B282" s="26" t="s">
        <v>2930</v>
      </c>
      <c r="C282" s="37" t="s">
        <v>3109</v>
      </c>
      <c r="D282" s="28">
        <v>0</v>
      </c>
      <c r="E282" s="92">
        <v>400000</v>
      </c>
      <c r="F282" s="30" t="s">
        <v>2931</v>
      </c>
      <c r="G282" s="27" t="s">
        <v>1900</v>
      </c>
      <c r="H282" s="31">
        <v>670190997777</v>
      </c>
      <c r="I282" s="27" t="s">
        <v>1901</v>
      </c>
    </row>
    <row r="283" spans="1:10" ht="20.399999999999999" hidden="1">
      <c r="A283" s="5">
        <v>266</v>
      </c>
      <c r="B283" s="26" t="s">
        <v>2932</v>
      </c>
      <c r="C283" s="37" t="s">
        <v>3108</v>
      </c>
      <c r="D283" s="28">
        <v>0</v>
      </c>
      <c r="E283" s="92">
        <v>500000</v>
      </c>
      <c r="F283" s="30" t="s">
        <v>2933</v>
      </c>
      <c r="G283" s="27" t="s">
        <v>1900</v>
      </c>
      <c r="H283" s="31">
        <v>670190997777</v>
      </c>
      <c r="I283" s="27" t="s">
        <v>1901</v>
      </c>
    </row>
    <row r="284" spans="1:10" ht="20.399999999999999" hidden="1">
      <c r="A284" s="5">
        <v>267</v>
      </c>
      <c r="B284" s="26" t="s">
        <v>2934</v>
      </c>
      <c r="C284" s="37" t="s">
        <v>3107</v>
      </c>
      <c r="D284" s="28">
        <v>0</v>
      </c>
      <c r="E284" s="92">
        <v>1700000</v>
      </c>
      <c r="F284" s="30" t="s">
        <v>2935</v>
      </c>
      <c r="G284" s="27" t="s">
        <v>1900</v>
      </c>
      <c r="H284" s="31">
        <v>670190997777</v>
      </c>
      <c r="I284" s="27" t="s">
        <v>1901</v>
      </c>
    </row>
    <row r="285" spans="1:10" ht="20.399999999999999" hidden="1">
      <c r="A285" s="5">
        <v>268</v>
      </c>
      <c r="B285" s="26" t="s">
        <v>2936</v>
      </c>
      <c r="C285" s="37" t="s">
        <v>3106</v>
      </c>
      <c r="D285" s="28">
        <v>0</v>
      </c>
      <c r="E285" s="92">
        <v>1700000</v>
      </c>
      <c r="F285" s="30" t="s">
        <v>2937</v>
      </c>
      <c r="G285" s="27" t="s">
        <v>1900</v>
      </c>
      <c r="H285" s="31">
        <v>670190997777</v>
      </c>
      <c r="I285" s="27" t="s">
        <v>1901</v>
      </c>
    </row>
    <row r="286" spans="1:10" ht="20.399999999999999" hidden="1">
      <c r="A286" s="5">
        <v>269</v>
      </c>
      <c r="B286" s="26" t="s">
        <v>2938</v>
      </c>
      <c r="C286" s="37" t="s">
        <v>3105</v>
      </c>
      <c r="D286" s="28">
        <v>0</v>
      </c>
      <c r="E286" s="92">
        <v>300000</v>
      </c>
      <c r="F286" s="30" t="s">
        <v>2939</v>
      </c>
      <c r="G286" s="27" t="s">
        <v>1900</v>
      </c>
      <c r="H286" s="31">
        <v>670190997777</v>
      </c>
      <c r="I286" s="27" t="s">
        <v>1901</v>
      </c>
    </row>
    <row r="287" spans="1:10" ht="20.399999999999999" hidden="1">
      <c r="A287" s="5">
        <v>270</v>
      </c>
      <c r="B287" s="26" t="s">
        <v>2940</v>
      </c>
      <c r="C287" s="37" t="s">
        <v>3104</v>
      </c>
      <c r="D287" s="28">
        <v>0</v>
      </c>
      <c r="E287" s="92">
        <v>1700000</v>
      </c>
      <c r="F287" s="30" t="s">
        <v>2941</v>
      </c>
      <c r="G287" s="27" t="s">
        <v>1900</v>
      </c>
      <c r="H287" s="31">
        <v>670190997777</v>
      </c>
      <c r="I287" s="27" t="s">
        <v>1901</v>
      </c>
    </row>
    <row r="288" spans="1:10" ht="20.399999999999999" hidden="1">
      <c r="A288" s="5">
        <v>271</v>
      </c>
      <c r="B288" s="26" t="s">
        <v>2942</v>
      </c>
      <c r="C288" s="37" t="s">
        <v>3103</v>
      </c>
      <c r="D288" s="28">
        <v>0</v>
      </c>
      <c r="E288" s="92">
        <v>300000</v>
      </c>
      <c r="F288" s="30" t="s">
        <v>2943</v>
      </c>
      <c r="G288" s="27" t="s">
        <v>1900</v>
      </c>
      <c r="H288" s="31">
        <v>670190997777</v>
      </c>
      <c r="I288" s="27" t="s">
        <v>1901</v>
      </c>
    </row>
    <row r="289" spans="1:9" ht="20.399999999999999" hidden="1">
      <c r="A289" s="5">
        <v>272</v>
      </c>
      <c r="B289" s="26" t="s">
        <v>2944</v>
      </c>
      <c r="C289" s="37" t="s">
        <v>3102</v>
      </c>
      <c r="D289" s="28">
        <v>0</v>
      </c>
      <c r="E289" s="92">
        <v>900000</v>
      </c>
      <c r="F289" s="30" t="s">
        <v>2945</v>
      </c>
      <c r="G289" s="27" t="s">
        <v>1900</v>
      </c>
      <c r="H289" s="31">
        <v>670190997777</v>
      </c>
      <c r="I289" s="27" t="s">
        <v>1901</v>
      </c>
    </row>
    <row r="290" spans="1:9" ht="30.6" hidden="1">
      <c r="A290" s="5">
        <v>273</v>
      </c>
      <c r="B290" s="32" t="s">
        <v>2946</v>
      </c>
      <c r="C290" s="39" t="s">
        <v>3101</v>
      </c>
      <c r="D290" s="33">
        <v>0</v>
      </c>
      <c r="E290" s="93">
        <v>900000</v>
      </c>
      <c r="F290" s="35" t="s">
        <v>2947</v>
      </c>
      <c r="G290" s="30" t="s">
        <v>1900</v>
      </c>
      <c r="H290" s="36">
        <v>670190997777</v>
      </c>
      <c r="I290" s="30" t="s">
        <v>1901</v>
      </c>
    </row>
    <row r="291" spans="1:9" ht="20.399999999999999" hidden="1">
      <c r="A291" s="5">
        <v>274</v>
      </c>
      <c r="B291" s="26" t="s">
        <v>2948</v>
      </c>
      <c r="C291" s="37" t="s">
        <v>3100</v>
      </c>
      <c r="D291" s="28">
        <v>0</v>
      </c>
      <c r="E291" s="92">
        <v>900000</v>
      </c>
      <c r="F291" s="30" t="s">
        <v>2949</v>
      </c>
      <c r="G291" s="27" t="s">
        <v>1900</v>
      </c>
      <c r="H291" s="31">
        <v>670190997777</v>
      </c>
      <c r="I291" s="27" t="s">
        <v>1901</v>
      </c>
    </row>
    <row r="292" spans="1:9" ht="20.399999999999999" hidden="1">
      <c r="A292" s="5">
        <v>275</v>
      </c>
      <c r="B292" s="26" t="s">
        <v>2950</v>
      </c>
      <c r="C292" s="37" t="s">
        <v>3099</v>
      </c>
      <c r="D292" s="28">
        <v>0</v>
      </c>
      <c r="E292" s="92">
        <v>700000</v>
      </c>
      <c r="F292" s="35" t="s">
        <v>2951</v>
      </c>
      <c r="G292" s="27" t="s">
        <v>1900</v>
      </c>
      <c r="H292" s="31">
        <v>670190997777</v>
      </c>
      <c r="I292" s="27" t="s">
        <v>1901</v>
      </c>
    </row>
    <row r="293" spans="1:9" ht="20.399999999999999" hidden="1">
      <c r="A293" s="5">
        <v>276</v>
      </c>
      <c r="B293" s="26" t="s">
        <v>2952</v>
      </c>
      <c r="C293" s="37" t="s">
        <v>3098</v>
      </c>
      <c r="D293" s="28">
        <v>0</v>
      </c>
      <c r="E293" s="92">
        <v>800000</v>
      </c>
      <c r="F293" s="30" t="s">
        <v>2953</v>
      </c>
      <c r="G293" s="27" t="s">
        <v>1900</v>
      </c>
      <c r="H293" s="31">
        <v>670190997777</v>
      </c>
      <c r="I293" s="27" t="s">
        <v>1901</v>
      </c>
    </row>
    <row r="294" spans="1:9" ht="20.399999999999999" hidden="1">
      <c r="A294" s="5">
        <v>277</v>
      </c>
      <c r="B294" s="26" t="s">
        <v>2952</v>
      </c>
      <c r="C294" s="37" t="s">
        <v>3097</v>
      </c>
      <c r="D294" s="28">
        <v>0</v>
      </c>
      <c r="E294" s="92">
        <v>500000</v>
      </c>
      <c r="F294" s="30" t="s">
        <v>2954</v>
      </c>
      <c r="G294" s="27" t="s">
        <v>1900</v>
      </c>
      <c r="H294" s="31">
        <v>670190997777</v>
      </c>
      <c r="I294" s="27" t="s">
        <v>1901</v>
      </c>
    </row>
    <row r="295" spans="1:9" ht="20.399999999999999" hidden="1">
      <c r="A295" s="5">
        <v>278</v>
      </c>
      <c r="B295" s="26" t="s">
        <v>2955</v>
      </c>
      <c r="C295" s="37" t="s">
        <v>3096</v>
      </c>
      <c r="D295" s="28">
        <v>0</v>
      </c>
      <c r="E295" s="92">
        <v>600000</v>
      </c>
      <c r="F295" s="30" t="s">
        <v>2956</v>
      </c>
      <c r="G295" s="27" t="s">
        <v>1900</v>
      </c>
      <c r="H295" s="31">
        <v>670190997777</v>
      </c>
      <c r="I295" s="27" t="s">
        <v>1901</v>
      </c>
    </row>
    <row r="296" spans="1:9" ht="20.399999999999999" hidden="1">
      <c r="A296" s="5">
        <v>279</v>
      </c>
      <c r="B296" s="26" t="s">
        <v>2957</v>
      </c>
      <c r="C296" s="37" t="s">
        <v>3095</v>
      </c>
      <c r="D296" s="28">
        <v>0</v>
      </c>
      <c r="E296" s="92">
        <v>600000</v>
      </c>
      <c r="F296" s="30" t="s">
        <v>2958</v>
      </c>
      <c r="G296" s="27" t="s">
        <v>1900</v>
      </c>
      <c r="H296" s="31">
        <v>670190997777</v>
      </c>
      <c r="I296" s="27" t="s">
        <v>1901</v>
      </c>
    </row>
    <row r="297" spans="1:9" ht="20.399999999999999" hidden="1">
      <c r="A297" s="5">
        <v>280</v>
      </c>
      <c r="B297" s="26" t="s">
        <v>2959</v>
      </c>
      <c r="C297" s="37" t="s">
        <v>3094</v>
      </c>
      <c r="D297" s="28">
        <v>0</v>
      </c>
      <c r="E297" s="92">
        <v>400000</v>
      </c>
      <c r="F297" s="30" t="s">
        <v>2960</v>
      </c>
      <c r="G297" s="27" t="s">
        <v>1900</v>
      </c>
      <c r="H297" s="31">
        <v>670190997777</v>
      </c>
      <c r="I297" s="27" t="s">
        <v>1901</v>
      </c>
    </row>
    <row r="298" spans="1:9" ht="20.399999999999999" hidden="1">
      <c r="A298" s="5">
        <v>281</v>
      </c>
      <c r="B298" s="26" t="s">
        <v>2961</v>
      </c>
      <c r="C298" s="37" t="s">
        <v>3093</v>
      </c>
      <c r="D298" s="28">
        <v>0</v>
      </c>
      <c r="E298" s="92">
        <v>900000</v>
      </c>
      <c r="F298" s="30" t="s">
        <v>2962</v>
      </c>
      <c r="G298" s="27" t="s">
        <v>1900</v>
      </c>
      <c r="H298" s="31">
        <v>670190997777</v>
      </c>
      <c r="I298" s="27" t="s">
        <v>1901</v>
      </c>
    </row>
    <row r="299" spans="1:9" ht="20.399999999999999" hidden="1">
      <c r="A299" s="5">
        <v>282</v>
      </c>
      <c r="B299" s="26" t="s">
        <v>2963</v>
      </c>
      <c r="C299" s="37" t="s">
        <v>3092</v>
      </c>
      <c r="D299" s="28">
        <v>0</v>
      </c>
      <c r="E299" s="92">
        <v>1300000</v>
      </c>
      <c r="F299" s="30" t="s">
        <v>2964</v>
      </c>
      <c r="G299" s="27" t="s">
        <v>1900</v>
      </c>
      <c r="H299" s="31">
        <v>670190997777</v>
      </c>
      <c r="I299" s="27" t="s">
        <v>1901</v>
      </c>
    </row>
    <row r="300" spans="1:9" ht="20.399999999999999" hidden="1">
      <c r="A300" s="5">
        <v>283</v>
      </c>
      <c r="B300" s="26" t="s">
        <v>2965</v>
      </c>
      <c r="C300" s="37" t="s">
        <v>6916</v>
      </c>
      <c r="D300" s="28">
        <v>0</v>
      </c>
      <c r="E300" s="92">
        <v>600000</v>
      </c>
      <c r="F300" s="30" t="s">
        <v>2966</v>
      </c>
      <c r="G300" s="27" t="s">
        <v>1900</v>
      </c>
      <c r="H300" s="31">
        <v>670190997777</v>
      </c>
      <c r="I300" s="27" t="s">
        <v>1901</v>
      </c>
    </row>
    <row r="301" spans="1:9" ht="20.399999999999999" hidden="1">
      <c r="A301" s="5">
        <v>284</v>
      </c>
      <c r="B301" s="26" t="s">
        <v>2967</v>
      </c>
      <c r="C301" s="37" t="s">
        <v>3091</v>
      </c>
      <c r="D301" s="28">
        <v>0</v>
      </c>
      <c r="E301" s="92">
        <v>400000</v>
      </c>
      <c r="F301" s="30" t="s">
        <v>2968</v>
      </c>
      <c r="G301" s="27" t="s">
        <v>1900</v>
      </c>
      <c r="H301" s="31">
        <v>670190997777</v>
      </c>
      <c r="I301" s="27" t="s">
        <v>1901</v>
      </c>
    </row>
    <row r="302" spans="1:9" ht="20.399999999999999" hidden="1">
      <c r="A302" s="5">
        <v>285</v>
      </c>
      <c r="B302" s="26" t="s">
        <v>2969</v>
      </c>
      <c r="C302" s="37" t="s">
        <v>3090</v>
      </c>
      <c r="D302" s="28">
        <v>0</v>
      </c>
      <c r="E302" s="92">
        <v>1900000</v>
      </c>
      <c r="F302" s="30" t="s">
        <v>2970</v>
      </c>
      <c r="G302" s="27" t="s">
        <v>1900</v>
      </c>
      <c r="H302" s="31">
        <v>670190997777</v>
      </c>
      <c r="I302" s="27" t="s">
        <v>1901</v>
      </c>
    </row>
    <row r="303" spans="1:9" ht="20.399999999999999" hidden="1">
      <c r="A303" s="5">
        <v>286</v>
      </c>
      <c r="B303" s="26" t="s">
        <v>2971</v>
      </c>
      <c r="C303" s="37" t="s">
        <v>3089</v>
      </c>
      <c r="D303" s="28">
        <v>0</v>
      </c>
      <c r="E303" s="92">
        <v>400000</v>
      </c>
      <c r="F303" s="35" t="s">
        <v>2972</v>
      </c>
      <c r="G303" s="27" t="s">
        <v>1900</v>
      </c>
      <c r="H303" s="31">
        <v>670190997777</v>
      </c>
      <c r="I303" s="27" t="s">
        <v>1901</v>
      </c>
    </row>
    <row r="304" spans="1:9" ht="20.399999999999999" hidden="1">
      <c r="A304" s="5">
        <v>287</v>
      </c>
      <c r="B304" s="26" t="s">
        <v>2973</v>
      </c>
      <c r="C304" s="37" t="s">
        <v>3088</v>
      </c>
      <c r="D304" s="28">
        <v>0</v>
      </c>
      <c r="E304" s="92">
        <v>400000</v>
      </c>
      <c r="F304" s="30" t="s">
        <v>2974</v>
      </c>
      <c r="G304" s="27" t="s">
        <v>1900</v>
      </c>
      <c r="H304" s="31">
        <v>670190997777</v>
      </c>
      <c r="I304" s="27" t="s">
        <v>1901</v>
      </c>
    </row>
    <row r="305" spans="1:9" ht="30.6" hidden="1">
      <c r="A305" s="5">
        <v>288</v>
      </c>
      <c r="B305" s="32" t="s">
        <v>2975</v>
      </c>
      <c r="C305" s="39" t="s">
        <v>3087</v>
      </c>
      <c r="D305" s="33">
        <v>0</v>
      </c>
      <c r="E305" s="93">
        <v>700000</v>
      </c>
      <c r="F305" s="35" t="s">
        <v>2976</v>
      </c>
      <c r="G305" s="30" t="s">
        <v>1900</v>
      </c>
      <c r="H305" s="36">
        <v>670190997777</v>
      </c>
      <c r="I305" s="30" t="s">
        <v>1901</v>
      </c>
    </row>
    <row r="306" spans="1:9" ht="20.399999999999999" hidden="1">
      <c r="A306" s="5">
        <v>289</v>
      </c>
      <c r="B306" s="26" t="s">
        <v>2977</v>
      </c>
      <c r="C306" s="37" t="s">
        <v>3086</v>
      </c>
      <c r="D306" s="28">
        <v>0</v>
      </c>
      <c r="E306" s="92">
        <v>800000</v>
      </c>
      <c r="F306" s="27" t="s">
        <v>2978</v>
      </c>
      <c r="G306" s="27" t="s">
        <v>1900</v>
      </c>
      <c r="H306" s="31">
        <v>670190997777</v>
      </c>
      <c r="I306" s="27" t="s">
        <v>1901</v>
      </c>
    </row>
    <row r="307" spans="1:9" ht="20.399999999999999" hidden="1">
      <c r="A307" s="5">
        <v>290</v>
      </c>
      <c r="B307" s="26" t="s">
        <v>2979</v>
      </c>
      <c r="C307" s="37" t="s">
        <v>3085</v>
      </c>
      <c r="D307" s="28">
        <v>0</v>
      </c>
      <c r="E307" s="92">
        <v>1400000</v>
      </c>
      <c r="F307" s="30" t="s">
        <v>2980</v>
      </c>
      <c r="G307" s="27" t="s">
        <v>1900</v>
      </c>
      <c r="H307" s="31">
        <v>670190997777</v>
      </c>
      <c r="I307" s="27" t="s">
        <v>1901</v>
      </c>
    </row>
    <row r="308" spans="1:9" ht="30.6" hidden="1">
      <c r="A308" s="5">
        <v>291</v>
      </c>
      <c r="B308" s="32" t="s">
        <v>2981</v>
      </c>
      <c r="C308" s="39" t="s">
        <v>3084</v>
      </c>
      <c r="D308" s="33">
        <v>0</v>
      </c>
      <c r="E308" s="93">
        <v>500000</v>
      </c>
      <c r="F308" s="35" t="s">
        <v>2982</v>
      </c>
      <c r="G308" s="30" t="s">
        <v>1900</v>
      </c>
      <c r="H308" s="36">
        <v>670190997777</v>
      </c>
      <c r="I308" s="30" t="s">
        <v>1901</v>
      </c>
    </row>
    <row r="309" spans="1:9" ht="20.399999999999999" hidden="1">
      <c r="A309" s="5">
        <v>292</v>
      </c>
      <c r="B309" s="26" t="s">
        <v>2983</v>
      </c>
      <c r="C309" s="37" t="s">
        <v>3083</v>
      </c>
      <c r="D309" s="28">
        <v>0</v>
      </c>
      <c r="E309" s="92">
        <v>900000</v>
      </c>
      <c r="F309" s="30" t="s">
        <v>2984</v>
      </c>
      <c r="G309" s="27" t="s">
        <v>1900</v>
      </c>
      <c r="H309" s="31">
        <v>670190997777</v>
      </c>
      <c r="I309" s="27" t="s">
        <v>1901</v>
      </c>
    </row>
    <row r="310" spans="1:9" ht="30.6" hidden="1">
      <c r="A310" s="5">
        <v>293</v>
      </c>
      <c r="B310" s="32" t="s">
        <v>2985</v>
      </c>
      <c r="C310" s="39" t="s">
        <v>3082</v>
      </c>
      <c r="D310" s="33">
        <v>0</v>
      </c>
      <c r="E310" s="93">
        <v>500000</v>
      </c>
      <c r="F310" s="35" t="s">
        <v>2986</v>
      </c>
      <c r="G310" s="30" t="s">
        <v>1900</v>
      </c>
      <c r="H310" s="36">
        <v>670190997777</v>
      </c>
      <c r="I310" s="30" t="s">
        <v>1901</v>
      </c>
    </row>
    <row r="311" spans="1:9" ht="20.399999999999999" hidden="1">
      <c r="A311" s="5">
        <v>294</v>
      </c>
      <c r="B311" s="26" t="s">
        <v>2987</v>
      </c>
      <c r="C311" s="37" t="s">
        <v>3081</v>
      </c>
      <c r="D311" s="28">
        <v>0</v>
      </c>
      <c r="E311" s="92">
        <v>600000</v>
      </c>
      <c r="F311" s="30" t="s">
        <v>2988</v>
      </c>
      <c r="G311" s="27" t="s">
        <v>1900</v>
      </c>
      <c r="H311" s="31">
        <v>670190997777</v>
      </c>
      <c r="I311" s="27" t="s">
        <v>1901</v>
      </c>
    </row>
    <row r="312" spans="1:9" ht="20.399999999999999" hidden="1">
      <c r="A312" s="5">
        <v>295</v>
      </c>
      <c r="B312" s="26" t="s">
        <v>2989</v>
      </c>
      <c r="C312" s="37" t="s">
        <v>3080</v>
      </c>
      <c r="D312" s="28">
        <v>0</v>
      </c>
      <c r="E312" s="92">
        <v>400000</v>
      </c>
      <c r="F312" s="30" t="s">
        <v>2990</v>
      </c>
      <c r="G312" s="27" t="s">
        <v>1900</v>
      </c>
      <c r="H312" s="31">
        <v>670190997777</v>
      </c>
      <c r="I312" s="27" t="s">
        <v>1901</v>
      </c>
    </row>
    <row r="313" spans="1:9" ht="30.6" hidden="1">
      <c r="A313" s="5">
        <v>296</v>
      </c>
      <c r="B313" s="32" t="s">
        <v>2991</v>
      </c>
      <c r="C313" s="39" t="s">
        <v>3079</v>
      </c>
      <c r="D313" s="33">
        <v>0</v>
      </c>
      <c r="E313" s="93">
        <v>1700000</v>
      </c>
      <c r="F313" s="35" t="s">
        <v>2992</v>
      </c>
      <c r="G313" s="30" t="s">
        <v>1900</v>
      </c>
      <c r="H313" s="36">
        <v>670190997777</v>
      </c>
      <c r="I313" s="30" t="s">
        <v>1901</v>
      </c>
    </row>
    <row r="314" spans="1:9" ht="20.399999999999999" hidden="1">
      <c r="A314" s="5">
        <v>297</v>
      </c>
      <c r="B314" s="26" t="s">
        <v>2993</v>
      </c>
      <c r="C314" s="37" t="s">
        <v>3078</v>
      </c>
      <c r="D314" s="28">
        <v>0</v>
      </c>
      <c r="E314" s="92">
        <v>800000</v>
      </c>
      <c r="F314" s="30" t="s">
        <v>2994</v>
      </c>
      <c r="G314" s="27" t="s">
        <v>1900</v>
      </c>
      <c r="H314" s="31">
        <v>670190997777</v>
      </c>
      <c r="I314" s="27" t="s">
        <v>1901</v>
      </c>
    </row>
    <row r="315" spans="1:9" ht="20.399999999999999" hidden="1">
      <c r="A315" s="5">
        <v>298</v>
      </c>
      <c r="B315" s="26" t="s">
        <v>2995</v>
      </c>
      <c r="C315" s="37" t="s">
        <v>3077</v>
      </c>
      <c r="D315" s="28">
        <v>0</v>
      </c>
      <c r="E315" s="92">
        <v>800000</v>
      </c>
      <c r="F315" s="30" t="s">
        <v>2996</v>
      </c>
      <c r="G315" s="27" t="s">
        <v>1900</v>
      </c>
      <c r="H315" s="31">
        <v>670190997777</v>
      </c>
      <c r="I315" s="27" t="s">
        <v>1901</v>
      </c>
    </row>
    <row r="316" spans="1:9" ht="20.399999999999999" hidden="1">
      <c r="A316" s="5">
        <v>299</v>
      </c>
      <c r="B316" s="26" t="s">
        <v>2997</v>
      </c>
      <c r="C316" s="37" t="s">
        <v>3076</v>
      </c>
      <c r="D316" s="28">
        <v>0</v>
      </c>
      <c r="E316" s="92">
        <v>1900000</v>
      </c>
      <c r="F316" s="30" t="s">
        <v>2998</v>
      </c>
      <c r="G316" s="27" t="s">
        <v>1900</v>
      </c>
      <c r="H316" s="31">
        <v>670190997777</v>
      </c>
      <c r="I316" s="27" t="s">
        <v>1901</v>
      </c>
    </row>
    <row r="317" spans="1:9" ht="20.399999999999999" hidden="1">
      <c r="A317" s="5">
        <v>300</v>
      </c>
      <c r="B317" s="26" t="s">
        <v>2999</v>
      </c>
      <c r="C317" s="37" t="s">
        <v>3075</v>
      </c>
      <c r="D317" s="28">
        <v>0</v>
      </c>
      <c r="E317" s="92">
        <v>1100000</v>
      </c>
      <c r="F317" s="30" t="s">
        <v>3000</v>
      </c>
      <c r="G317" s="27" t="s">
        <v>1900</v>
      </c>
      <c r="H317" s="31">
        <v>670190997777</v>
      </c>
      <c r="I317" s="27" t="s">
        <v>1901</v>
      </c>
    </row>
    <row r="318" spans="1:9" ht="20.399999999999999" hidden="1">
      <c r="A318" s="5">
        <v>301</v>
      </c>
      <c r="B318" s="26" t="s">
        <v>3001</v>
      </c>
      <c r="C318" s="37" t="s">
        <v>3073</v>
      </c>
      <c r="D318" s="28">
        <v>0</v>
      </c>
      <c r="E318" s="92">
        <v>1100000</v>
      </c>
      <c r="F318" s="30" t="s">
        <v>3002</v>
      </c>
      <c r="G318" s="27" t="s">
        <v>1900</v>
      </c>
      <c r="H318" s="31">
        <v>670190997777</v>
      </c>
      <c r="I318" s="27" t="s">
        <v>1901</v>
      </c>
    </row>
    <row r="319" spans="1:9" ht="40.799999999999997" hidden="1">
      <c r="A319" s="5">
        <v>302</v>
      </c>
      <c r="B319" s="32" t="s">
        <v>3003</v>
      </c>
      <c r="C319" s="39" t="s">
        <v>3072</v>
      </c>
      <c r="D319" s="33">
        <v>0</v>
      </c>
      <c r="E319" s="93">
        <v>800000</v>
      </c>
      <c r="F319" s="35" t="s">
        <v>3004</v>
      </c>
      <c r="G319" s="30" t="s">
        <v>1900</v>
      </c>
      <c r="H319" s="36">
        <v>670190997777</v>
      </c>
      <c r="I319" s="30" t="s">
        <v>1901</v>
      </c>
    </row>
    <row r="320" spans="1:9" ht="20.399999999999999" hidden="1">
      <c r="A320" s="5">
        <v>303</v>
      </c>
      <c r="B320" s="26" t="s">
        <v>3005</v>
      </c>
      <c r="C320" s="37" t="s">
        <v>3071</v>
      </c>
      <c r="D320" s="28">
        <v>0</v>
      </c>
      <c r="E320" s="92">
        <v>300000</v>
      </c>
      <c r="F320" s="41" t="s">
        <v>3074</v>
      </c>
      <c r="G320" s="27" t="s">
        <v>1900</v>
      </c>
      <c r="H320" s="31">
        <v>670190997777</v>
      </c>
      <c r="I320" s="27" t="s">
        <v>1901</v>
      </c>
    </row>
    <row r="321" spans="1:9" ht="20.399999999999999" hidden="1">
      <c r="A321" s="5">
        <v>304</v>
      </c>
      <c r="B321" s="26" t="s">
        <v>3006</v>
      </c>
      <c r="C321" s="37" t="s">
        <v>3070</v>
      </c>
      <c r="D321" s="28">
        <v>0</v>
      </c>
      <c r="E321" s="92">
        <v>1400000</v>
      </c>
      <c r="F321" s="30" t="s">
        <v>3007</v>
      </c>
      <c r="G321" s="27" t="s">
        <v>1900</v>
      </c>
      <c r="H321" s="31">
        <v>670190997777</v>
      </c>
      <c r="I321" s="27" t="s">
        <v>1901</v>
      </c>
    </row>
    <row r="322" spans="1:9" ht="30.6" hidden="1">
      <c r="A322" s="5">
        <v>305</v>
      </c>
      <c r="B322" s="32" t="s">
        <v>3008</v>
      </c>
      <c r="C322" s="39" t="s">
        <v>3069</v>
      </c>
      <c r="D322" s="33">
        <v>0</v>
      </c>
      <c r="E322" s="93">
        <v>800000</v>
      </c>
      <c r="F322" s="35" t="s">
        <v>3009</v>
      </c>
      <c r="G322" s="30" t="s">
        <v>1900</v>
      </c>
      <c r="H322" s="36">
        <v>670190997777</v>
      </c>
      <c r="I322" s="30" t="s">
        <v>1901</v>
      </c>
    </row>
    <row r="323" spans="1:9" ht="20.399999999999999" hidden="1">
      <c r="A323" s="5">
        <v>306</v>
      </c>
      <c r="B323" s="26" t="s">
        <v>3010</v>
      </c>
      <c r="C323" s="37" t="s">
        <v>3068</v>
      </c>
      <c r="D323" s="28">
        <v>0</v>
      </c>
      <c r="E323" s="92">
        <v>600000</v>
      </c>
      <c r="F323" s="30" t="s">
        <v>3011</v>
      </c>
      <c r="G323" s="27" t="s">
        <v>1900</v>
      </c>
      <c r="H323" s="31">
        <v>670190997777</v>
      </c>
      <c r="I323" s="27" t="s">
        <v>1901</v>
      </c>
    </row>
    <row r="324" spans="1:9" ht="20.399999999999999" hidden="1">
      <c r="A324" s="5">
        <v>307</v>
      </c>
      <c r="B324" s="26" t="s">
        <v>3012</v>
      </c>
      <c r="C324" s="37" t="s">
        <v>3067</v>
      </c>
      <c r="D324" s="28">
        <v>0</v>
      </c>
      <c r="E324" s="92">
        <v>900000</v>
      </c>
      <c r="F324" s="30" t="s">
        <v>3013</v>
      </c>
      <c r="G324" s="27" t="s">
        <v>1900</v>
      </c>
      <c r="H324" s="31">
        <v>670190997777</v>
      </c>
      <c r="I324" s="27" t="s">
        <v>1901</v>
      </c>
    </row>
    <row r="325" spans="1:9" ht="30.6" hidden="1">
      <c r="A325" s="5">
        <v>308</v>
      </c>
      <c r="B325" s="32" t="s">
        <v>3014</v>
      </c>
      <c r="C325" s="39" t="s">
        <v>3066</v>
      </c>
      <c r="D325" s="33">
        <v>0</v>
      </c>
      <c r="E325" s="93">
        <v>400000</v>
      </c>
      <c r="F325" s="35" t="s">
        <v>3015</v>
      </c>
      <c r="G325" s="30" t="s">
        <v>1900</v>
      </c>
      <c r="H325" s="36">
        <v>670190997777</v>
      </c>
      <c r="I325" s="30" t="s">
        <v>1901</v>
      </c>
    </row>
    <row r="326" spans="1:9" ht="30.6" hidden="1">
      <c r="A326" s="5">
        <v>309</v>
      </c>
      <c r="B326" s="32" t="s">
        <v>3016</v>
      </c>
      <c r="C326" s="39" t="s">
        <v>3065</v>
      </c>
      <c r="D326" s="33">
        <v>0</v>
      </c>
      <c r="E326" s="93">
        <v>600000</v>
      </c>
      <c r="F326" s="35" t="s">
        <v>3017</v>
      </c>
      <c r="G326" s="30" t="s">
        <v>1900</v>
      </c>
      <c r="H326" s="36">
        <v>670190997777</v>
      </c>
      <c r="I326" s="30" t="s">
        <v>1901</v>
      </c>
    </row>
    <row r="327" spans="1:9" ht="20.399999999999999" hidden="1">
      <c r="A327" s="5">
        <v>310</v>
      </c>
      <c r="B327" s="26" t="s">
        <v>3018</v>
      </c>
      <c r="C327" s="37" t="s">
        <v>3064</v>
      </c>
      <c r="D327" s="28">
        <v>0</v>
      </c>
      <c r="E327" s="92">
        <v>400000</v>
      </c>
      <c r="F327" s="35" t="s">
        <v>3019</v>
      </c>
      <c r="G327" s="27" t="s">
        <v>1900</v>
      </c>
      <c r="H327" s="31">
        <v>670190997777</v>
      </c>
      <c r="I327" s="27" t="s">
        <v>1901</v>
      </c>
    </row>
    <row r="328" spans="1:9" ht="20.399999999999999" hidden="1">
      <c r="A328" s="5">
        <v>311</v>
      </c>
      <c r="B328" s="26" t="s">
        <v>3020</v>
      </c>
      <c r="C328" s="37" t="s">
        <v>3063</v>
      </c>
      <c r="D328" s="28">
        <v>0</v>
      </c>
      <c r="E328" s="92">
        <v>1300000</v>
      </c>
      <c r="F328" s="30" t="s">
        <v>3021</v>
      </c>
      <c r="G328" s="27" t="s">
        <v>1900</v>
      </c>
      <c r="H328" s="31">
        <v>670190997777</v>
      </c>
      <c r="I328" s="27" t="s">
        <v>1901</v>
      </c>
    </row>
    <row r="329" spans="1:9" ht="30.6" hidden="1">
      <c r="A329" s="5">
        <v>312</v>
      </c>
      <c r="B329" s="32" t="s">
        <v>3022</v>
      </c>
      <c r="C329" s="39" t="s">
        <v>3062</v>
      </c>
      <c r="D329" s="33">
        <v>0</v>
      </c>
      <c r="E329" s="93">
        <v>800000</v>
      </c>
      <c r="F329" s="35" t="s">
        <v>3023</v>
      </c>
      <c r="G329" s="30" t="s">
        <v>1900</v>
      </c>
      <c r="H329" s="36">
        <v>670190997777</v>
      </c>
      <c r="I329" s="30" t="s">
        <v>1901</v>
      </c>
    </row>
    <row r="330" spans="1:9" ht="20.399999999999999" hidden="1">
      <c r="A330" s="5">
        <v>313</v>
      </c>
      <c r="B330" s="26" t="s">
        <v>3024</v>
      </c>
      <c r="C330" s="37" t="s">
        <v>3061</v>
      </c>
      <c r="D330" s="28">
        <v>0</v>
      </c>
      <c r="E330" s="92">
        <v>600000</v>
      </c>
      <c r="F330" s="30" t="s">
        <v>3025</v>
      </c>
      <c r="G330" s="27" t="s">
        <v>1900</v>
      </c>
      <c r="H330" s="31">
        <v>670190997777</v>
      </c>
      <c r="I330" s="27" t="s">
        <v>1901</v>
      </c>
    </row>
    <row r="331" spans="1:9" ht="20.399999999999999" hidden="1">
      <c r="A331" s="5">
        <v>314</v>
      </c>
      <c r="B331" s="26" t="s">
        <v>3026</v>
      </c>
      <c r="C331" s="37" t="s">
        <v>3060</v>
      </c>
      <c r="D331" s="28">
        <v>0</v>
      </c>
      <c r="E331" s="92">
        <v>1400000</v>
      </c>
      <c r="F331" s="30" t="s">
        <v>3027</v>
      </c>
      <c r="G331" s="27" t="s">
        <v>1900</v>
      </c>
      <c r="H331" s="31">
        <v>670190997777</v>
      </c>
      <c r="I331" s="27" t="s">
        <v>1901</v>
      </c>
    </row>
    <row r="332" spans="1:9" ht="20.399999999999999" hidden="1">
      <c r="A332" s="5">
        <v>315</v>
      </c>
      <c r="B332" s="26" t="s">
        <v>3028</v>
      </c>
      <c r="C332" s="37" t="s">
        <v>3059</v>
      </c>
      <c r="D332" s="28">
        <v>0</v>
      </c>
      <c r="E332" s="92">
        <v>900000</v>
      </c>
      <c r="F332" s="30" t="s">
        <v>3029</v>
      </c>
      <c r="G332" s="27" t="s">
        <v>1900</v>
      </c>
      <c r="H332" s="31">
        <v>670190997777</v>
      </c>
      <c r="I332" s="27" t="s">
        <v>1901</v>
      </c>
    </row>
    <row r="333" spans="1:9" ht="30.6" hidden="1">
      <c r="A333" s="5">
        <v>316</v>
      </c>
      <c r="B333" s="32" t="s">
        <v>3030</v>
      </c>
      <c r="C333" s="39" t="s">
        <v>3058</v>
      </c>
      <c r="D333" s="33">
        <v>0</v>
      </c>
      <c r="E333" s="93">
        <v>700000</v>
      </c>
      <c r="F333" s="35" t="s">
        <v>3031</v>
      </c>
      <c r="G333" s="30" t="s">
        <v>1900</v>
      </c>
      <c r="H333" s="36">
        <v>670190997777</v>
      </c>
      <c r="I333" s="30" t="s">
        <v>1901</v>
      </c>
    </row>
    <row r="334" spans="1:9" ht="20.399999999999999" hidden="1">
      <c r="A334" s="5">
        <v>317</v>
      </c>
      <c r="B334" s="26" t="s">
        <v>3032</v>
      </c>
      <c r="C334" s="37" t="s">
        <v>3057</v>
      </c>
      <c r="D334" s="28">
        <v>0</v>
      </c>
      <c r="E334" s="92">
        <v>1700000</v>
      </c>
      <c r="F334" s="30" t="s">
        <v>3033</v>
      </c>
      <c r="G334" s="27" t="s">
        <v>1900</v>
      </c>
      <c r="H334" s="31">
        <v>670190997777</v>
      </c>
      <c r="I334" s="27" t="s">
        <v>1901</v>
      </c>
    </row>
    <row r="335" spans="1:9" ht="30.6" hidden="1">
      <c r="A335" s="5">
        <v>318</v>
      </c>
      <c r="B335" s="32" t="s">
        <v>3034</v>
      </c>
      <c r="C335" s="39" t="s">
        <v>3056</v>
      </c>
      <c r="D335" s="33">
        <v>0</v>
      </c>
      <c r="E335" s="93">
        <v>2500000</v>
      </c>
      <c r="F335" s="35" t="s">
        <v>3035</v>
      </c>
      <c r="G335" s="30" t="s">
        <v>1900</v>
      </c>
      <c r="H335" s="36">
        <v>670190997777</v>
      </c>
      <c r="I335" s="30" t="s">
        <v>1901</v>
      </c>
    </row>
    <row r="336" spans="1:9" ht="20.399999999999999" hidden="1">
      <c r="A336" s="5">
        <v>319</v>
      </c>
      <c r="B336" s="26" t="s">
        <v>3036</v>
      </c>
      <c r="C336" s="37" t="s">
        <v>3055</v>
      </c>
      <c r="D336" s="28">
        <v>0</v>
      </c>
      <c r="E336" s="92">
        <v>600000</v>
      </c>
      <c r="F336" s="30" t="s">
        <v>3037</v>
      </c>
      <c r="G336" s="27" t="s">
        <v>1900</v>
      </c>
      <c r="H336" s="31">
        <v>670190997777</v>
      </c>
      <c r="I336" s="27" t="s">
        <v>1901</v>
      </c>
    </row>
    <row r="337" spans="1:9" ht="20.399999999999999" hidden="1">
      <c r="A337" s="5">
        <v>320</v>
      </c>
      <c r="B337" s="26" t="s">
        <v>3038</v>
      </c>
      <c r="C337" s="37" t="s">
        <v>3054</v>
      </c>
      <c r="D337" s="28">
        <v>0</v>
      </c>
      <c r="E337" s="92">
        <v>700000</v>
      </c>
      <c r="F337" s="30" t="s">
        <v>3039</v>
      </c>
      <c r="G337" s="27" t="s">
        <v>1900</v>
      </c>
      <c r="H337" s="31">
        <v>670190997777</v>
      </c>
      <c r="I337" s="27" t="s">
        <v>1901</v>
      </c>
    </row>
    <row r="338" spans="1:9" ht="20.399999999999999" hidden="1">
      <c r="A338" s="5">
        <v>321</v>
      </c>
      <c r="B338" s="26" t="s">
        <v>3040</v>
      </c>
      <c r="C338" s="37" t="s">
        <v>3053</v>
      </c>
      <c r="D338" s="28">
        <v>0</v>
      </c>
      <c r="E338" s="92">
        <v>1900000</v>
      </c>
      <c r="F338" s="30" t="s">
        <v>3041</v>
      </c>
      <c r="G338" s="27" t="s">
        <v>1900</v>
      </c>
      <c r="H338" s="31">
        <v>670190997777</v>
      </c>
      <c r="I338" s="27" t="s">
        <v>1901</v>
      </c>
    </row>
    <row r="339" spans="1:9" ht="30.6" hidden="1">
      <c r="A339" s="5">
        <v>322</v>
      </c>
      <c r="B339" s="26" t="s">
        <v>3042</v>
      </c>
      <c r="C339" s="37" t="s">
        <v>3052</v>
      </c>
      <c r="D339" s="28">
        <v>0</v>
      </c>
      <c r="E339" s="92">
        <v>200000</v>
      </c>
      <c r="F339" s="35" t="s">
        <v>3043</v>
      </c>
      <c r="G339" s="27" t="s">
        <v>1900</v>
      </c>
      <c r="H339" s="31">
        <v>670190997777</v>
      </c>
      <c r="I339" s="27" t="s">
        <v>1901</v>
      </c>
    </row>
    <row r="340" spans="1:9" ht="20.399999999999999" hidden="1">
      <c r="A340" s="5">
        <v>323</v>
      </c>
      <c r="B340" s="26" t="s">
        <v>3044</v>
      </c>
      <c r="C340" s="37" t="s">
        <v>3051</v>
      </c>
      <c r="D340" s="28">
        <v>0</v>
      </c>
      <c r="E340" s="92">
        <v>500000</v>
      </c>
      <c r="F340" s="30" t="s">
        <v>3045</v>
      </c>
      <c r="G340" s="27" t="s">
        <v>1900</v>
      </c>
      <c r="H340" s="31">
        <v>670190997777</v>
      </c>
      <c r="I340" s="27" t="s">
        <v>1901</v>
      </c>
    </row>
    <row r="341" spans="1:9" ht="20.399999999999999" hidden="1">
      <c r="A341" s="5">
        <v>324</v>
      </c>
      <c r="B341" s="26" t="s">
        <v>3044</v>
      </c>
      <c r="C341" s="37" t="s">
        <v>3050</v>
      </c>
      <c r="D341" s="28">
        <v>0</v>
      </c>
      <c r="E341" s="92">
        <v>1100000</v>
      </c>
      <c r="F341" s="30" t="s">
        <v>3046</v>
      </c>
      <c r="G341" s="27" t="s">
        <v>1900</v>
      </c>
      <c r="H341" s="31">
        <v>670190997777</v>
      </c>
      <c r="I341" s="27" t="s">
        <v>1901</v>
      </c>
    </row>
    <row r="342" spans="1:9" ht="20.399999999999999" hidden="1">
      <c r="A342" s="5">
        <v>325</v>
      </c>
      <c r="B342" s="26" t="s">
        <v>3047</v>
      </c>
      <c r="C342" s="37" t="s">
        <v>3049</v>
      </c>
      <c r="D342" s="28">
        <v>0</v>
      </c>
      <c r="E342" s="92">
        <v>2300000</v>
      </c>
      <c r="F342" s="30" t="s">
        <v>3048</v>
      </c>
      <c r="G342" s="27" t="s">
        <v>1900</v>
      </c>
      <c r="H342" s="31">
        <v>670190997777</v>
      </c>
      <c r="I342" s="27" t="s">
        <v>1901</v>
      </c>
    </row>
    <row r="343" spans="1:9" ht="20.399999999999999" hidden="1">
      <c r="A343" s="5">
        <v>326</v>
      </c>
      <c r="B343" s="26" t="s">
        <v>2357</v>
      </c>
      <c r="C343" s="37" t="s">
        <v>2831</v>
      </c>
      <c r="D343" s="28">
        <v>0</v>
      </c>
      <c r="E343" s="92">
        <v>500000</v>
      </c>
      <c r="F343" s="30" t="s">
        <v>2358</v>
      </c>
      <c r="G343" s="27" t="s">
        <v>1900</v>
      </c>
      <c r="H343" s="31">
        <v>670190997777</v>
      </c>
      <c r="I343" s="27" t="s">
        <v>1901</v>
      </c>
    </row>
    <row r="344" spans="1:9" ht="20.399999999999999" hidden="1">
      <c r="A344" s="5">
        <v>327</v>
      </c>
      <c r="B344" s="26" t="s">
        <v>2359</v>
      </c>
      <c r="C344" s="37" t="s">
        <v>2830</v>
      </c>
      <c r="D344" s="28">
        <v>0</v>
      </c>
      <c r="E344" s="92">
        <v>900000</v>
      </c>
      <c r="F344" s="30" t="s">
        <v>2360</v>
      </c>
      <c r="G344" s="27" t="s">
        <v>1900</v>
      </c>
      <c r="H344" s="31">
        <v>670190997777</v>
      </c>
      <c r="I344" s="27" t="s">
        <v>1901</v>
      </c>
    </row>
    <row r="345" spans="1:9" ht="20.399999999999999" hidden="1">
      <c r="A345" s="5">
        <v>328</v>
      </c>
      <c r="B345" s="26" t="s">
        <v>2361</v>
      </c>
      <c r="C345" s="37" t="s">
        <v>2829</v>
      </c>
      <c r="D345" s="28">
        <v>0</v>
      </c>
      <c r="E345" s="92">
        <v>600000</v>
      </c>
      <c r="F345" s="30" t="s">
        <v>2362</v>
      </c>
      <c r="G345" s="27" t="s">
        <v>1900</v>
      </c>
      <c r="H345" s="31">
        <v>670190997777</v>
      </c>
      <c r="I345" s="27" t="s">
        <v>1901</v>
      </c>
    </row>
    <row r="346" spans="1:9" ht="20.399999999999999" hidden="1">
      <c r="A346" s="5">
        <v>329</v>
      </c>
      <c r="B346" s="26" t="s">
        <v>2363</v>
      </c>
      <c r="C346" s="37" t="s">
        <v>2828</v>
      </c>
      <c r="D346" s="28">
        <v>0</v>
      </c>
      <c r="E346" s="92">
        <v>500000</v>
      </c>
      <c r="F346" s="30" t="s">
        <v>2364</v>
      </c>
      <c r="G346" s="27" t="s">
        <v>1900</v>
      </c>
      <c r="H346" s="31">
        <v>670190997777</v>
      </c>
      <c r="I346" s="27" t="s">
        <v>1901</v>
      </c>
    </row>
    <row r="347" spans="1:9" ht="20.399999999999999" hidden="1">
      <c r="A347" s="5">
        <v>330</v>
      </c>
      <c r="B347" s="26" t="s">
        <v>2365</v>
      </c>
      <c r="C347" s="37" t="s">
        <v>2827</v>
      </c>
      <c r="D347" s="28">
        <v>0</v>
      </c>
      <c r="E347" s="92">
        <v>600000</v>
      </c>
      <c r="F347" s="30" t="s">
        <v>2366</v>
      </c>
      <c r="G347" s="27" t="s">
        <v>1900</v>
      </c>
      <c r="H347" s="31">
        <v>670190997777</v>
      </c>
      <c r="I347" s="27" t="s">
        <v>1901</v>
      </c>
    </row>
    <row r="348" spans="1:9" ht="20.399999999999999" hidden="1">
      <c r="A348" s="5">
        <v>331</v>
      </c>
      <c r="B348" s="26" t="s">
        <v>2367</v>
      </c>
      <c r="C348" s="37" t="s">
        <v>2826</v>
      </c>
      <c r="D348" s="28">
        <v>0</v>
      </c>
      <c r="E348" s="92">
        <v>300000</v>
      </c>
      <c r="F348" s="30" t="s">
        <v>2368</v>
      </c>
      <c r="G348" s="27" t="s">
        <v>1900</v>
      </c>
      <c r="H348" s="31">
        <v>670190997777</v>
      </c>
      <c r="I348" s="27" t="s">
        <v>1901</v>
      </c>
    </row>
    <row r="349" spans="1:9" ht="30.6" hidden="1">
      <c r="A349" s="5">
        <v>332</v>
      </c>
      <c r="B349" s="32" t="s">
        <v>2369</v>
      </c>
      <c r="C349" s="39" t="s">
        <v>2825</v>
      </c>
      <c r="D349" s="33">
        <v>0</v>
      </c>
      <c r="E349" s="93">
        <v>1100000</v>
      </c>
      <c r="F349" s="35" t="s">
        <v>2370</v>
      </c>
      <c r="G349" s="30" t="s">
        <v>1900</v>
      </c>
      <c r="H349" s="36">
        <v>670190997777</v>
      </c>
      <c r="I349" s="30" t="s">
        <v>1901</v>
      </c>
    </row>
    <row r="350" spans="1:9" ht="20.399999999999999" hidden="1">
      <c r="A350" s="5">
        <v>333</v>
      </c>
      <c r="B350" s="26" t="s">
        <v>2371</v>
      </c>
      <c r="C350" s="37" t="s">
        <v>2824</v>
      </c>
      <c r="D350" s="28">
        <v>0</v>
      </c>
      <c r="E350" s="92">
        <v>1400000</v>
      </c>
      <c r="F350" s="30" t="s">
        <v>2372</v>
      </c>
      <c r="G350" s="27" t="s">
        <v>1900</v>
      </c>
      <c r="H350" s="31">
        <v>670190997777</v>
      </c>
      <c r="I350" s="27" t="s">
        <v>1901</v>
      </c>
    </row>
    <row r="351" spans="1:9" ht="20.399999999999999" hidden="1">
      <c r="A351" s="5">
        <v>334</v>
      </c>
      <c r="B351" s="26" t="s">
        <v>2373</v>
      </c>
      <c r="C351" s="37" t="s">
        <v>2823</v>
      </c>
      <c r="D351" s="28">
        <v>0</v>
      </c>
      <c r="E351" s="92">
        <v>500000</v>
      </c>
      <c r="F351" s="30" t="s">
        <v>2374</v>
      </c>
      <c r="G351" s="27" t="s">
        <v>1900</v>
      </c>
      <c r="H351" s="31">
        <v>670190997777</v>
      </c>
      <c r="I351" s="27" t="s">
        <v>1901</v>
      </c>
    </row>
    <row r="352" spans="1:9" ht="30.6" hidden="1">
      <c r="A352" s="5">
        <v>335</v>
      </c>
      <c r="B352" s="26" t="s">
        <v>2375</v>
      </c>
      <c r="C352" s="37" t="s">
        <v>2822</v>
      </c>
      <c r="D352" s="28">
        <v>0</v>
      </c>
      <c r="E352" s="92">
        <v>900000</v>
      </c>
      <c r="F352" s="35" t="s">
        <v>2376</v>
      </c>
      <c r="G352" s="27" t="s">
        <v>1900</v>
      </c>
      <c r="H352" s="31">
        <v>670190997777</v>
      </c>
      <c r="I352" s="27" t="s">
        <v>1901</v>
      </c>
    </row>
    <row r="353" spans="1:11" ht="20.399999999999999" hidden="1">
      <c r="A353" s="5">
        <v>336</v>
      </c>
      <c r="B353" s="26" t="s">
        <v>2377</v>
      </c>
      <c r="C353" s="37" t="s">
        <v>2821</v>
      </c>
      <c r="D353" s="28">
        <v>0</v>
      </c>
      <c r="E353" s="92">
        <v>800000</v>
      </c>
      <c r="F353" s="30" t="s">
        <v>2378</v>
      </c>
      <c r="G353" s="27" t="s">
        <v>1900</v>
      </c>
      <c r="H353" s="31">
        <v>670190997777</v>
      </c>
      <c r="I353" s="27" t="s">
        <v>1901</v>
      </c>
    </row>
    <row r="354" spans="1:11" ht="20.399999999999999" hidden="1">
      <c r="A354" s="5">
        <v>337</v>
      </c>
      <c r="B354" s="26" t="s">
        <v>2379</v>
      </c>
      <c r="C354" s="37" t="s">
        <v>2820</v>
      </c>
      <c r="D354" s="28">
        <v>0</v>
      </c>
      <c r="E354" s="94">
        <v>800000</v>
      </c>
      <c r="F354" s="35" t="s">
        <v>2380</v>
      </c>
      <c r="G354" s="27" t="s">
        <v>1900</v>
      </c>
      <c r="H354" s="31">
        <v>670190997777</v>
      </c>
      <c r="I354" s="27" t="s">
        <v>1901</v>
      </c>
      <c r="J354" s="5" t="s">
        <v>1466</v>
      </c>
      <c r="K354" s="5" t="s">
        <v>1414</v>
      </c>
    </row>
    <row r="355" spans="1:11" ht="20.399999999999999" hidden="1">
      <c r="A355" s="5">
        <v>338</v>
      </c>
      <c r="B355" s="26" t="s">
        <v>2381</v>
      </c>
      <c r="C355" s="37" t="s">
        <v>2819</v>
      </c>
      <c r="D355" s="28">
        <v>0</v>
      </c>
      <c r="E355" s="92">
        <v>900000</v>
      </c>
      <c r="F355" s="30" t="s">
        <v>2382</v>
      </c>
      <c r="G355" s="27" t="s">
        <v>1900</v>
      </c>
      <c r="H355" s="31">
        <v>670190997777</v>
      </c>
      <c r="I355" s="27" t="s">
        <v>1901</v>
      </c>
    </row>
    <row r="356" spans="1:11" ht="20.399999999999999" hidden="1">
      <c r="A356" s="5">
        <v>339</v>
      </c>
      <c r="B356" s="26" t="s">
        <v>2383</v>
      </c>
      <c r="C356" s="37" t="s">
        <v>2818</v>
      </c>
      <c r="D356" s="28">
        <v>0</v>
      </c>
      <c r="E356" s="92">
        <v>1900000</v>
      </c>
      <c r="F356" s="30" t="s">
        <v>2384</v>
      </c>
      <c r="G356" s="27" t="s">
        <v>1900</v>
      </c>
      <c r="H356" s="31">
        <v>670190997777</v>
      </c>
      <c r="I356" s="27" t="s">
        <v>1901</v>
      </c>
    </row>
    <row r="357" spans="1:11" ht="20.399999999999999" hidden="1">
      <c r="A357" s="5">
        <v>340</v>
      </c>
      <c r="B357" s="26" t="s">
        <v>2385</v>
      </c>
      <c r="C357" s="37" t="s">
        <v>2817</v>
      </c>
      <c r="D357" s="28">
        <v>0</v>
      </c>
      <c r="E357" s="92">
        <v>900000</v>
      </c>
      <c r="F357" s="30" t="s">
        <v>2386</v>
      </c>
      <c r="G357" s="27" t="s">
        <v>1900</v>
      </c>
      <c r="H357" s="31">
        <v>670190997777</v>
      </c>
      <c r="I357" s="27" t="s">
        <v>1901</v>
      </c>
    </row>
    <row r="358" spans="1:11" ht="20.399999999999999" hidden="1">
      <c r="A358" s="5">
        <v>341</v>
      </c>
      <c r="B358" s="26" t="s">
        <v>2387</v>
      </c>
      <c r="C358" s="37" t="s">
        <v>2816</v>
      </c>
      <c r="D358" s="28">
        <v>0</v>
      </c>
      <c r="E358" s="92">
        <v>400000</v>
      </c>
      <c r="F358" s="30" t="s">
        <v>2388</v>
      </c>
      <c r="G358" s="27" t="s">
        <v>1900</v>
      </c>
      <c r="H358" s="31">
        <v>670190997777</v>
      </c>
      <c r="I358" s="27" t="s">
        <v>1901</v>
      </c>
    </row>
    <row r="359" spans="1:11" ht="20.399999999999999" hidden="1">
      <c r="A359" s="5">
        <v>342</v>
      </c>
      <c r="B359" s="26" t="s">
        <v>2389</v>
      </c>
      <c r="C359" s="37" t="s">
        <v>2815</v>
      </c>
      <c r="D359" s="28">
        <v>0</v>
      </c>
      <c r="E359" s="92">
        <v>1400000</v>
      </c>
      <c r="F359" s="30" t="s">
        <v>2390</v>
      </c>
      <c r="G359" s="27" t="s">
        <v>1900</v>
      </c>
      <c r="H359" s="31">
        <v>670190997777</v>
      </c>
      <c r="I359" s="27" t="s">
        <v>1901</v>
      </c>
    </row>
    <row r="360" spans="1:11" ht="20.399999999999999" hidden="1">
      <c r="A360" s="5">
        <v>343</v>
      </c>
      <c r="B360" s="26" t="s">
        <v>2391</v>
      </c>
      <c r="C360" s="37" t="s">
        <v>2814</v>
      </c>
      <c r="D360" s="28">
        <v>0</v>
      </c>
      <c r="E360" s="92">
        <v>1100000</v>
      </c>
      <c r="F360" s="30" t="s">
        <v>2392</v>
      </c>
      <c r="G360" s="27" t="s">
        <v>1900</v>
      </c>
      <c r="H360" s="31">
        <v>670190997777</v>
      </c>
      <c r="I360" s="27" t="s">
        <v>1901</v>
      </c>
    </row>
    <row r="361" spans="1:11" ht="20.399999999999999" hidden="1">
      <c r="A361" s="5">
        <v>344</v>
      </c>
      <c r="B361" s="26" t="s">
        <v>2393</v>
      </c>
      <c r="C361" s="37" t="s">
        <v>2813</v>
      </c>
      <c r="D361" s="28">
        <v>0</v>
      </c>
      <c r="E361" s="92">
        <v>700000</v>
      </c>
      <c r="F361" s="30" t="s">
        <v>2394</v>
      </c>
      <c r="G361" s="27" t="s">
        <v>1900</v>
      </c>
      <c r="H361" s="31">
        <v>670190997777</v>
      </c>
      <c r="I361" s="27" t="s">
        <v>1901</v>
      </c>
    </row>
    <row r="362" spans="1:11" ht="20.399999999999999" hidden="1">
      <c r="A362" s="5">
        <v>345</v>
      </c>
      <c r="B362" s="26" t="s">
        <v>2395</v>
      </c>
      <c r="C362" s="37" t="s">
        <v>2812</v>
      </c>
      <c r="D362" s="28">
        <v>0</v>
      </c>
      <c r="E362" s="92">
        <v>1700000</v>
      </c>
      <c r="F362" s="30" t="s">
        <v>2396</v>
      </c>
      <c r="G362" s="27" t="s">
        <v>1900</v>
      </c>
      <c r="H362" s="31">
        <v>670190997777</v>
      </c>
      <c r="I362" s="27" t="s">
        <v>1901</v>
      </c>
    </row>
    <row r="363" spans="1:11" ht="20.399999999999999" hidden="1">
      <c r="A363" s="5">
        <v>346</v>
      </c>
      <c r="B363" s="26" t="s">
        <v>2397</v>
      </c>
      <c r="C363" s="40" t="s">
        <v>2811</v>
      </c>
      <c r="D363" s="28">
        <v>0</v>
      </c>
      <c r="E363" s="94">
        <v>500000</v>
      </c>
      <c r="F363" s="30" t="s">
        <v>2398</v>
      </c>
      <c r="G363" s="27" t="s">
        <v>1900</v>
      </c>
      <c r="H363" s="31">
        <v>670190997777</v>
      </c>
      <c r="I363" s="27" t="s">
        <v>1901</v>
      </c>
      <c r="J363" s="38"/>
    </row>
    <row r="364" spans="1:11" ht="20.399999999999999" hidden="1">
      <c r="A364" s="5">
        <v>347</v>
      </c>
      <c r="B364" s="26" t="s">
        <v>2399</v>
      </c>
      <c r="C364" s="37" t="s">
        <v>2810</v>
      </c>
      <c r="D364" s="28">
        <v>0</v>
      </c>
      <c r="E364" s="92">
        <v>1700000</v>
      </c>
      <c r="F364" s="30" t="s">
        <v>2400</v>
      </c>
      <c r="G364" s="27" t="s">
        <v>1900</v>
      </c>
      <c r="H364" s="31">
        <v>670190997777</v>
      </c>
      <c r="I364" s="27" t="s">
        <v>1901</v>
      </c>
    </row>
    <row r="365" spans="1:11" ht="20.399999999999999" hidden="1">
      <c r="A365" s="5">
        <v>348</v>
      </c>
      <c r="B365" s="26" t="s">
        <v>2401</v>
      </c>
      <c r="C365" s="37" t="s">
        <v>2809</v>
      </c>
      <c r="D365" s="28">
        <v>0</v>
      </c>
      <c r="E365" s="92">
        <v>700000</v>
      </c>
      <c r="F365" s="30" t="s">
        <v>2402</v>
      </c>
      <c r="G365" s="27" t="s">
        <v>1900</v>
      </c>
      <c r="H365" s="31">
        <v>670190997777</v>
      </c>
      <c r="I365" s="27" t="s">
        <v>1901</v>
      </c>
    </row>
    <row r="366" spans="1:11" ht="20.399999999999999" hidden="1">
      <c r="A366" s="5">
        <v>349</v>
      </c>
      <c r="B366" s="26" t="s">
        <v>2403</v>
      </c>
      <c r="C366" s="37" t="s">
        <v>2808</v>
      </c>
      <c r="D366" s="28">
        <v>0</v>
      </c>
      <c r="E366" s="92">
        <v>700000</v>
      </c>
      <c r="F366" s="30" t="s">
        <v>2404</v>
      </c>
      <c r="G366" s="27" t="s">
        <v>1900</v>
      </c>
      <c r="H366" s="31">
        <v>670190997777</v>
      </c>
      <c r="I366" s="27" t="s">
        <v>1901</v>
      </c>
    </row>
    <row r="367" spans="1:11" ht="20.399999999999999" hidden="1">
      <c r="A367" s="5">
        <v>350</v>
      </c>
      <c r="B367" s="26" t="s">
        <v>2405</v>
      </c>
      <c r="C367" s="37" t="s">
        <v>2807</v>
      </c>
      <c r="D367" s="28">
        <v>0</v>
      </c>
      <c r="E367" s="92">
        <v>300000</v>
      </c>
      <c r="F367" s="30" t="s">
        <v>2406</v>
      </c>
      <c r="G367" s="27" t="s">
        <v>1900</v>
      </c>
      <c r="H367" s="31">
        <v>670190997777</v>
      </c>
      <c r="I367" s="27" t="s">
        <v>1901</v>
      </c>
    </row>
    <row r="368" spans="1:11" ht="20.399999999999999" hidden="1">
      <c r="A368" s="5">
        <v>351</v>
      </c>
      <c r="B368" s="26" t="s">
        <v>2407</v>
      </c>
      <c r="C368" s="37" t="s">
        <v>2806</v>
      </c>
      <c r="D368" s="28">
        <v>0</v>
      </c>
      <c r="E368" s="92">
        <v>1100000</v>
      </c>
      <c r="F368" s="30" t="s">
        <v>2408</v>
      </c>
      <c r="G368" s="27" t="s">
        <v>1900</v>
      </c>
      <c r="H368" s="31">
        <v>670190997777</v>
      </c>
      <c r="I368" s="27" t="s">
        <v>1901</v>
      </c>
    </row>
    <row r="369" spans="1:9" ht="20.399999999999999" hidden="1">
      <c r="A369" s="5">
        <v>352</v>
      </c>
      <c r="B369" s="26" t="s">
        <v>2409</v>
      </c>
      <c r="C369" s="37" t="s">
        <v>2805</v>
      </c>
      <c r="D369" s="28">
        <v>0</v>
      </c>
      <c r="E369" s="92">
        <v>400000</v>
      </c>
      <c r="F369" s="30" t="s">
        <v>2410</v>
      </c>
      <c r="G369" s="27" t="s">
        <v>1900</v>
      </c>
      <c r="H369" s="31">
        <v>670190997777</v>
      </c>
      <c r="I369" s="27" t="s">
        <v>1901</v>
      </c>
    </row>
    <row r="370" spans="1:9" ht="20.399999999999999" hidden="1">
      <c r="A370" s="5">
        <v>353</v>
      </c>
      <c r="B370" s="26" t="s">
        <v>2411</v>
      </c>
      <c r="C370" s="37" t="s">
        <v>2804</v>
      </c>
      <c r="D370" s="28">
        <v>0</v>
      </c>
      <c r="E370" s="92">
        <v>900000</v>
      </c>
      <c r="F370" s="30" t="s">
        <v>2412</v>
      </c>
      <c r="G370" s="27" t="s">
        <v>1900</v>
      </c>
      <c r="H370" s="31">
        <v>670190997777</v>
      </c>
      <c r="I370" s="27" t="s">
        <v>1901</v>
      </c>
    </row>
    <row r="371" spans="1:9" ht="20.399999999999999" hidden="1">
      <c r="A371" s="5">
        <v>354</v>
      </c>
      <c r="B371" s="26" t="s">
        <v>2413</v>
      </c>
      <c r="C371" s="37" t="s">
        <v>2803</v>
      </c>
      <c r="D371" s="28">
        <v>0</v>
      </c>
      <c r="E371" s="92">
        <v>700000</v>
      </c>
      <c r="F371" s="30" t="s">
        <v>2414</v>
      </c>
      <c r="G371" s="27" t="s">
        <v>1900</v>
      </c>
      <c r="H371" s="31">
        <v>670190997777</v>
      </c>
      <c r="I371" s="27" t="s">
        <v>1901</v>
      </c>
    </row>
    <row r="372" spans="1:9" ht="20.399999999999999" hidden="1">
      <c r="A372" s="5">
        <v>355</v>
      </c>
      <c r="B372" s="26" t="s">
        <v>2415</v>
      </c>
      <c r="C372" s="37" t="s">
        <v>2802</v>
      </c>
      <c r="D372" s="28">
        <v>0</v>
      </c>
      <c r="E372" s="92">
        <v>400000</v>
      </c>
      <c r="F372" s="30" t="s">
        <v>2416</v>
      </c>
      <c r="G372" s="27" t="s">
        <v>1900</v>
      </c>
      <c r="H372" s="31">
        <v>670190997777</v>
      </c>
      <c r="I372" s="27" t="s">
        <v>1901</v>
      </c>
    </row>
    <row r="373" spans="1:9" ht="20.399999999999999" hidden="1">
      <c r="A373" s="5">
        <v>356</v>
      </c>
      <c r="B373" s="26" t="s">
        <v>2417</v>
      </c>
      <c r="C373" s="37" t="s">
        <v>2801</v>
      </c>
      <c r="D373" s="28">
        <v>0</v>
      </c>
      <c r="E373" s="92">
        <v>900000</v>
      </c>
      <c r="F373" s="30" t="s">
        <v>2418</v>
      </c>
      <c r="G373" s="27" t="s">
        <v>1900</v>
      </c>
      <c r="H373" s="31">
        <v>670190997777</v>
      </c>
      <c r="I373" s="27" t="s">
        <v>1901</v>
      </c>
    </row>
    <row r="374" spans="1:9" ht="40.799999999999997" hidden="1">
      <c r="A374" s="5">
        <v>357</v>
      </c>
      <c r="B374" s="32" t="s">
        <v>2419</v>
      </c>
      <c r="C374" s="39" t="s">
        <v>2800</v>
      </c>
      <c r="D374" s="33">
        <v>0</v>
      </c>
      <c r="E374" s="93">
        <v>800000</v>
      </c>
      <c r="F374" s="35" t="s">
        <v>2420</v>
      </c>
      <c r="G374" s="30" t="s">
        <v>1900</v>
      </c>
      <c r="H374" s="36">
        <v>670190997777</v>
      </c>
      <c r="I374" s="30" t="s">
        <v>1901</v>
      </c>
    </row>
    <row r="375" spans="1:9" ht="20.399999999999999" hidden="1">
      <c r="A375" s="5">
        <v>358</v>
      </c>
      <c r="B375" s="26" t="s">
        <v>2421</v>
      </c>
      <c r="C375" s="37" t="s">
        <v>2799</v>
      </c>
      <c r="D375" s="28">
        <v>0</v>
      </c>
      <c r="E375" s="92">
        <v>600000</v>
      </c>
      <c r="F375" s="30" t="s">
        <v>2422</v>
      </c>
      <c r="G375" s="27" t="s">
        <v>1900</v>
      </c>
      <c r="H375" s="31">
        <v>670190997777</v>
      </c>
      <c r="I375" s="27" t="s">
        <v>1901</v>
      </c>
    </row>
    <row r="376" spans="1:9" ht="20.399999999999999" hidden="1">
      <c r="A376" s="5">
        <v>359</v>
      </c>
      <c r="B376" s="26" t="s">
        <v>2423</v>
      </c>
      <c r="C376" s="37" t="s">
        <v>2798</v>
      </c>
      <c r="D376" s="28">
        <v>0</v>
      </c>
      <c r="E376" s="92">
        <v>300000</v>
      </c>
      <c r="F376" s="30" t="s">
        <v>2424</v>
      </c>
      <c r="G376" s="27" t="s">
        <v>1900</v>
      </c>
      <c r="H376" s="31">
        <v>670190997777</v>
      </c>
      <c r="I376" s="27" t="s">
        <v>1901</v>
      </c>
    </row>
    <row r="377" spans="1:9" ht="20.399999999999999" hidden="1">
      <c r="A377" s="5">
        <v>360</v>
      </c>
      <c r="B377" s="26" t="s">
        <v>2425</v>
      </c>
      <c r="C377" s="37" t="s">
        <v>2797</v>
      </c>
      <c r="D377" s="28">
        <v>0</v>
      </c>
      <c r="E377" s="92">
        <v>1400000</v>
      </c>
      <c r="F377" s="30" t="s">
        <v>2426</v>
      </c>
      <c r="G377" s="27" t="s">
        <v>1900</v>
      </c>
      <c r="H377" s="31">
        <v>670190997777</v>
      </c>
      <c r="I377" s="27" t="s">
        <v>1901</v>
      </c>
    </row>
    <row r="378" spans="1:9" ht="30.6" hidden="1">
      <c r="A378" s="5">
        <v>361</v>
      </c>
      <c r="B378" s="32" t="s">
        <v>2427</v>
      </c>
      <c r="C378" s="39" t="s">
        <v>2796</v>
      </c>
      <c r="D378" s="33">
        <v>0</v>
      </c>
      <c r="E378" s="93">
        <v>500000</v>
      </c>
      <c r="F378" s="35" t="s">
        <v>2428</v>
      </c>
      <c r="G378" s="30" t="s">
        <v>1900</v>
      </c>
      <c r="H378" s="36">
        <v>670190997777</v>
      </c>
      <c r="I378" s="30" t="s">
        <v>1901</v>
      </c>
    </row>
    <row r="379" spans="1:9" ht="20.399999999999999" hidden="1">
      <c r="A379" s="5">
        <v>362</v>
      </c>
      <c r="B379" s="26" t="s">
        <v>2429</v>
      </c>
      <c r="C379" s="37" t="s">
        <v>2795</v>
      </c>
      <c r="D379" s="28">
        <v>0</v>
      </c>
      <c r="E379" s="92">
        <v>400000</v>
      </c>
      <c r="F379" s="30" t="s">
        <v>2430</v>
      </c>
      <c r="G379" s="27" t="s">
        <v>1900</v>
      </c>
      <c r="H379" s="31">
        <v>670190997777</v>
      </c>
      <c r="I379" s="27" t="s">
        <v>1901</v>
      </c>
    </row>
    <row r="380" spans="1:9" ht="20.399999999999999" hidden="1">
      <c r="A380" s="5">
        <v>363</v>
      </c>
      <c r="B380" s="26" t="s">
        <v>2431</v>
      </c>
      <c r="C380" s="37" t="s">
        <v>2794</v>
      </c>
      <c r="D380" s="28">
        <v>0</v>
      </c>
      <c r="E380" s="92">
        <v>1700000</v>
      </c>
      <c r="F380" s="30" t="s">
        <v>2432</v>
      </c>
      <c r="G380" s="27" t="s">
        <v>1900</v>
      </c>
      <c r="H380" s="31">
        <v>670190997777</v>
      </c>
      <c r="I380" s="27" t="s">
        <v>1901</v>
      </c>
    </row>
    <row r="381" spans="1:9" ht="30.6" hidden="1">
      <c r="A381" s="5">
        <v>364</v>
      </c>
      <c r="B381" s="32" t="s">
        <v>2433</v>
      </c>
      <c r="C381" s="39" t="s">
        <v>2793</v>
      </c>
      <c r="D381" s="33">
        <v>0</v>
      </c>
      <c r="E381" s="93">
        <v>1100000</v>
      </c>
      <c r="F381" s="35" t="s">
        <v>2434</v>
      </c>
      <c r="G381" s="30" t="s">
        <v>1900</v>
      </c>
      <c r="H381" s="36">
        <v>670190997777</v>
      </c>
      <c r="I381" s="30" t="s">
        <v>1901</v>
      </c>
    </row>
    <row r="382" spans="1:9" ht="20.399999999999999" hidden="1">
      <c r="A382" s="5">
        <v>365</v>
      </c>
      <c r="B382" s="26" t="s">
        <v>2435</v>
      </c>
      <c r="C382" s="37" t="s">
        <v>2792</v>
      </c>
      <c r="D382" s="28">
        <v>0</v>
      </c>
      <c r="E382" s="92">
        <v>800000</v>
      </c>
      <c r="F382" s="30" t="s">
        <v>2436</v>
      </c>
      <c r="G382" s="27" t="s">
        <v>1900</v>
      </c>
      <c r="H382" s="31">
        <v>670190997777</v>
      </c>
      <c r="I382" s="27" t="s">
        <v>1901</v>
      </c>
    </row>
    <row r="383" spans="1:9" ht="20.399999999999999" hidden="1">
      <c r="A383" s="5">
        <v>366</v>
      </c>
      <c r="B383" s="26" t="s">
        <v>2437</v>
      </c>
      <c r="C383" s="37" t="s">
        <v>2791</v>
      </c>
      <c r="D383" s="28">
        <v>0</v>
      </c>
      <c r="E383" s="92">
        <v>1400000</v>
      </c>
      <c r="F383" s="30" t="s">
        <v>2438</v>
      </c>
      <c r="G383" s="27" t="s">
        <v>1900</v>
      </c>
      <c r="H383" s="31">
        <v>670190997777</v>
      </c>
      <c r="I383" s="27" t="s">
        <v>1901</v>
      </c>
    </row>
    <row r="384" spans="1:9" ht="20.399999999999999" hidden="1">
      <c r="A384" s="5">
        <v>367</v>
      </c>
      <c r="B384" s="26" t="s">
        <v>2439</v>
      </c>
      <c r="C384" s="37" t="s">
        <v>2790</v>
      </c>
      <c r="D384" s="28">
        <v>0</v>
      </c>
      <c r="E384" s="92">
        <v>900000</v>
      </c>
      <c r="F384" s="30" t="s">
        <v>2440</v>
      </c>
      <c r="G384" s="27" t="s">
        <v>1900</v>
      </c>
      <c r="H384" s="31">
        <v>670190997777</v>
      </c>
      <c r="I384" s="27" t="s">
        <v>1901</v>
      </c>
    </row>
    <row r="385" spans="1:10" ht="20.399999999999999" hidden="1">
      <c r="A385" s="5">
        <v>368</v>
      </c>
      <c r="B385" s="26" t="s">
        <v>2441</v>
      </c>
      <c r="C385" s="37" t="s">
        <v>2789</v>
      </c>
      <c r="D385" s="28">
        <v>0</v>
      </c>
      <c r="E385" s="92">
        <v>900000</v>
      </c>
      <c r="F385" s="30" t="s">
        <v>2442</v>
      </c>
      <c r="G385" s="27" t="s">
        <v>1900</v>
      </c>
      <c r="H385" s="31">
        <v>670190997777</v>
      </c>
      <c r="I385" s="27" t="s">
        <v>1901</v>
      </c>
    </row>
    <row r="386" spans="1:10" ht="20.399999999999999" hidden="1">
      <c r="A386" s="5">
        <v>369</v>
      </c>
      <c r="B386" s="26" t="s">
        <v>2443</v>
      </c>
      <c r="C386" s="37" t="s">
        <v>2788</v>
      </c>
      <c r="D386" s="28">
        <v>0</v>
      </c>
      <c r="E386" s="92">
        <v>1700000</v>
      </c>
      <c r="F386" s="30" t="s">
        <v>2444</v>
      </c>
      <c r="G386" s="27" t="s">
        <v>1900</v>
      </c>
      <c r="H386" s="31">
        <v>670190997777</v>
      </c>
      <c r="I386" s="27" t="s">
        <v>1901</v>
      </c>
    </row>
    <row r="387" spans="1:10" ht="20.399999999999999" hidden="1">
      <c r="A387" s="5">
        <v>370</v>
      </c>
      <c r="B387" s="26" t="s">
        <v>2445</v>
      </c>
      <c r="C387" s="37" t="s">
        <v>2787</v>
      </c>
      <c r="D387" s="28">
        <v>0</v>
      </c>
      <c r="E387" s="92">
        <v>800000</v>
      </c>
      <c r="F387" s="35" t="s">
        <v>2446</v>
      </c>
      <c r="G387" s="27" t="s">
        <v>1900</v>
      </c>
      <c r="H387" s="31">
        <v>670190997777</v>
      </c>
      <c r="I387" s="27" t="s">
        <v>1901</v>
      </c>
    </row>
    <row r="388" spans="1:10" ht="20.399999999999999" hidden="1">
      <c r="A388" s="5">
        <v>371</v>
      </c>
      <c r="B388" s="26" t="s">
        <v>2447</v>
      </c>
      <c r="C388" s="37" t="s">
        <v>2786</v>
      </c>
      <c r="D388" s="28">
        <v>0</v>
      </c>
      <c r="E388" s="92">
        <v>800000</v>
      </c>
      <c r="F388" s="30" t="s">
        <v>2448</v>
      </c>
      <c r="G388" s="27" t="s">
        <v>1900</v>
      </c>
      <c r="H388" s="31">
        <v>670190997777</v>
      </c>
      <c r="I388" s="27" t="s">
        <v>1901</v>
      </c>
    </row>
    <row r="389" spans="1:10" ht="40.799999999999997" hidden="1">
      <c r="A389" s="5">
        <v>372</v>
      </c>
      <c r="B389" s="32" t="s">
        <v>2449</v>
      </c>
      <c r="C389" s="39" t="s">
        <v>2784</v>
      </c>
      <c r="D389" s="33">
        <v>0</v>
      </c>
      <c r="E389" s="93">
        <v>1000000</v>
      </c>
      <c r="F389" s="35" t="s">
        <v>2450</v>
      </c>
      <c r="G389" s="30" t="s">
        <v>1900</v>
      </c>
      <c r="H389" s="36">
        <v>670190997777</v>
      </c>
      <c r="I389" s="30" t="s">
        <v>1901</v>
      </c>
      <c r="J389" s="38" t="s">
        <v>2785</v>
      </c>
    </row>
    <row r="390" spans="1:10" ht="20.399999999999999" hidden="1">
      <c r="A390" s="5">
        <v>373</v>
      </c>
      <c r="B390" s="26" t="s">
        <v>2451</v>
      </c>
      <c r="C390" s="37" t="s">
        <v>2783</v>
      </c>
      <c r="D390" s="28">
        <v>0</v>
      </c>
      <c r="E390" s="92">
        <v>900000</v>
      </c>
      <c r="F390" s="30" t="s">
        <v>2452</v>
      </c>
      <c r="G390" s="27" t="s">
        <v>1900</v>
      </c>
      <c r="H390" s="31">
        <v>670190997777</v>
      </c>
      <c r="I390" s="27" t="s">
        <v>1901</v>
      </c>
    </row>
    <row r="391" spans="1:10" ht="20.399999999999999" hidden="1">
      <c r="A391" s="5">
        <v>374</v>
      </c>
      <c r="B391" s="26" t="s">
        <v>2453</v>
      </c>
      <c r="C391" s="37" t="s">
        <v>2782</v>
      </c>
      <c r="D391" s="28">
        <v>0</v>
      </c>
      <c r="E391" s="92">
        <v>2200000</v>
      </c>
      <c r="F391" s="30" t="s">
        <v>2454</v>
      </c>
      <c r="G391" s="27" t="s">
        <v>1900</v>
      </c>
      <c r="H391" s="31">
        <v>670190997777</v>
      </c>
      <c r="I391" s="27" t="s">
        <v>1901</v>
      </c>
    </row>
    <row r="392" spans="1:10" ht="20.399999999999999" hidden="1">
      <c r="A392" s="5">
        <v>375</v>
      </c>
      <c r="B392" s="26" t="s">
        <v>2455</v>
      </c>
      <c r="C392" s="37" t="s">
        <v>2781</v>
      </c>
      <c r="D392" s="28">
        <v>0</v>
      </c>
      <c r="E392" s="92">
        <v>1900000</v>
      </c>
      <c r="F392" s="30" t="s">
        <v>2456</v>
      </c>
      <c r="G392" s="27" t="s">
        <v>1900</v>
      </c>
      <c r="H392" s="31">
        <v>670190997777</v>
      </c>
      <c r="I392" s="27" t="s">
        <v>1901</v>
      </c>
    </row>
    <row r="393" spans="1:10" ht="20.399999999999999" hidden="1">
      <c r="A393" s="5">
        <v>376</v>
      </c>
      <c r="B393" s="26" t="s">
        <v>2457</v>
      </c>
      <c r="C393" s="37" t="s">
        <v>2780</v>
      </c>
      <c r="D393" s="28">
        <v>0</v>
      </c>
      <c r="E393" s="92">
        <v>800000</v>
      </c>
      <c r="F393" s="30" t="s">
        <v>2458</v>
      </c>
      <c r="G393" s="27" t="s">
        <v>1900</v>
      </c>
      <c r="H393" s="31">
        <v>670190997777</v>
      </c>
      <c r="I393" s="27" t="s">
        <v>1901</v>
      </c>
    </row>
    <row r="394" spans="1:10" ht="30.6" hidden="1">
      <c r="A394" s="5">
        <v>377</v>
      </c>
      <c r="B394" s="32" t="s">
        <v>2459</v>
      </c>
      <c r="C394" s="39" t="s">
        <v>2779</v>
      </c>
      <c r="D394" s="33">
        <v>0</v>
      </c>
      <c r="E394" s="93">
        <v>300000</v>
      </c>
      <c r="F394" s="35" t="s">
        <v>2460</v>
      </c>
      <c r="G394" s="30" t="s">
        <v>1900</v>
      </c>
      <c r="H394" s="36">
        <v>670190997777</v>
      </c>
      <c r="I394" s="30" t="s">
        <v>1901</v>
      </c>
    </row>
    <row r="395" spans="1:10" ht="20.399999999999999" hidden="1">
      <c r="A395" s="5">
        <v>378</v>
      </c>
      <c r="B395" s="26" t="s">
        <v>2461</v>
      </c>
      <c r="C395" s="37" t="s">
        <v>2778</v>
      </c>
      <c r="D395" s="28">
        <v>0</v>
      </c>
      <c r="E395" s="92">
        <v>400000</v>
      </c>
      <c r="F395" s="30" t="s">
        <v>2462</v>
      </c>
      <c r="G395" s="27" t="s">
        <v>1900</v>
      </c>
      <c r="H395" s="31">
        <v>670190997777</v>
      </c>
      <c r="I395" s="27" t="s">
        <v>1901</v>
      </c>
    </row>
    <row r="396" spans="1:10" ht="30.6" hidden="1">
      <c r="A396" s="5">
        <v>379</v>
      </c>
      <c r="B396" s="26" t="s">
        <v>2463</v>
      </c>
      <c r="C396" s="37" t="s">
        <v>2777</v>
      </c>
      <c r="D396" s="28">
        <v>0</v>
      </c>
      <c r="E396" s="92">
        <v>800000</v>
      </c>
      <c r="F396" s="30" t="s">
        <v>2464</v>
      </c>
      <c r="G396" s="27" t="s">
        <v>1900</v>
      </c>
      <c r="H396" s="31">
        <v>670190997777</v>
      </c>
      <c r="I396" s="27" t="s">
        <v>1901</v>
      </c>
    </row>
    <row r="397" spans="1:10" ht="20.399999999999999" hidden="1">
      <c r="A397" s="5">
        <v>380</v>
      </c>
      <c r="B397" s="26" t="s">
        <v>2465</v>
      </c>
      <c r="C397" s="37" t="s">
        <v>2776</v>
      </c>
      <c r="D397" s="28">
        <v>0</v>
      </c>
      <c r="E397" s="92">
        <v>1000000</v>
      </c>
      <c r="F397" s="30" t="s">
        <v>2466</v>
      </c>
      <c r="G397" s="27" t="s">
        <v>1900</v>
      </c>
      <c r="H397" s="31">
        <v>670190997777</v>
      </c>
      <c r="I397" s="27" t="s">
        <v>1901</v>
      </c>
    </row>
    <row r="398" spans="1:10" ht="20.399999999999999" hidden="1">
      <c r="A398" s="5">
        <v>381</v>
      </c>
      <c r="B398" s="26" t="s">
        <v>2467</v>
      </c>
      <c r="C398" s="37" t="s">
        <v>2775</v>
      </c>
      <c r="D398" s="28">
        <v>0</v>
      </c>
      <c r="E398" s="92">
        <v>300000</v>
      </c>
      <c r="F398" s="30" t="s">
        <v>2468</v>
      </c>
      <c r="G398" s="27" t="s">
        <v>1900</v>
      </c>
      <c r="H398" s="31">
        <v>670190997777</v>
      </c>
      <c r="I398" s="27" t="s">
        <v>1901</v>
      </c>
    </row>
    <row r="399" spans="1:10" ht="20.399999999999999" hidden="1">
      <c r="A399" s="5">
        <v>382</v>
      </c>
      <c r="B399" s="26" t="s">
        <v>2469</v>
      </c>
      <c r="C399" s="37" t="s">
        <v>2773</v>
      </c>
      <c r="D399" s="28">
        <v>0</v>
      </c>
      <c r="E399" s="92">
        <v>300000</v>
      </c>
      <c r="F399" s="30" t="s">
        <v>2470</v>
      </c>
      <c r="G399" s="27" t="s">
        <v>1900</v>
      </c>
      <c r="H399" s="31">
        <v>670190997777</v>
      </c>
      <c r="I399" s="27" t="s">
        <v>1901</v>
      </c>
    </row>
    <row r="400" spans="1:10" ht="20.399999999999999" hidden="1">
      <c r="A400" s="5">
        <v>383</v>
      </c>
      <c r="B400" s="26" t="s">
        <v>2469</v>
      </c>
      <c r="C400" s="37" t="s">
        <v>2772</v>
      </c>
      <c r="D400" s="28">
        <v>0</v>
      </c>
      <c r="E400" s="92">
        <v>300000</v>
      </c>
      <c r="F400" s="30" t="s">
        <v>2471</v>
      </c>
      <c r="G400" s="27" t="s">
        <v>1900</v>
      </c>
      <c r="H400" s="31">
        <v>670190997777</v>
      </c>
      <c r="I400" s="27" t="s">
        <v>1901</v>
      </c>
    </row>
    <row r="401" spans="1:9" ht="20.399999999999999" hidden="1">
      <c r="A401" s="5">
        <v>384</v>
      </c>
      <c r="B401" s="26" t="s">
        <v>2472</v>
      </c>
      <c r="C401" s="37" t="s">
        <v>2771</v>
      </c>
      <c r="D401" s="28">
        <v>0</v>
      </c>
      <c r="E401" s="92">
        <v>900000</v>
      </c>
      <c r="F401" s="30" t="s">
        <v>2473</v>
      </c>
      <c r="G401" s="27" t="s">
        <v>1900</v>
      </c>
      <c r="H401" s="31">
        <v>670190997777</v>
      </c>
      <c r="I401" s="27" t="s">
        <v>1901</v>
      </c>
    </row>
    <row r="402" spans="1:9" ht="30.6" hidden="1">
      <c r="A402" s="5">
        <v>385</v>
      </c>
      <c r="B402" s="32" t="s">
        <v>2474</v>
      </c>
      <c r="C402" s="39" t="s">
        <v>2770</v>
      </c>
      <c r="D402" s="33">
        <v>0</v>
      </c>
      <c r="E402" s="93">
        <v>600000</v>
      </c>
      <c r="F402" s="35" t="s">
        <v>2475</v>
      </c>
      <c r="G402" s="30" t="s">
        <v>1900</v>
      </c>
      <c r="H402" s="36">
        <v>670190997777</v>
      </c>
      <c r="I402" s="30" t="s">
        <v>1901</v>
      </c>
    </row>
    <row r="403" spans="1:9" ht="30.6" hidden="1">
      <c r="A403" s="5">
        <v>386</v>
      </c>
      <c r="B403" s="32" t="s">
        <v>2476</v>
      </c>
      <c r="C403" s="39" t="s">
        <v>2769</v>
      </c>
      <c r="D403" s="33">
        <v>0</v>
      </c>
      <c r="E403" s="93">
        <v>1400000</v>
      </c>
      <c r="F403" s="35" t="s">
        <v>2477</v>
      </c>
      <c r="G403" s="30" t="s">
        <v>1900</v>
      </c>
      <c r="H403" s="36">
        <v>670190997777</v>
      </c>
      <c r="I403" s="30" t="s">
        <v>1901</v>
      </c>
    </row>
    <row r="404" spans="1:9" ht="20.399999999999999" hidden="1">
      <c r="A404" s="5">
        <v>387</v>
      </c>
      <c r="B404" s="26" t="s">
        <v>2478</v>
      </c>
      <c r="C404" s="37" t="s">
        <v>2768</v>
      </c>
      <c r="D404" s="28">
        <v>0</v>
      </c>
      <c r="E404" s="92">
        <v>1300000</v>
      </c>
      <c r="F404" s="30" t="s">
        <v>2479</v>
      </c>
      <c r="G404" s="27" t="s">
        <v>1900</v>
      </c>
      <c r="H404" s="31">
        <v>670190997777</v>
      </c>
      <c r="I404" s="27" t="s">
        <v>1901</v>
      </c>
    </row>
    <row r="405" spans="1:9" ht="20.399999999999999" hidden="1">
      <c r="A405" s="5">
        <v>388</v>
      </c>
      <c r="B405" s="26" t="s">
        <v>2478</v>
      </c>
      <c r="C405" s="37" t="s">
        <v>2767</v>
      </c>
      <c r="D405" s="28">
        <v>0</v>
      </c>
      <c r="E405" s="92">
        <v>900000</v>
      </c>
      <c r="F405" s="30" t="s">
        <v>2480</v>
      </c>
      <c r="G405" s="27" t="s">
        <v>1900</v>
      </c>
      <c r="H405" s="31">
        <v>670190997777</v>
      </c>
      <c r="I405" s="27" t="s">
        <v>1901</v>
      </c>
    </row>
    <row r="406" spans="1:9" ht="30.6" hidden="1">
      <c r="A406" s="5">
        <v>389</v>
      </c>
      <c r="B406" s="32" t="s">
        <v>2481</v>
      </c>
      <c r="C406" s="39" t="s">
        <v>2766</v>
      </c>
      <c r="D406" s="33">
        <v>0</v>
      </c>
      <c r="E406" s="93">
        <v>800000</v>
      </c>
      <c r="F406" s="35" t="s">
        <v>2482</v>
      </c>
      <c r="G406" s="30" t="s">
        <v>1900</v>
      </c>
      <c r="H406" s="36">
        <v>670190997777</v>
      </c>
      <c r="I406" s="30" t="s">
        <v>1901</v>
      </c>
    </row>
    <row r="407" spans="1:9" ht="20.399999999999999" hidden="1">
      <c r="A407" s="5">
        <v>390</v>
      </c>
      <c r="B407" s="26" t="s">
        <v>2483</v>
      </c>
      <c r="C407" s="37" t="s">
        <v>2765</v>
      </c>
      <c r="D407" s="28">
        <v>0</v>
      </c>
      <c r="E407" s="92">
        <v>600000</v>
      </c>
      <c r="F407" s="30" t="s">
        <v>2484</v>
      </c>
      <c r="G407" s="27" t="s">
        <v>1900</v>
      </c>
      <c r="H407" s="31">
        <v>670190997777</v>
      </c>
      <c r="I407" s="27" t="s">
        <v>1901</v>
      </c>
    </row>
    <row r="408" spans="1:9" ht="30.6" hidden="1">
      <c r="A408" s="5">
        <v>391</v>
      </c>
      <c r="B408" s="32" t="s">
        <v>2485</v>
      </c>
      <c r="C408" s="39" t="s">
        <v>2764</v>
      </c>
      <c r="D408" s="33">
        <v>0</v>
      </c>
      <c r="E408" s="93">
        <v>800000</v>
      </c>
      <c r="F408" s="35" t="s">
        <v>2486</v>
      </c>
      <c r="G408" s="30" t="s">
        <v>1900</v>
      </c>
      <c r="H408" s="36">
        <v>670190997777</v>
      </c>
      <c r="I408" s="30" t="s">
        <v>1901</v>
      </c>
    </row>
    <row r="409" spans="1:9" ht="20.399999999999999" hidden="1">
      <c r="A409" s="5">
        <v>392</v>
      </c>
      <c r="B409" s="26" t="s">
        <v>2487</v>
      </c>
      <c r="C409" s="37" t="s">
        <v>2763</v>
      </c>
      <c r="D409" s="28">
        <v>0</v>
      </c>
      <c r="E409" s="92">
        <v>700000</v>
      </c>
      <c r="F409" s="30" t="s">
        <v>2488</v>
      </c>
      <c r="G409" s="27" t="s">
        <v>1900</v>
      </c>
      <c r="H409" s="31">
        <v>670190997777</v>
      </c>
      <c r="I409" s="27" t="s">
        <v>1901</v>
      </c>
    </row>
    <row r="410" spans="1:9" ht="20.399999999999999" hidden="1">
      <c r="A410" s="5">
        <v>393</v>
      </c>
      <c r="B410" s="26" t="s">
        <v>2489</v>
      </c>
      <c r="C410" s="37" t="s">
        <v>2762</v>
      </c>
      <c r="D410" s="28">
        <v>0</v>
      </c>
      <c r="E410" s="92">
        <v>600000</v>
      </c>
      <c r="F410" s="30" t="s">
        <v>2490</v>
      </c>
      <c r="G410" s="27" t="s">
        <v>1900</v>
      </c>
      <c r="H410" s="31">
        <v>670190997777</v>
      </c>
      <c r="I410" s="27" t="s">
        <v>1901</v>
      </c>
    </row>
    <row r="411" spans="1:9" ht="40.799999999999997" hidden="1">
      <c r="A411" s="5">
        <v>394</v>
      </c>
      <c r="B411" s="32" t="s">
        <v>2491</v>
      </c>
      <c r="C411" s="39" t="s">
        <v>2761</v>
      </c>
      <c r="D411" s="33">
        <v>0</v>
      </c>
      <c r="E411" s="93">
        <v>500000</v>
      </c>
      <c r="F411" s="35" t="s">
        <v>2492</v>
      </c>
      <c r="G411" s="30" t="s">
        <v>1900</v>
      </c>
      <c r="H411" s="36">
        <v>670190997777</v>
      </c>
      <c r="I411" s="30" t="s">
        <v>1901</v>
      </c>
    </row>
    <row r="412" spans="1:9" ht="20.399999999999999" hidden="1">
      <c r="A412" s="5">
        <v>395</v>
      </c>
      <c r="B412" s="26" t="s">
        <v>2493</v>
      </c>
      <c r="C412" s="37" t="s">
        <v>2760</v>
      </c>
      <c r="D412" s="28">
        <v>0</v>
      </c>
      <c r="E412" s="92">
        <v>400000</v>
      </c>
      <c r="F412" s="30" t="s">
        <v>2494</v>
      </c>
      <c r="G412" s="27" t="s">
        <v>1900</v>
      </c>
      <c r="H412" s="31">
        <v>670190997777</v>
      </c>
      <c r="I412" s="27" t="s">
        <v>1901</v>
      </c>
    </row>
    <row r="413" spans="1:9" ht="20.399999999999999" hidden="1">
      <c r="A413" s="5">
        <v>396</v>
      </c>
      <c r="B413" s="26" t="s">
        <v>2495</v>
      </c>
      <c r="C413" s="37" t="s">
        <v>2759</v>
      </c>
      <c r="D413" s="28">
        <v>0</v>
      </c>
      <c r="E413" s="92">
        <v>1000000</v>
      </c>
      <c r="F413" s="35" t="s">
        <v>2496</v>
      </c>
      <c r="G413" s="27" t="s">
        <v>1900</v>
      </c>
      <c r="H413" s="31">
        <v>670190997777</v>
      </c>
      <c r="I413" s="27" t="s">
        <v>1901</v>
      </c>
    </row>
    <row r="414" spans="1:9" ht="30.6" hidden="1">
      <c r="A414" s="5">
        <v>397</v>
      </c>
      <c r="B414" s="32" t="s">
        <v>2497</v>
      </c>
      <c r="C414" s="39" t="s">
        <v>2758</v>
      </c>
      <c r="D414" s="33">
        <v>0</v>
      </c>
      <c r="E414" s="93">
        <v>1100000</v>
      </c>
      <c r="F414" s="35" t="s">
        <v>2498</v>
      </c>
      <c r="G414" s="30" t="s">
        <v>1900</v>
      </c>
      <c r="H414" s="36">
        <v>670190997777</v>
      </c>
      <c r="I414" s="30" t="s">
        <v>1901</v>
      </c>
    </row>
    <row r="415" spans="1:9" ht="30.6" hidden="1">
      <c r="A415" s="5">
        <v>398</v>
      </c>
      <c r="B415" s="32" t="s">
        <v>2499</v>
      </c>
      <c r="C415" s="39" t="s">
        <v>2757</v>
      </c>
      <c r="D415" s="33">
        <v>0</v>
      </c>
      <c r="E415" s="93">
        <v>400000</v>
      </c>
      <c r="F415" s="35" t="s">
        <v>2500</v>
      </c>
      <c r="G415" s="30" t="s">
        <v>1900</v>
      </c>
      <c r="H415" s="36">
        <v>670190997777</v>
      </c>
      <c r="I415" s="30" t="s">
        <v>1901</v>
      </c>
    </row>
    <row r="416" spans="1:9" ht="20.399999999999999" hidden="1">
      <c r="A416" s="5">
        <v>399</v>
      </c>
      <c r="B416" s="26" t="s">
        <v>2501</v>
      </c>
      <c r="C416" s="37" t="s">
        <v>2756</v>
      </c>
      <c r="D416" s="28">
        <v>0</v>
      </c>
      <c r="E416" s="92">
        <v>1500000</v>
      </c>
      <c r="F416" s="30" t="s">
        <v>2502</v>
      </c>
      <c r="G416" s="27" t="s">
        <v>1900</v>
      </c>
      <c r="H416" s="31">
        <v>670190997777</v>
      </c>
      <c r="I416" s="27" t="s">
        <v>1901</v>
      </c>
    </row>
    <row r="417" spans="1:10" ht="20.399999999999999" hidden="1">
      <c r="A417" s="5">
        <v>400</v>
      </c>
      <c r="B417" s="26" t="s">
        <v>2503</v>
      </c>
      <c r="C417" s="37" t="s">
        <v>2755</v>
      </c>
      <c r="D417" s="28">
        <v>0</v>
      </c>
      <c r="E417" s="92">
        <v>1700000</v>
      </c>
      <c r="F417" s="30" t="s">
        <v>2504</v>
      </c>
      <c r="G417" s="27" t="s">
        <v>1900</v>
      </c>
      <c r="H417" s="31">
        <v>670190997777</v>
      </c>
      <c r="I417" s="27" t="s">
        <v>1901</v>
      </c>
    </row>
    <row r="418" spans="1:10" ht="20.399999999999999" hidden="1">
      <c r="A418" s="5">
        <v>401</v>
      </c>
      <c r="B418" s="26" t="s">
        <v>2505</v>
      </c>
      <c r="C418" s="37" t="s">
        <v>2754</v>
      </c>
      <c r="D418" s="28">
        <v>0</v>
      </c>
      <c r="E418" s="92">
        <v>900000</v>
      </c>
      <c r="F418" s="30" t="s">
        <v>2506</v>
      </c>
      <c r="G418" s="27" t="s">
        <v>1900</v>
      </c>
      <c r="H418" s="31">
        <v>670190997777</v>
      </c>
      <c r="I418" s="27" t="s">
        <v>1901</v>
      </c>
    </row>
    <row r="419" spans="1:10" ht="20.399999999999999" hidden="1">
      <c r="A419" s="5">
        <v>402</v>
      </c>
      <c r="B419" s="26" t="s">
        <v>2507</v>
      </c>
      <c r="C419" s="37" t="s">
        <v>2753</v>
      </c>
      <c r="D419" s="28">
        <v>0</v>
      </c>
      <c r="E419" s="92">
        <v>1400000</v>
      </c>
      <c r="F419" s="30" t="s">
        <v>2508</v>
      </c>
      <c r="G419" s="27" t="s">
        <v>1900</v>
      </c>
      <c r="H419" s="31">
        <v>670190997777</v>
      </c>
      <c r="I419" s="27" t="s">
        <v>1901</v>
      </c>
    </row>
    <row r="420" spans="1:10" ht="20.399999999999999" hidden="1">
      <c r="A420" s="5">
        <v>403</v>
      </c>
      <c r="B420" s="26" t="s">
        <v>2509</v>
      </c>
      <c r="C420" s="37" t="s">
        <v>2752</v>
      </c>
      <c r="D420" s="28">
        <v>0</v>
      </c>
      <c r="E420" s="92">
        <v>600000</v>
      </c>
      <c r="F420" s="30" t="s">
        <v>2510</v>
      </c>
      <c r="G420" s="27" t="s">
        <v>1900</v>
      </c>
      <c r="H420" s="31">
        <v>670190997777</v>
      </c>
      <c r="I420" s="27" t="s">
        <v>1901</v>
      </c>
    </row>
    <row r="421" spans="1:10" ht="20.399999999999999" hidden="1">
      <c r="A421" s="5">
        <v>404</v>
      </c>
      <c r="B421" s="26" t="s">
        <v>2511</v>
      </c>
      <c r="C421" s="37" t="s">
        <v>2751</v>
      </c>
      <c r="D421" s="28">
        <v>0</v>
      </c>
      <c r="E421" s="92">
        <v>700000</v>
      </c>
      <c r="F421" s="30" t="s">
        <v>2512</v>
      </c>
      <c r="G421" s="27" t="s">
        <v>1900</v>
      </c>
      <c r="H421" s="31">
        <v>670190997777</v>
      </c>
      <c r="I421" s="27" t="s">
        <v>1901</v>
      </c>
    </row>
    <row r="422" spans="1:10" ht="30.6" hidden="1">
      <c r="A422" s="5">
        <v>405</v>
      </c>
      <c r="B422" s="32" t="s">
        <v>2513</v>
      </c>
      <c r="C422" s="39" t="s">
        <v>2750</v>
      </c>
      <c r="D422" s="33">
        <v>0</v>
      </c>
      <c r="E422" s="93">
        <v>1400000</v>
      </c>
      <c r="F422" s="35" t="s">
        <v>2514</v>
      </c>
      <c r="G422" s="30" t="s">
        <v>1900</v>
      </c>
      <c r="H422" s="36">
        <v>670190997777</v>
      </c>
      <c r="I422" s="30" t="s">
        <v>1901</v>
      </c>
    </row>
    <row r="423" spans="1:10" ht="20.399999999999999" hidden="1">
      <c r="A423" s="5">
        <v>406</v>
      </c>
      <c r="B423" s="26" t="s">
        <v>2515</v>
      </c>
      <c r="C423" s="37" t="s">
        <v>2749</v>
      </c>
      <c r="D423" s="28">
        <v>0</v>
      </c>
      <c r="E423" s="92">
        <v>900000</v>
      </c>
      <c r="F423" s="30" t="s">
        <v>2516</v>
      </c>
      <c r="G423" s="27" t="s">
        <v>1900</v>
      </c>
      <c r="H423" s="31">
        <v>670190997777</v>
      </c>
      <c r="I423" s="27" t="s">
        <v>1901</v>
      </c>
    </row>
    <row r="424" spans="1:10" ht="20.399999999999999" hidden="1">
      <c r="A424" s="5">
        <v>407</v>
      </c>
      <c r="B424" s="26" t="s">
        <v>2517</v>
      </c>
      <c r="C424" s="37" t="s">
        <v>2748</v>
      </c>
      <c r="D424" s="28">
        <v>0</v>
      </c>
      <c r="E424" s="92">
        <v>900000</v>
      </c>
      <c r="F424" s="30" t="s">
        <v>2518</v>
      </c>
      <c r="G424" s="27" t="s">
        <v>1900</v>
      </c>
      <c r="H424" s="31">
        <v>670190997777</v>
      </c>
      <c r="I424" s="27" t="s">
        <v>1901</v>
      </c>
    </row>
    <row r="425" spans="1:10" ht="40.799999999999997" hidden="1">
      <c r="A425" s="5">
        <v>408</v>
      </c>
      <c r="B425" s="32" t="s">
        <v>2519</v>
      </c>
      <c r="C425" s="39" t="s">
        <v>2747</v>
      </c>
      <c r="D425" s="33">
        <v>0</v>
      </c>
      <c r="E425" s="93">
        <v>700000</v>
      </c>
      <c r="F425" s="35" t="s">
        <v>2520</v>
      </c>
      <c r="G425" s="30" t="s">
        <v>1900</v>
      </c>
      <c r="H425" s="36">
        <v>670190997777</v>
      </c>
      <c r="I425" s="30" t="s">
        <v>1901</v>
      </c>
    </row>
    <row r="426" spans="1:10" ht="20.399999999999999" hidden="1">
      <c r="A426" s="5">
        <v>409</v>
      </c>
      <c r="B426" s="26" t="s">
        <v>2521</v>
      </c>
      <c r="C426" s="37" t="s">
        <v>2743</v>
      </c>
      <c r="D426" s="28">
        <v>0</v>
      </c>
      <c r="E426" s="92">
        <v>800000</v>
      </c>
      <c r="F426" s="30" t="s">
        <v>2522</v>
      </c>
      <c r="G426" s="27" t="s">
        <v>1900</v>
      </c>
      <c r="H426" s="31">
        <v>670190997777</v>
      </c>
      <c r="I426" s="27" t="s">
        <v>1901</v>
      </c>
      <c r="J426" s="38" t="s">
        <v>2745</v>
      </c>
    </row>
    <row r="427" spans="1:10" ht="40.799999999999997" hidden="1">
      <c r="A427" s="5">
        <v>410</v>
      </c>
      <c r="B427" s="32" t="s">
        <v>2521</v>
      </c>
      <c r="C427" s="39" t="s">
        <v>2746</v>
      </c>
      <c r="D427" s="33">
        <v>0</v>
      </c>
      <c r="E427" s="93">
        <v>1600000</v>
      </c>
      <c r="F427" s="35" t="s">
        <v>2523</v>
      </c>
      <c r="G427" s="30" t="s">
        <v>1900</v>
      </c>
      <c r="H427" s="36">
        <v>670190997777</v>
      </c>
      <c r="I427" s="30" t="s">
        <v>1901</v>
      </c>
    </row>
    <row r="428" spans="1:10" ht="20.399999999999999" hidden="1">
      <c r="A428" s="5">
        <v>411</v>
      </c>
      <c r="B428" s="26" t="s">
        <v>2521</v>
      </c>
      <c r="C428" s="37" t="s">
        <v>2741</v>
      </c>
      <c r="D428" s="28">
        <v>0</v>
      </c>
      <c r="E428" s="92">
        <v>700000</v>
      </c>
      <c r="F428" s="30" t="s">
        <v>2524</v>
      </c>
      <c r="G428" s="27" t="s">
        <v>1900</v>
      </c>
      <c r="H428" s="31">
        <v>670190997777</v>
      </c>
      <c r="I428" s="27" t="s">
        <v>1901</v>
      </c>
      <c r="J428" s="38" t="s">
        <v>2742</v>
      </c>
    </row>
    <row r="429" spans="1:10" ht="30.6" hidden="1">
      <c r="A429" s="5">
        <v>412</v>
      </c>
      <c r="B429" s="32" t="s">
        <v>2525</v>
      </c>
      <c r="C429" s="39" t="s">
        <v>2740</v>
      </c>
      <c r="D429" s="33">
        <v>0</v>
      </c>
      <c r="E429" s="93">
        <v>700000</v>
      </c>
      <c r="F429" s="35" t="s">
        <v>2526</v>
      </c>
      <c r="G429" s="30" t="s">
        <v>1900</v>
      </c>
      <c r="H429" s="36">
        <v>670190997777</v>
      </c>
      <c r="I429" s="30" t="s">
        <v>1901</v>
      </c>
    </row>
    <row r="430" spans="1:10" ht="20.399999999999999" hidden="1">
      <c r="A430" s="5">
        <v>413</v>
      </c>
      <c r="B430" s="26" t="s">
        <v>2527</v>
      </c>
      <c r="C430" s="37" t="s">
        <v>2739</v>
      </c>
      <c r="D430" s="28">
        <v>0</v>
      </c>
      <c r="E430" s="92">
        <v>800000</v>
      </c>
      <c r="F430" s="30" t="s">
        <v>2528</v>
      </c>
      <c r="G430" s="27" t="s">
        <v>1900</v>
      </c>
      <c r="H430" s="31">
        <v>670190997777</v>
      </c>
      <c r="I430" s="27" t="s">
        <v>1901</v>
      </c>
    </row>
    <row r="431" spans="1:10" ht="20.399999999999999" hidden="1">
      <c r="A431" s="5">
        <v>414</v>
      </c>
      <c r="B431" s="26" t="s">
        <v>2529</v>
      </c>
      <c r="C431" s="37" t="s">
        <v>2738</v>
      </c>
      <c r="D431" s="28">
        <v>0</v>
      </c>
      <c r="E431" s="92">
        <v>900000</v>
      </c>
      <c r="F431" s="30" t="s">
        <v>2530</v>
      </c>
      <c r="G431" s="27" t="s">
        <v>1900</v>
      </c>
      <c r="H431" s="31">
        <v>670190997777</v>
      </c>
      <c r="I431" s="27" t="s">
        <v>1901</v>
      </c>
    </row>
    <row r="432" spans="1:10" ht="20.399999999999999" hidden="1">
      <c r="A432" s="5">
        <v>415</v>
      </c>
      <c r="B432" s="26" t="s">
        <v>2531</v>
      </c>
      <c r="C432" s="37" t="s">
        <v>2737</v>
      </c>
      <c r="D432" s="28">
        <v>0</v>
      </c>
      <c r="E432" s="92">
        <v>1100000</v>
      </c>
      <c r="F432" s="30" t="s">
        <v>2532</v>
      </c>
      <c r="G432" s="27" t="s">
        <v>1900</v>
      </c>
      <c r="H432" s="31">
        <v>670190997777</v>
      </c>
      <c r="I432" s="27" t="s">
        <v>1901</v>
      </c>
    </row>
    <row r="433" spans="1:9" ht="20.399999999999999" hidden="1">
      <c r="A433" s="5">
        <v>416</v>
      </c>
      <c r="B433" s="26" t="s">
        <v>2533</v>
      </c>
      <c r="C433" s="37" t="s">
        <v>2736</v>
      </c>
      <c r="D433" s="28">
        <v>0</v>
      </c>
      <c r="E433" s="92">
        <v>800000</v>
      </c>
      <c r="F433" s="30" t="s">
        <v>2534</v>
      </c>
      <c r="G433" s="27" t="s">
        <v>1900</v>
      </c>
      <c r="H433" s="31">
        <v>670190997777</v>
      </c>
      <c r="I433" s="27" t="s">
        <v>1901</v>
      </c>
    </row>
    <row r="434" spans="1:9" ht="30.6" hidden="1">
      <c r="A434" s="5">
        <v>417</v>
      </c>
      <c r="B434" s="32" t="s">
        <v>2535</v>
      </c>
      <c r="C434" s="39" t="s">
        <v>2735</v>
      </c>
      <c r="D434" s="33">
        <v>0</v>
      </c>
      <c r="E434" s="93">
        <v>400000</v>
      </c>
      <c r="F434" s="35" t="s">
        <v>2536</v>
      </c>
      <c r="G434" s="30" t="s">
        <v>1900</v>
      </c>
      <c r="H434" s="36">
        <v>670190997777</v>
      </c>
      <c r="I434" s="30" t="s">
        <v>1901</v>
      </c>
    </row>
    <row r="435" spans="1:9" ht="30.6" hidden="1">
      <c r="A435" s="5">
        <v>418</v>
      </c>
      <c r="B435" s="26" t="s">
        <v>2537</v>
      </c>
      <c r="C435" s="37" t="s">
        <v>2734</v>
      </c>
      <c r="D435" s="28">
        <v>0</v>
      </c>
      <c r="E435" s="92">
        <v>400000</v>
      </c>
      <c r="F435" s="30" t="s">
        <v>2538</v>
      </c>
      <c r="G435" s="27" t="s">
        <v>1900</v>
      </c>
      <c r="H435" s="31">
        <v>670190997777</v>
      </c>
      <c r="I435" s="27" t="s">
        <v>1901</v>
      </c>
    </row>
    <row r="436" spans="1:9" ht="20.399999999999999" hidden="1">
      <c r="A436" s="5">
        <v>419</v>
      </c>
      <c r="B436" s="26" t="s">
        <v>2539</v>
      </c>
      <c r="C436" s="37" t="s">
        <v>2733</v>
      </c>
      <c r="D436" s="28">
        <v>0</v>
      </c>
      <c r="E436" s="92">
        <v>900000</v>
      </c>
      <c r="F436" s="30" t="s">
        <v>2540</v>
      </c>
      <c r="G436" s="27" t="s">
        <v>1900</v>
      </c>
      <c r="H436" s="31">
        <v>670190997777</v>
      </c>
      <c r="I436" s="27" t="s">
        <v>1901</v>
      </c>
    </row>
    <row r="437" spans="1:9" ht="20.399999999999999" hidden="1">
      <c r="A437" s="5">
        <v>420</v>
      </c>
      <c r="B437" s="26" t="s">
        <v>2541</v>
      </c>
      <c r="C437" s="37" t="s">
        <v>2732</v>
      </c>
      <c r="D437" s="28">
        <v>0</v>
      </c>
      <c r="E437" s="92">
        <v>300000</v>
      </c>
      <c r="F437" s="30" t="s">
        <v>2542</v>
      </c>
      <c r="G437" s="27" t="s">
        <v>1900</v>
      </c>
      <c r="H437" s="31">
        <v>670190997777</v>
      </c>
      <c r="I437" s="27" t="s">
        <v>1901</v>
      </c>
    </row>
    <row r="438" spans="1:9" ht="30.6" hidden="1">
      <c r="A438" s="5">
        <v>421</v>
      </c>
      <c r="B438" s="32" t="s">
        <v>2543</v>
      </c>
      <c r="C438" s="39" t="s">
        <v>2731</v>
      </c>
      <c r="D438" s="33">
        <v>0</v>
      </c>
      <c r="E438" s="93">
        <v>300000</v>
      </c>
      <c r="F438" s="35" t="s">
        <v>2544</v>
      </c>
      <c r="G438" s="30" t="s">
        <v>1900</v>
      </c>
      <c r="H438" s="36">
        <v>670190997777</v>
      </c>
      <c r="I438" s="30" t="s">
        <v>1901</v>
      </c>
    </row>
    <row r="439" spans="1:9" ht="20.399999999999999" hidden="1">
      <c r="A439" s="5">
        <v>422</v>
      </c>
      <c r="B439" s="26" t="s">
        <v>2545</v>
      </c>
      <c r="C439" s="37" t="s">
        <v>2730</v>
      </c>
      <c r="D439" s="28">
        <v>0</v>
      </c>
      <c r="E439" s="92">
        <v>1400000</v>
      </c>
      <c r="F439" s="35" t="s">
        <v>2546</v>
      </c>
      <c r="G439" s="27" t="s">
        <v>1900</v>
      </c>
      <c r="H439" s="31">
        <v>670190997777</v>
      </c>
      <c r="I439" s="27" t="s">
        <v>1901</v>
      </c>
    </row>
    <row r="440" spans="1:9" ht="20.399999999999999" hidden="1">
      <c r="A440" s="5">
        <v>423</v>
      </c>
      <c r="B440" s="26" t="s">
        <v>2547</v>
      </c>
      <c r="C440" s="37" t="s">
        <v>2729</v>
      </c>
      <c r="D440" s="28">
        <v>0</v>
      </c>
      <c r="E440" s="92">
        <v>400000</v>
      </c>
      <c r="F440" s="30" t="s">
        <v>2548</v>
      </c>
      <c r="G440" s="27" t="s">
        <v>1900</v>
      </c>
      <c r="H440" s="31">
        <v>670190997777</v>
      </c>
      <c r="I440" s="27" t="s">
        <v>1901</v>
      </c>
    </row>
    <row r="441" spans="1:9" ht="20.399999999999999" hidden="1">
      <c r="A441" s="5">
        <v>424</v>
      </c>
      <c r="B441" s="26" t="s">
        <v>2549</v>
      </c>
      <c r="C441" s="37" t="s">
        <v>2728</v>
      </c>
      <c r="D441" s="28">
        <v>0</v>
      </c>
      <c r="E441" s="92">
        <v>500000</v>
      </c>
      <c r="F441" s="30" t="s">
        <v>2550</v>
      </c>
      <c r="G441" s="27" t="s">
        <v>1900</v>
      </c>
      <c r="H441" s="31">
        <v>670190997777</v>
      </c>
      <c r="I441" s="27" t="s">
        <v>1901</v>
      </c>
    </row>
    <row r="442" spans="1:9" ht="20.399999999999999" hidden="1">
      <c r="A442" s="5">
        <v>425</v>
      </c>
      <c r="B442" s="26" t="s">
        <v>2551</v>
      </c>
      <c r="C442" s="37" t="s">
        <v>2727</v>
      </c>
      <c r="D442" s="28">
        <v>0</v>
      </c>
      <c r="E442" s="92">
        <v>1400000</v>
      </c>
      <c r="F442" s="30" t="s">
        <v>2552</v>
      </c>
      <c r="G442" s="27" t="s">
        <v>1900</v>
      </c>
      <c r="H442" s="31">
        <v>670190997777</v>
      </c>
      <c r="I442" s="27" t="s">
        <v>1901</v>
      </c>
    </row>
    <row r="443" spans="1:9" ht="20.399999999999999" hidden="1">
      <c r="A443" s="5">
        <v>426</v>
      </c>
      <c r="B443" s="26" t="s">
        <v>2553</v>
      </c>
      <c r="C443" s="37" t="s">
        <v>2726</v>
      </c>
      <c r="D443" s="28">
        <v>0</v>
      </c>
      <c r="E443" s="92">
        <v>1700000</v>
      </c>
      <c r="F443" s="30" t="s">
        <v>2554</v>
      </c>
      <c r="G443" s="27" t="s">
        <v>1900</v>
      </c>
      <c r="H443" s="31">
        <v>670190997777</v>
      </c>
      <c r="I443" s="27" t="s">
        <v>1901</v>
      </c>
    </row>
    <row r="444" spans="1:9" ht="30.6" hidden="1">
      <c r="A444" s="5">
        <v>427</v>
      </c>
      <c r="B444" s="32" t="s">
        <v>2555</v>
      </c>
      <c r="C444" s="39" t="s">
        <v>2725</v>
      </c>
      <c r="D444" s="33">
        <v>0</v>
      </c>
      <c r="E444" s="93">
        <v>1000000</v>
      </c>
      <c r="F444" s="35" t="s">
        <v>2556</v>
      </c>
      <c r="G444" s="30" t="s">
        <v>1900</v>
      </c>
      <c r="H444" s="36">
        <v>670190997777</v>
      </c>
      <c r="I444" s="30" t="s">
        <v>1901</v>
      </c>
    </row>
    <row r="445" spans="1:9" ht="20.399999999999999" hidden="1">
      <c r="A445" s="5">
        <v>428</v>
      </c>
      <c r="B445" s="26" t="s">
        <v>2557</v>
      </c>
      <c r="C445" s="37" t="s">
        <v>2724</v>
      </c>
      <c r="D445" s="28">
        <v>0</v>
      </c>
      <c r="E445" s="92">
        <v>900000</v>
      </c>
      <c r="F445" s="30" t="s">
        <v>2558</v>
      </c>
      <c r="G445" s="27" t="s">
        <v>1900</v>
      </c>
      <c r="H445" s="31">
        <v>670190997777</v>
      </c>
      <c r="I445" s="27" t="s">
        <v>1901</v>
      </c>
    </row>
    <row r="446" spans="1:9" ht="20.399999999999999" hidden="1">
      <c r="A446" s="5">
        <v>429</v>
      </c>
      <c r="B446" s="26" t="s">
        <v>2559</v>
      </c>
      <c r="C446" s="37" t="s">
        <v>2723</v>
      </c>
      <c r="D446" s="28">
        <v>0</v>
      </c>
      <c r="E446" s="92">
        <v>1000000</v>
      </c>
      <c r="F446" s="30" t="s">
        <v>2560</v>
      </c>
      <c r="G446" s="27" t="s">
        <v>1900</v>
      </c>
      <c r="H446" s="31">
        <v>670190997777</v>
      </c>
      <c r="I446" s="27" t="s">
        <v>1901</v>
      </c>
    </row>
    <row r="447" spans="1:9" ht="20.399999999999999" hidden="1">
      <c r="A447" s="5">
        <v>430</v>
      </c>
      <c r="B447" s="26" t="s">
        <v>2561</v>
      </c>
      <c r="C447" s="37" t="s">
        <v>2722</v>
      </c>
      <c r="D447" s="28">
        <v>0</v>
      </c>
      <c r="E447" s="92">
        <v>900000</v>
      </c>
      <c r="F447" s="30" t="s">
        <v>2562</v>
      </c>
      <c r="G447" s="27" t="s">
        <v>1900</v>
      </c>
      <c r="H447" s="31">
        <v>670190997777</v>
      </c>
      <c r="I447" s="27" t="s">
        <v>1901</v>
      </c>
    </row>
    <row r="448" spans="1:9" ht="20.399999999999999" hidden="1">
      <c r="A448" s="5">
        <v>431</v>
      </c>
      <c r="B448" s="26" t="s">
        <v>2563</v>
      </c>
      <c r="C448" s="37" t="s">
        <v>2721</v>
      </c>
      <c r="D448" s="28">
        <v>0</v>
      </c>
      <c r="E448" s="92">
        <v>500000</v>
      </c>
      <c r="F448" s="30" t="s">
        <v>2564</v>
      </c>
      <c r="G448" s="27" t="s">
        <v>1900</v>
      </c>
      <c r="H448" s="31">
        <v>670190997777</v>
      </c>
      <c r="I448" s="27" t="s">
        <v>1901</v>
      </c>
    </row>
    <row r="449" spans="1:10" ht="20.399999999999999" hidden="1">
      <c r="A449" s="5">
        <v>432</v>
      </c>
      <c r="B449" s="26" t="s">
        <v>2565</v>
      </c>
      <c r="C449" s="37" t="s">
        <v>2720</v>
      </c>
      <c r="D449" s="28">
        <v>0</v>
      </c>
      <c r="E449" s="92">
        <v>400000</v>
      </c>
      <c r="F449" s="30" t="s">
        <v>2566</v>
      </c>
      <c r="G449" s="27" t="s">
        <v>1900</v>
      </c>
      <c r="H449" s="31">
        <v>670190997777</v>
      </c>
      <c r="I449" s="27" t="s">
        <v>1901</v>
      </c>
    </row>
    <row r="450" spans="1:10" ht="20.399999999999999" hidden="1">
      <c r="A450" s="5">
        <v>433</v>
      </c>
      <c r="B450" s="26" t="s">
        <v>2567</v>
      </c>
      <c r="C450" s="37" t="s">
        <v>2719</v>
      </c>
      <c r="D450" s="28">
        <v>0</v>
      </c>
      <c r="E450" s="92">
        <v>1400000</v>
      </c>
      <c r="F450" s="30" t="s">
        <v>2568</v>
      </c>
      <c r="G450" s="27" t="s">
        <v>1900</v>
      </c>
      <c r="H450" s="31">
        <v>670190997777</v>
      </c>
      <c r="I450" s="27" t="s">
        <v>1901</v>
      </c>
    </row>
    <row r="451" spans="1:10" ht="20.399999999999999" hidden="1">
      <c r="A451" s="5">
        <v>434</v>
      </c>
      <c r="B451" s="26" t="s">
        <v>2569</v>
      </c>
      <c r="C451" s="37" t="s">
        <v>2717</v>
      </c>
      <c r="D451" s="28">
        <v>0</v>
      </c>
      <c r="E451" s="92">
        <v>900000</v>
      </c>
      <c r="F451" s="30" t="s">
        <v>2570</v>
      </c>
      <c r="G451" s="27" t="s">
        <v>1900</v>
      </c>
      <c r="H451" s="31">
        <v>670190997777</v>
      </c>
      <c r="I451" s="27" t="s">
        <v>1901</v>
      </c>
      <c r="J451" s="38" t="s">
        <v>2718</v>
      </c>
    </row>
    <row r="452" spans="1:10" ht="30.6" hidden="1">
      <c r="A452" s="5">
        <v>435</v>
      </c>
      <c r="B452" s="32" t="s">
        <v>2571</v>
      </c>
      <c r="C452" s="39" t="s">
        <v>2716</v>
      </c>
      <c r="D452" s="33">
        <v>0</v>
      </c>
      <c r="E452" s="93">
        <v>1800000</v>
      </c>
      <c r="F452" s="35" t="s">
        <v>2572</v>
      </c>
      <c r="G452" s="30" t="s">
        <v>1900</v>
      </c>
      <c r="H452" s="36">
        <v>670190997777</v>
      </c>
      <c r="I452" s="30" t="s">
        <v>1901</v>
      </c>
    </row>
    <row r="453" spans="1:10" ht="20.399999999999999" hidden="1">
      <c r="A453" s="5">
        <v>436</v>
      </c>
      <c r="B453" s="26" t="s">
        <v>2573</v>
      </c>
      <c r="C453" s="37" t="s">
        <v>2715</v>
      </c>
      <c r="D453" s="28">
        <v>0</v>
      </c>
      <c r="E453" s="92">
        <v>800000</v>
      </c>
      <c r="F453" s="30" t="s">
        <v>2574</v>
      </c>
      <c r="G453" s="27" t="s">
        <v>1900</v>
      </c>
      <c r="H453" s="31">
        <v>670190997777</v>
      </c>
      <c r="I453" s="27" t="s">
        <v>1901</v>
      </c>
    </row>
    <row r="454" spans="1:10" ht="20.399999999999999" hidden="1">
      <c r="A454" s="5">
        <v>437</v>
      </c>
      <c r="B454" s="26" t="s">
        <v>2575</v>
      </c>
      <c r="C454" s="37" t="s">
        <v>2714</v>
      </c>
      <c r="D454" s="28">
        <v>0</v>
      </c>
      <c r="E454" s="92">
        <v>2200000</v>
      </c>
      <c r="F454" s="35" t="s">
        <v>2576</v>
      </c>
      <c r="G454" s="27" t="s">
        <v>1900</v>
      </c>
      <c r="H454" s="31">
        <v>670190997777</v>
      </c>
      <c r="I454" s="27" t="s">
        <v>1901</v>
      </c>
    </row>
    <row r="455" spans="1:10" ht="20.399999999999999" hidden="1">
      <c r="A455" s="5">
        <v>438</v>
      </c>
      <c r="B455" s="26" t="s">
        <v>2577</v>
      </c>
      <c r="C455" s="37" t="s">
        <v>2713</v>
      </c>
      <c r="D455" s="28">
        <v>0</v>
      </c>
      <c r="E455" s="92">
        <v>800000</v>
      </c>
      <c r="F455" s="30" t="s">
        <v>2578</v>
      </c>
      <c r="G455" s="27" t="s">
        <v>1900</v>
      </c>
      <c r="H455" s="31">
        <v>670190997777</v>
      </c>
      <c r="I455" s="27" t="s">
        <v>1901</v>
      </c>
    </row>
    <row r="456" spans="1:10" ht="20.399999999999999" hidden="1">
      <c r="A456" s="5">
        <v>439</v>
      </c>
      <c r="B456" s="26" t="s">
        <v>2579</v>
      </c>
      <c r="C456" s="37" t="s">
        <v>2712</v>
      </c>
      <c r="D456" s="28">
        <v>0</v>
      </c>
      <c r="E456" s="92">
        <v>2500000</v>
      </c>
      <c r="F456" s="30" t="s">
        <v>2580</v>
      </c>
      <c r="G456" s="27" t="s">
        <v>1900</v>
      </c>
      <c r="H456" s="31">
        <v>670190997777</v>
      </c>
      <c r="I456" s="27" t="s">
        <v>1901</v>
      </c>
      <c r="J456" s="2" t="s">
        <v>772</v>
      </c>
    </row>
    <row r="457" spans="1:10" ht="20.399999999999999" hidden="1">
      <c r="A457" s="5">
        <v>440</v>
      </c>
      <c r="B457" s="26" t="s">
        <v>2581</v>
      </c>
      <c r="C457" s="37" t="s">
        <v>2711</v>
      </c>
      <c r="D457" s="28">
        <v>0</v>
      </c>
      <c r="E457" s="92">
        <v>500000</v>
      </c>
      <c r="F457" s="30" t="s">
        <v>2582</v>
      </c>
      <c r="G457" s="27" t="s">
        <v>1900</v>
      </c>
      <c r="H457" s="31">
        <v>670190997777</v>
      </c>
      <c r="I457" s="27" t="s">
        <v>1901</v>
      </c>
    </row>
    <row r="458" spans="1:10" ht="20.399999999999999" hidden="1">
      <c r="A458" s="5">
        <v>441</v>
      </c>
      <c r="B458" s="26" t="s">
        <v>2583</v>
      </c>
      <c r="C458" s="37" t="s">
        <v>2710</v>
      </c>
      <c r="D458" s="28">
        <v>0</v>
      </c>
      <c r="E458" s="92">
        <v>800000</v>
      </c>
      <c r="F458" s="30" t="s">
        <v>2584</v>
      </c>
      <c r="G458" s="27" t="s">
        <v>1900</v>
      </c>
      <c r="H458" s="31">
        <v>670190997777</v>
      </c>
      <c r="I458" s="27" t="s">
        <v>1901</v>
      </c>
    </row>
    <row r="459" spans="1:10" ht="20.399999999999999" hidden="1">
      <c r="A459" s="5">
        <v>442</v>
      </c>
      <c r="B459" s="26" t="s">
        <v>2585</v>
      </c>
      <c r="C459" s="37" t="s">
        <v>2709</v>
      </c>
      <c r="D459" s="28">
        <v>0</v>
      </c>
      <c r="E459" s="92">
        <v>1300000</v>
      </c>
      <c r="F459" s="30" t="s">
        <v>2586</v>
      </c>
      <c r="G459" s="27" t="s">
        <v>1900</v>
      </c>
      <c r="H459" s="31">
        <v>670190997777</v>
      </c>
      <c r="I459" s="27" t="s">
        <v>1901</v>
      </c>
    </row>
    <row r="460" spans="1:10" ht="20.399999999999999" hidden="1">
      <c r="A460" s="5">
        <v>443</v>
      </c>
      <c r="B460" s="26" t="s">
        <v>2587</v>
      </c>
      <c r="C460" s="37" t="s">
        <v>2708</v>
      </c>
      <c r="D460" s="28">
        <v>0</v>
      </c>
      <c r="E460" s="92">
        <v>900000</v>
      </c>
      <c r="F460" s="30" t="s">
        <v>2588</v>
      </c>
      <c r="G460" s="27" t="s">
        <v>1900</v>
      </c>
      <c r="H460" s="31">
        <v>670190997777</v>
      </c>
      <c r="I460" s="27" t="s">
        <v>1901</v>
      </c>
    </row>
    <row r="461" spans="1:10" ht="30.6" hidden="1">
      <c r="A461" s="5">
        <v>444</v>
      </c>
      <c r="B461" s="32" t="s">
        <v>2589</v>
      </c>
      <c r="C461" s="39" t="s">
        <v>2707</v>
      </c>
      <c r="D461" s="33">
        <v>0</v>
      </c>
      <c r="E461" s="93">
        <v>900000</v>
      </c>
      <c r="F461" s="35" t="s">
        <v>2590</v>
      </c>
      <c r="G461" s="30" t="s">
        <v>1900</v>
      </c>
      <c r="H461" s="36">
        <v>670190997777</v>
      </c>
      <c r="I461" s="30" t="s">
        <v>1901</v>
      </c>
    </row>
    <row r="462" spans="1:10" ht="20.399999999999999" hidden="1">
      <c r="A462" s="5">
        <v>445</v>
      </c>
      <c r="B462" s="26" t="s">
        <v>2591</v>
      </c>
      <c r="C462" s="37" t="s">
        <v>2706</v>
      </c>
      <c r="D462" s="28">
        <v>0</v>
      </c>
      <c r="E462" s="92">
        <v>800000</v>
      </c>
      <c r="F462" s="30" t="s">
        <v>2592</v>
      </c>
      <c r="G462" s="27" t="s">
        <v>1900</v>
      </c>
      <c r="H462" s="31">
        <v>670190997777</v>
      </c>
      <c r="I462" s="27" t="s">
        <v>1901</v>
      </c>
    </row>
    <row r="463" spans="1:10" ht="20.399999999999999" hidden="1">
      <c r="A463" s="5">
        <v>446</v>
      </c>
      <c r="B463" s="26" t="s">
        <v>2593</v>
      </c>
      <c r="C463" s="37" t="s">
        <v>2705</v>
      </c>
      <c r="D463" s="28">
        <v>0</v>
      </c>
      <c r="E463" s="92">
        <v>700000</v>
      </c>
      <c r="F463" s="30" t="s">
        <v>2594</v>
      </c>
      <c r="G463" s="27" t="s">
        <v>1900</v>
      </c>
      <c r="H463" s="31">
        <v>670190997777</v>
      </c>
      <c r="I463" s="27" t="s">
        <v>1901</v>
      </c>
    </row>
    <row r="464" spans="1:10" ht="20.399999999999999" hidden="1">
      <c r="A464" s="5">
        <v>447</v>
      </c>
      <c r="B464" s="26" t="s">
        <v>2595</v>
      </c>
      <c r="C464" s="37" t="s">
        <v>2704</v>
      </c>
      <c r="D464" s="28">
        <v>0</v>
      </c>
      <c r="E464" s="92">
        <v>700000</v>
      </c>
      <c r="F464" s="30" t="s">
        <v>2596</v>
      </c>
      <c r="G464" s="27" t="s">
        <v>1900</v>
      </c>
      <c r="H464" s="31">
        <v>670190997777</v>
      </c>
      <c r="I464" s="27" t="s">
        <v>1901</v>
      </c>
    </row>
    <row r="465" spans="1:9" ht="40.799999999999997" hidden="1">
      <c r="A465" s="5">
        <v>448</v>
      </c>
      <c r="B465" s="32" t="s">
        <v>2597</v>
      </c>
      <c r="C465" s="39" t="s">
        <v>2703</v>
      </c>
      <c r="D465" s="33">
        <v>0</v>
      </c>
      <c r="E465" s="93">
        <v>400000</v>
      </c>
      <c r="F465" s="35" t="s">
        <v>2598</v>
      </c>
      <c r="G465" s="30" t="s">
        <v>1900</v>
      </c>
      <c r="H465" s="36">
        <v>670190997777</v>
      </c>
      <c r="I465" s="30" t="s">
        <v>1901</v>
      </c>
    </row>
    <row r="466" spans="1:9" ht="20.399999999999999" hidden="1">
      <c r="A466" s="5">
        <v>449</v>
      </c>
      <c r="B466" s="26" t="s">
        <v>2599</v>
      </c>
      <c r="C466" s="37" t="s">
        <v>2702</v>
      </c>
      <c r="D466" s="28">
        <v>0</v>
      </c>
      <c r="E466" s="92">
        <v>300000</v>
      </c>
      <c r="F466" s="30" t="s">
        <v>2600</v>
      </c>
      <c r="G466" s="27" t="s">
        <v>1900</v>
      </c>
      <c r="H466" s="31">
        <v>670190997777</v>
      </c>
      <c r="I466" s="27" t="s">
        <v>1901</v>
      </c>
    </row>
    <row r="467" spans="1:9" ht="20.399999999999999" hidden="1">
      <c r="A467" s="5">
        <v>450</v>
      </c>
      <c r="B467" s="26" t="s">
        <v>2601</v>
      </c>
      <c r="C467" s="37" t="s">
        <v>2701</v>
      </c>
      <c r="D467" s="28">
        <v>0</v>
      </c>
      <c r="E467" s="92">
        <v>700000</v>
      </c>
      <c r="F467" s="30" t="s">
        <v>2602</v>
      </c>
      <c r="G467" s="27" t="s">
        <v>1900</v>
      </c>
      <c r="H467" s="31">
        <v>670190997777</v>
      </c>
      <c r="I467" s="27" t="s">
        <v>1901</v>
      </c>
    </row>
    <row r="468" spans="1:9" ht="20.399999999999999" hidden="1">
      <c r="A468" s="5">
        <v>451</v>
      </c>
      <c r="B468" s="26" t="s">
        <v>2603</v>
      </c>
      <c r="C468" s="37" t="s">
        <v>2700</v>
      </c>
      <c r="D468" s="28">
        <v>0</v>
      </c>
      <c r="E468" s="92">
        <v>1800000</v>
      </c>
      <c r="F468" s="30" t="s">
        <v>2604</v>
      </c>
      <c r="G468" s="27" t="s">
        <v>1900</v>
      </c>
      <c r="H468" s="31">
        <v>670190997777</v>
      </c>
      <c r="I468" s="27" t="s">
        <v>1901</v>
      </c>
    </row>
    <row r="469" spans="1:9" ht="20.399999999999999" hidden="1">
      <c r="A469" s="5">
        <v>452</v>
      </c>
      <c r="B469" s="26" t="s">
        <v>2605</v>
      </c>
      <c r="C469" s="37" t="s">
        <v>2699</v>
      </c>
      <c r="D469" s="28">
        <v>0</v>
      </c>
      <c r="E469" s="92">
        <v>1100000</v>
      </c>
      <c r="F469" s="30" t="s">
        <v>2606</v>
      </c>
      <c r="G469" s="27" t="s">
        <v>1900</v>
      </c>
      <c r="H469" s="31">
        <v>670190997777</v>
      </c>
      <c r="I469" s="27" t="s">
        <v>1901</v>
      </c>
    </row>
    <row r="470" spans="1:9" ht="20.399999999999999" hidden="1">
      <c r="A470" s="5">
        <v>453</v>
      </c>
      <c r="B470" s="26" t="s">
        <v>2607</v>
      </c>
      <c r="C470" s="37" t="s">
        <v>2698</v>
      </c>
      <c r="D470" s="28">
        <v>0</v>
      </c>
      <c r="E470" s="92">
        <v>800000</v>
      </c>
      <c r="F470" s="30" t="s">
        <v>2608</v>
      </c>
      <c r="G470" s="27" t="s">
        <v>1900</v>
      </c>
      <c r="H470" s="31">
        <v>670190997777</v>
      </c>
      <c r="I470" s="27" t="s">
        <v>1901</v>
      </c>
    </row>
    <row r="471" spans="1:9" ht="20.399999999999999" hidden="1">
      <c r="A471" s="5">
        <v>454</v>
      </c>
      <c r="B471" s="26" t="s">
        <v>2609</v>
      </c>
      <c r="C471" s="37" t="s">
        <v>2697</v>
      </c>
      <c r="D471" s="28">
        <v>0</v>
      </c>
      <c r="E471" s="92">
        <v>600000</v>
      </c>
      <c r="F471" s="30" t="s">
        <v>2610</v>
      </c>
      <c r="G471" s="27" t="s">
        <v>1900</v>
      </c>
      <c r="H471" s="31">
        <v>670190997777</v>
      </c>
      <c r="I471" s="27" t="s">
        <v>1901</v>
      </c>
    </row>
    <row r="472" spans="1:9" ht="20.399999999999999" hidden="1">
      <c r="A472" s="5">
        <v>455</v>
      </c>
      <c r="B472" s="26" t="s">
        <v>2609</v>
      </c>
      <c r="C472" s="37" t="s">
        <v>2696</v>
      </c>
      <c r="D472" s="28">
        <v>0</v>
      </c>
      <c r="E472" s="92">
        <v>1400000</v>
      </c>
      <c r="F472" s="30" t="s">
        <v>2611</v>
      </c>
      <c r="G472" s="27" t="s">
        <v>1900</v>
      </c>
      <c r="H472" s="31">
        <v>670190997777</v>
      </c>
      <c r="I472" s="27" t="s">
        <v>1901</v>
      </c>
    </row>
    <row r="473" spans="1:9" ht="30.6" hidden="1">
      <c r="A473" s="5">
        <v>456</v>
      </c>
      <c r="B473" s="32" t="s">
        <v>2612</v>
      </c>
      <c r="C473" s="39" t="s">
        <v>2695</v>
      </c>
      <c r="D473" s="33">
        <v>0</v>
      </c>
      <c r="E473" s="93">
        <v>800000</v>
      </c>
      <c r="F473" s="35" t="s">
        <v>2613</v>
      </c>
      <c r="G473" s="30" t="s">
        <v>1900</v>
      </c>
      <c r="H473" s="36">
        <v>670190997777</v>
      </c>
      <c r="I473" s="30" t="s">
        <v>1901</v>
      </c>
    </row>
    <row r="474" spans="1:9" ht="20.399999999999999" hidden="1">
      <c r="A474" s="5">
        <v>457</v>
      </c>
      <c r="B474" s="26" t="s">
        <v>2614</v>
      </c>
      <c r="C474" s="37" t="s">
        <v>2694</v>
      </c>
      <c r="D474" s="28">
        <v>0</v>
      </c>
      <c r="E474" s="92">
        <v>400000</v>
      </c>
      <c r="F474" s="30" t="s">
        <v>2615</v>
      </c>
      <c r="G474" s="27" t="s">
        <v>1900</v>
      </c>
      <c r="H474" s="31">
        <v>670190997777</v>
      </c>
      <c r="I474" s="27" t="s">
        <v>1901</v>
      </c>
    </row>
    <row r="475" spans="1:9" ht="20.399999999999999" hidden="1">
      <c r="A475" s="5">
        <v>458</v>
      </c>
      <c r="B475" s="26" t="s">
        <v>2616</v>
      </c>
      <c r="C475" s="37" t="s">
        <v>2693</v>
      </c>
      <c r="D475" s="28">
        <v>0</v>
      </c>
      <c r="E475" s="92">
        <v>1300000</v>
      </c>
      <c r="F475" s="30" t="s">
        <v>2617</v>
      </c>
      <c r="G475" s="27" t="s">
        <v>1900</v>
      </c>
      <c r="H475" s="31">
        <v>670190997777</v>
      </c>
      <c r="I475" s="27" t="s">
        <v>1901</v>
      </c>
    </row>
    <row r="476" spans="1:9" ht="20.399999999999999" hidden="1">
      <c r="A476" s="5">
        <v>459</v>
      </c>
      <c r="B476" s="26" t="s">
        <v>2618</v>
      </c>
      <c r="C476" s="37" t="s">
        <v>2692</v>
      </c>
      <c r="D476" s="28">
        <v>0</v>
      </c>
      <c r="E476" s="92">
        <v>500000</v>
      </c>
      <c r="F476" s="30" t="s">
        <v>2619</v>
      </c>
      <c r="G476" s="27" t="s">
        <v>1900</v>
      </c>
      <c r="H476" s="31">
        <v>670190997777</v>
      </c>
      <c r="I476" s="27" t="s">
        <v>1901</v>
      </c>
    </row>
    <row r="477" spans="1:9" ht="30.6" hidden="1">
      <c r="A477" s="5">
        <v>460</v>
      </c>
      <c r="B477" s="26" t="s">
        <v>2620</v>
      </c>
      <c r="C477" s="37" t="s">
        <v>2691</v>
      </c>
      <c r="D477" s="28">
        <v>0</v>
      </c>
      <c r="E477" s="92">
        <v>800000</v>
      </c>
      <c r="F477" s="30" t="s">
        <v>2621</v>
      </c>
      <c r="G477" s="27" t="s">
        <v>1900</v>
      </c>
      <c r="H477" s="31">
        <v>670190997777</v>
      </c>
      <c r="I477" s="27" t="s">
        <v>1901</v>
      </c>
    </row>
    <row r="478" spans="1:9" ht="20.399999999999999" hidden="1">
      <c r="A478" s="5">
        <v>461</v>
      </c>
      <c r="B478" s="26" t="s">
        <v>2622</v>
      </c>
      <c r="C478" s="37" t="s">
        <v>2690</v>
      </c>
      <c r="D478" s="28">
        <v>0</v>
      </c>
      <c r="E478" s="92">
        <v>900000</v>
      </c>
      <c r="F478" s="30" t="s">
        <v>2623</v>
      </c>
      <c r="G478" s="27" t="s">
        <v>1900</v>
      </c>
      <c r="H478" s="31">
        <v>670190997777</v>
      </c>
      <c r="I478" s="27" t="s">
        <v>1901</v>
      </c>
    </row>
    <row r="479" spans="1:9" ht="20.399999999999999" hidden="1">
      <c r="A479" s="5">
        <v>462</v>
      </c>
      <c r="B479" s="26" t="s">
        <v>2624</v>
      </c>
      <c r="C479" s="37" t="s">
        <v>2689</v>
      </c>
      <c r="D479" s="28">
        <v>0</v>
      </c>
      <c r="E479" s="92">
        <v>500000</v>
      </c>
      <c r="F479" s="30" t="s">
        <v>2625</v>
      </c>
      <c r="G479" s="27" t="s">
        <v>1900</v>
      </c>
      <c r="H479" s="31">
        <v>670190997777</v>
      </c>
      <c r="I479" s="27" t="s">
        <v>1901</v>
      </c>
    </row>
    <row r="480" spans="1:9" ht="40.799999999999997" hidden="1">
      <c r="A480" s="5">
        <v>463</v>
      </c>
      <c r="B480" s="32" t="s">
        <v>2626</v>
      </c>
      <c r="C480" s="39" t="s">
        <v>2688</v>
      </c>
      <c r="D480" s="33">
        <v>0</v>
      </c>
      <c r="E480" s="93">
        <v>800000</v>
      </c>
      <c r="F480" s="35" t="s">
        <v>2627</v>
      </c>
      <c r="G480" s="30" t="s">
        <v>1900</v>
      </c>
      <c r="H480" s="36">
        <v>670190997777</v>
      </c>
      <c r="I480" s="30" t="s">
        <v>1901</v>
      </c>
    </row>
    <row r="481" spans="1:10" ht="20.399999999999999" hidden="1">
      <c r="A481" s="5">
        <v>464</v>
      </c>
      <c r="B481" s="26" t="s">
        <v>2628</v>
      </c>
      <c r="C481" s="37" t="s">
        <v>2687</v>
      </c>
      <c r="D481" s="28">
        <v>0</v>
      </c>
      <c r="E481" s="92">
        <v>500000</v>
      </c>
      <c r="F481" s="30" t="s">
        <v>2629</v>
      </c>
      <c r="G481" s="27" t="s">
        <v>1900</v>
      </c>
      <c r="H481" s="31">
        <v>670190997777</v>
      </c>
      <c r="I481" s="27" t="s">
        <v>1901</v>
      </c>
      <c r="J481" s="38" t="s">
        <v>2086</v>
      </c>
    </row>
    <row r="482" spans="1:10" ht="20.399999999999999" hidden="1">
      <c r="A482" s="5">
        <v>465</v>
      </c>
      <c r="B482" s="26" t="s">
        <v>2630</v>
      </c>
      <c r="C482" s="37" t="s">
        <v>2686</v>
      </c>
      <c r="D482" s="28">
        <v>0</v>
      </c>
      <c r="E482" s="92">
        <v>2500000</v>
      </c>
      <c r="F482" s="35" t="s">
        <v>2631</v>
      </c>
      <c r="G482" s="27" t="s">
        <v>1900</v>
      </c>
      <c r="H482" s="31">
        <v>670190997777</v>
      </c>
      <c r="I482" s="27" t="s">
        <v>1901</v>
      </c>
    </row>
    <row r="483" spans="1:10" ht="20.399999999999999" hidden="1">
      <c r="A483" s="5">
        <v>466</v>
      </c>
      <c r="B483" s="26" t="s">
        <v>2632</v>
      </c>
      <c r="C483" s="37" t="s">
        <v>2685</v>
      </c>
      <c r="D483" s="28">
        <v>0</v>
      </c>
      <c r="E483" s="92">
        <v>1000000</v>
      </c>
      <c r="F483" s="30" t="s">
        <v>2633</v>
      </c>
      <c r="G483" s="27" t="s">
        <v>1900</v>
      </c>
      <c r="H483" s="31">
        <v>670190997777</v>
      </c>
      <c r="I483" s="27" t="s">
        <v>1901</v>
      </c>
    </row>
    <row r="484" spans="1:10" ht="30.6" hidden="1">
      <c r="A484" s="5">
        <v>467</v>
      </c>
      <c r="B484" s="32" t="s">
        <v>2634</v>
      </c>
      <c r="C484" s="39" t="s">
        <v>2684</v>
      </c>
      <c r="D484" s="33">
        <v>0</v>
      </c>
      <c r="E484" s="93">
        <v>600000</v>
      </c>
      <c r="F484" s="35" t="s">
        <v>2635</v>
      </c>
      <c r="G484" s="30" t="s">
        <v>1900</v>
      </c>
      <c r="H484" s="36">
        <v>670190997777</v>
      </c>
      <c r="I484" s="30" t="s">
        <v>1901</v>
      </c>
    </row>
    <row r="485" spans="1:10" ht="20.399999999999999" hidden="1">
      <c r="A485" s="5">
        <v>468</v>
      </c>
      <c r="B485" s="26" t="s">
        <v>2634</v>
      </c>
      <c r="C485" s="37" t="s">
        <v>2683</v>
      </c>
      <c r="D485" s="28">
        <v>0</v>
      </c>
      <c r="E485" s="92">
        <v>1300000</v>
      </c>
      <c r="F485" s="30" t="s">
        <v>2636</v>
      </c>
      <c r="G485" s="27" t="s">
        <v>1900</v>
      </c>
      <c r="H485" s="31">
        <v>670190997777</v>
      </c>
      <c r="I485" s="27" t="s">
        <v>1901</v>
      </c>
    </row>
    <row r="486" spans="1:10" ht="30.6" hidden="1">
      <c r="A486" s="5">
        <v>469</v>
      </c>
      <c r="B486" s="26" t="s">
        <v>2637</v>
      </c>
      <c r="C486" s="37" t="s">
        <v>2682</v>
      </c>
      <c r="D486" s="28">
        <v>0</v>
      </c>
      <c r="E486" s="92">
        <v>500000</v>
      </c>
      <c r="F486" s="35" t="s">
        <v>2638</v>
      </c>
      <c r="G486" s="27" t="s">
        <v>1900</v>
      </c>
      <c r="H486" s="31">
        <v>670190997777</v>
      </c>
      <c r="I486" s="27" t="s">
        <v>1901</v>
      </c>
    </row>
    <row r="487" spans="1:10" ht="20.399999999999999" hidden="1">
      <c r="A487" s="5">
        <v>470</v>
      </c>
      <c r="B487" s="26" t="s">
        <v>2639</v>
      </c>
      <c r="C487" s="37" t="s">
        <v>2681</v>
      </c>
      <c r="D487" s="28">
        <v>0</v>
      </c>
      <c r="E487" s="92">
        <v>1100000</v>
      </c>
      <c r="F487" s="30" t="s">
        <v>2640</v>
      </c>
      <c r="G487" s="27" t="s">
        <v>1900</v>
      </c>
      <c r="H487" s="31">
        <v>670190997777</v>
      </c>
      <c r="I487" s="27" t="s">
        <v>1901</v>
      </c>
    </row>
    <row r="488" spans="1:10" ht="20.399999999999999" hidden="1">
      <c r="A488" s="5">
        <v>471</v>
      </c>
      <c r="B488" s="26" t="s">
        <v>2641</v>
      </c>
      <c r="C488" s="37" t="s">
        <v>2679</v>
      </c>
      <c r="D488" s="28">
        <v>0</v>
      </c>
      <c r="E488" s="92">
        <v>400000</v>
      </c>
      <c r="F488" s="30" t="s">
        <v>2642</v>
      </c>
      <c r="G488" s="27" t="s">
        <v>1900</v>
      </c>
      <c r="H488" s="31">
        <v>670190997777</v>
      </c>
      <c r="I488" s="27" t="s">
        <v>1901</v>
      </c>
    </row>
    <row r="489" spans="1:10" ht="20.399999999999999" hidden="1">
      <c r="A489" s="5">
        <v>472</v>
      </c>
      <c r="B489" s="26" t="s">
        <v>2643</v>
      </c>
      <c r="C489" s="37" t="s">
        <v>2678</v>
      </c>
      <c r="D489" s="28">
        <v>0</v>
      </c>
      <c r="E489" s="92">
        <v>700000</v>
      </c>
      <c r="F489" s="30" t="s">
        <v>2644</v>
      </c>
      <c r="G489" s="27" t="s">
        <v>1900</v>
      </c>
      <c r="H489" s="31">
        <v>670190997777</v>
      </c>
      <c r="I489" s="27" t="s">
        <v>1901</v>
      </c>
    </row>
    <row r="490" spans="1:10" ht="20.399999999999999" hidden="1">
      <c r="A490" s="5">
        <v>473</v>
      </c>
      <c r="B490" s="26" t="s">
        <v>2645</v>
      </c>
      <c r="C490" s="37" t="s">
        <v>2677</v>
      </c>
      <c r="D490" s="28">
        <v>0</v>
      </c>
      <c r="E490" s="92">
        <v>400000</v>
      </c>
      <c r="F490" s="30" t="s">
        <v>2646</v>
      </c>
      <c r="G490" s="27" t="s">
        <v>1900</v>
      </c>
      <c r="H490" s="31">
        <v>670190997777</v>
      </c>
      <c r="I490" s="27" t="s">
        <v>1901</v>
      </c>
    </row>
    <row r="491" spans="1:10" ht="20.399999999999999" hidden="1">
      <c r="A491" s="5">
        <v>474</v>
      </c>
      <c r="B491" s="26" t="s">
        <v>2647</v>
      </c>
      <c r="C491" s="37" t="s">
        <v>2676</v>
      </c>
      <c r="D491" s="28">
        <v>0</v>
      </c>
      <c r="E491" s="92">
        <v>500000</v>
      </c>
      <c r="F491" s="30" t="s">
        <v>2648</v>
      </c>
      <c r="G491" s="27" t="s">
        <v>1900</v>
      </c>
      <c r="H491" s="31">
        <v>670190997777</v>
      </c>
      <c r="I491" s="27" t="s">
        <v>1901</v>
      </c>
    </row>
    <row r="492" spans="1:10" ht="20.399999999999999" hidden="1">
      <c r="A492" s="5">
        <v>475</v>
      </c>
      <c r="B492" s="26" t="s">
        <v>2649</v>
      </c>
      <c r="C492" s="37" t="s">
        <v>2675</v>
      </c>
      <c r="D492" s="28">
        <v>0</v>
      </c>
      <c r="E492" s="92">
        <v>1000000</v>
      </c>
      <c r="F492" s="35" t="s">
        <v>2650</v>
      </c>
      <c r="G492" s="27" t="s">
        <v>1900</v>
      </c>
      <c r="H492" s="31">
        <v>670190997777</v>
      </c>
      <c r="I492" s="27" t="s">
        <v>1901</v>
      </c>
      <c r="J492" s="2" t="s">
        <v>374</v>
      </c>
    </row>
    <row r="493" spans="1:10" ht="20.399999999999999" hidden="1">
      <c r="A493" s="5">
        <v>476</v>
      </c>
      <c r="B493" s="26" t="s">
        <v>2651</v>
      </c>
      <c r="C493" s="37" t="s">
        <v>2674</v>
      </c>
      <c r="D493" s="28">
        <v>0</v>
      </c>
      <c r="E493" s="92">
        <v>900000</v>
      </c>
      <c r="F493" s="30" t="s">
        <v>2652</v>
      </c>
      <c r="G493" s="27" t="s">
        <v>1900</v>
      </c>
      <c r="H493" s="31">
        <v>670190997777</v>
      </c>
      <c r="I493" s="27" t="s">
        <v>1901</v>
      </c>
    </row>
    <row r="494" spans="1:10" ht="20.399999999999999" hidden="1">
      <c r="A494" s="5">
        <v>477</v>
      </c>
      <c r="B494" s="26" t="s">
        <v>2653</v>
      </c>
      <c r="C494" s="37" t="s">
        <v>2673</v>
      </c>
      <c r="D494" s="28">
        <v>0</v>
      </c>
      <c r="E494" s="92">
        <v>1100000</v>
      </c>
      <c r="F494" s="30" t="s">
        <v>2654</v>
      </c>
      <c r="G494" s="27" t="s">
        <v>1900</v>
      </c>
      <c r="H494" s="31">
        <v>670190997777</v>
      </c>
      <c r="I494" s="27" t="s">
        <v>1901</v>
      </c>
    </row>
    <row r="495" spans="1:10" ht="20.399999999999999" hidden="1">
      <c r="A495" s="5">
        <v>478</v>
      </c>
      <c r="B495" s="26" t="s">
        <v>2655</v>
      </c>
      <c r="C495" s="37" t="s">
        <v>2672</v>
      </c>
      <c r="D495" s="28">
        <v>0</v>
      </c>
      <c r="E495" s="92">
        <v>400000</v>
      </c>
      <c r="F495" s="30" t="s">
        <v>2656</v>
      </c>
      <c r="G495" s="27" t="s">
        <v>1900</v>
      </c>
      <c r="H495" s="31">
        <v>670190997777</v>
      </c>
      <c r="I495" s="27" t="s">
        <v>1901</v>
      </c>
    </row>
    <row r="496" spans="1:10" ht="20.399999999999999" hidden="1">
      <c r="A496" s="5">
        <v>479</v>
      </c>
      <c r="B496" s="26" t="s">
        <v>2657</v>
      </c>
      <c r="C496" s="37" t="s">
        <v>2671</v>
      </c>
      <c r="D496" s="28">
        <v>0</v>
      </c>
      <c r="E496" s="92">
        <v>200000</v>
      </c>
      <c r="F496" s="30" t="s">
        <v>2658</v>
      </c>
      <c r="G496" s="27" t="s">
        <v>1900</v>
      </c>
      <c r="H496" s="31">
        <v>670190997777</v>
      </c>
      <c r="I496" s="27" t="s">
        <v>1901</v>
      </c>
      <c r="J496" s="38" t="s">
        <v>2356</v>
      </c>
    </row>
    <row r="497" spans="1:9" ht="20.399999999999999" hidden="1">
      <c r="A497" s="5">
        <v>480</v>
      </c>
      <c r="B497" s="26" t="s">
        <v>2659</v>
      </c>
      <c r="C497" s="37" t="s">
        <v>2670</v>
      </c>
      <c r="D497" s="28">
        <v>0</v>
      </c>
      <c r="E497" s="92">
        <v>1400000</v>
      </c>
      <c r="F497" s="30" t="s">
        <v>2660</v>
      </c>
      <c r="G497" s="27" t="s">
        <v>1900</v>
      </c>
      <c r="H497" s="31">
        <v>670190997777</v>
      </c>
      <c r="I497" s="27" t="s">
        <v>1901</v>
      </c>
    </row>
    <row r="498" spans="1:9" ht="20.399999999999999" hidden="1">
      <c r="A498" s="5">
        <v>481</v>
      </c>
      <c r="B498" s="26" t="s">
        <v>2661</v>
      </c>
      <c r="C498" s="37" t="s">
        <v>2669</v>
      </c>
      <c r="D498" s="28">
        <v>0</v>
      </c>
      <c r="E498" s="92">
        <v>900000</v>
      </c>
      <c r="F498" s="30" t="s">
        <v>2662</v>
      </c>
      <c r="G498" s="27" t="s">
        <v>1900</v>
      </c>
      <c r="H498" s="31">
        <v>670190997777</v>
      </c>
      <c r="I498" s="27" t="s">
        <v>1901</v>
      </c>
    </row>
    <row r="499" spans="1:9" ht="20.399999999999999" hidden="1">
      <c r="A499" s="5">
        <v>482</v>
      </c>
      <c r="B499" s="26" t="s">
        <v>2663</v>
      </c>
      <c r="C499" s="37" t="s">
        <v>2668</v>
      </c>
      <c r="D499" s="28">
        <v>0</v>
      </c>
      <c r="E499" s="92">
        <v>600000</v>
      </c>
      <c r="F499" s="30" t="s">
        <v>2664</v>
      </c>
      <c r="G499" s="27" t="s">
        <v>1900</v>
      </c>
      <c r="H499" s="31">
        <v>670190997777</v>
      </c>
      <c r="I499" s="27" t="s">
        <v>1901</v>
      </c>
    </row>
    <row r="500" spans="1:9" ht="20.399999999999999" hidden="1">
      <c r="A500" s="5">
        <v>483</v>
      </c>
      <c r="B500" s="26" t="s">
        <v>2665</v>
      </c>
      <c r="C500" s="37" t="s">
        <v>2667</v>
      </c>
      <c r="D500" s="28">
        <v>0</v>
      </c>
      <c r="E500" s="92">
        <v>700000</v>
      </c>
      <c r="F500" s="30" t="s">
        <v>2666</v>
      </c>
      <c r="G500" s="27" t="s">
        <v>1900</v>
      </c>
      <c r="H500" s="31">
        <v>670190997777</v>
      </c>
      <c r="I500" s="27" t="s">
        <v>1901</v>
      </c>
    </row>
    <row r="501" spans="1:9" ht="30" hidden="1" customHeight="1">
      <c r="A501" s="5">
        <v>484</v>
      </c>
      <c r="B501" s="9" t="s">
        <v>1898</v>
      </c>
      <c r="C501" s="20" t="s">
        <v>2122</v>
      </c>
      <c r="D501" s="11">
        <v>0</v>
      </c>
      <c r="E501" s="95">
        <v>1400000</v>
      </c>
      <c r="F501" s="12" t="s">
        <v>1899</v>
      </c>
      <c r="G501" s="10" t="s">
        <v>1900</v>
      </c>
      <c r="H501" s="13">
        <v>670190997777</v>
      </c>
      <c r="I501" s="10" t="s">
        <v>1901</v>
      </c>
    </row>
    <row r="502" spans="1:9" ht="30" hidden="1" customHeight="1">
      <c r="A502" s="5">
        <v>485</v>
      </c>
      <c r="B502" s="9" t="s">
        <v>1902</v>
      </c>
      <c r="C502" s="20" t="s">
        <v>2121</v>
      </c>
      <c r="D502" s="11">
        <v>0</v>
      </c>
      <c r="E502" s="95">
        <v>400000</v>
      </c>
      <c r="F502" s="12" t="s">
        <v>1903</v>
      </c>
      <c r="G502" s="10" t="s">
        <v>1900</v>
      </c>
      <c r="H502" s="13">
        <v>670190997777</v>
      </c>
      <c r="I502" s="10" t="s">
        <v>1901</v>
      </c>
    </row>
    <row r="503" spans="1:9" ht="30" hidden="1" customHeight="1">
      <c r="A503" s="5">
        <v>486</v>
      </c>
      <c r="B503" s="9" t="s">
        <v>1904</v>
      </c>
      <c r="C503" s="20" t="s">
        <v>2120</v>
      </c>
      <c r="D503" s="11">
        <v>0</v>
      </c>
      <c r="E503" s="95">
        <v>500000</v>
      </c>
      <c r="F503" s="12" t="s">
        <v>1905</v>
      </c>
      <c r="G503" s="10" t="s">
        <v>1900</v>
      </c>
      <c r="H503" s="13">
        <v>670190997777</v>
      </c>
      <c r="I503" s="10" t="s">
        <v>1901</v>
      </c>
    </row>
    <row r="504" spans="1:9" ht="30" hidden="1" customHeight="1">
      <c r="A504" s="5">
        <v>487</v>
      </c>
      <c r="B504" s="9" t="s">
        <v>1906</v>
      </c>
      <c r="C504" s="20" t="s">
        <v>2119</v>
      </c>
      <c r="D504" s="11">
        <v>0</v>
      </c>
      <c r="E504" s="95">
        <v>900000</v>
      </c>
      <c r="F504" s="12" t="s">
        <v>1907</v>
      </c>
      <c r="G504" s="10" t="s">
        <v>1900</v>
      </c>
      <c r="H504" s="13">
        <v>670190997777</v>
      </c>
      <c r="I504" s="10" t="s">
        <v>1901</v>
      </c>
    </row>
    <row r="505" spans="1:9" ht="30" hidden="1" customHeight="1">
      <c r="A505" s="5">
        <v>488</v>
      </c>
      <c r="B505" s="9" t="s">
        <v>1906</v>
      </c>
      <c r="C505" s="20" t="s">
        <v>2118</v>
      </c>
      <c r="D505" s="11">
        <v>0</v>
      </c>
      <c r="E505" s="95">
        <v>800000</v>
      </c>
      <c r="F505" s="12" t="s">
        <v>1908</v>
      </c>
      <c r="G505" s="10" t="s">
        <v>1900</v>
      </c>
      <c r="H505" s="13">
        <v>670190997777</v>
      </c>
      <c r="I505" s="10" t="s">
        <v>1901</v>
      </c>
    </row>
    <row r="506" spans="1:9" ht="30" hidden="1" customHeight="1">
      <c r="A506" s="5">
        <v>489</v>
      </c>
      <c r="B506" s="9" t="s">
        <v>1909</v>
      </c>
      <c r="C506" s="20" t="s">
        <v>2117</v>
      </c>
      <c r="D506" s="11">
        <v>0</v>
      </c>
      <c r="E506" s="95">
        <v>600000</v>
      </c>
      <c r="F506" s="12" t="s">
        <v>1910</v>
      </c>
      <c r="G506" s="10" t="s">
        <v>1900</v>
      </c>
      <c r="H506" s="13">
        <v>670190997777</v>
      </c>
      <c r="I506" s="10" t="s">
        <v>1901</v>
      </c>
    </row>
    <row r="507" spans="1:9" ht="36" hidden="1" customHeight="1">
      <c r="A507" s="5">
        <v>490</v>
      </c>
      <c r="B507" s="14" t="s">
        <v>1911</v>
      </c>
      <c r="C507" s="22" t="s">
        <v>2116</v>
      </c>
      <c r="D507" s="15">
        <v>0</v>
      </c>
      <c r="E507" s="96">
        <v>800000</v>
      </c>
      <c r="F507" s="16" t="s">
        <v>1912</v>
      </c>
      <c r="G507" s="12" t="s">
        <v>1900</v>
      </c>
      <c r="H507" s="17">
        <v>670190997777</v>
      </c>
      <c r="I507" s="12" t="s">
        <v>1901</v>
      </c>
    </row>
    <row r="508" spans="1:9" ht="30" hidden="1" customHeight="1">
      <c r="A508" s="5">
        <v>491</v>
      </c>
      <c r="B508" s="9" t="s">
        <v>1913</v>
      </c>
      <c r="C508" s="20" t="s">
        <v>2115</v>
      </c>
      <c r="D508" s="11">
        <v>0</v>
      </c>
      <c r="E508" s="95">
        <v>1400000</v>
      </c>
      <c r="F508" s="12" t="s">
        <v>1914</v>
      </c>
      <c r="G508" s="10" t="s">
        <v>1900</v>
      </c>
      <c r="H508" s="13">
        <v>670190997777</v>
      </c>
      <c r="I508" s="10" t="s">
        <v>1901</v>
      </c>
    </row>
    <row r="509" spans="1:9" ht="30" hidden="1" customHeight="1">
      <c r="A509" s="5">
        <v>492</v>
      </c>
      <c r="B509" s="9" t="s">
        <v>1915</v>
      </c>
      <c r="C509" s="20" t="s">
        <v>2114</v>
      </c>
      <c r="D509" s="11">
        <v>0</v>
      </c>
      <c r="E509" s="95">
        <v>400000</v>
      </c>
      <c r="F509" s="12" t="s">
        <v>1916</v>
      </c>
      <c r="G509" s="10" t="s">
        <v>1900</v>
      </c>
      <c r="H509" s="13">
        <v>670190997777</v>
      </c>
      <c r="I509" s="10" t="s">
        <v>1901</v>
      </c>
    </row>
    <row r="510" spans="1:9" ht="30" hidden="1" customHeight="1">
      <c r="A510" s="5">
        <v>493</v>
      </c>
      <c r="B510" s="9" t="s">
        <v>1917</v>
      </c>
      <c r="C510" s="20" t="s">
        <v>2113</v>
      </c>
      <c r="D510" s="11">
        <v>0</v>
      </c>
      <c r="E510" s="95">
        <v>800000</v>
      </c>
      <c r="F510" s="12" t="s">
        <v>1918</v>
      </c>
      <c r="G510" s="10" t="s">
        <v>1900</v>
      </c>
      <c r="H510" s="13">
        <v>670190997777</v>
      </c>
      <c r="I510" s="10" t="s">
        <v>1901</v>
      </c>
    </row>
    <row r="511" spans="1:9" ht="36" hidden="1" customHeight="1">
      <c r="A511" s="5">
        <v>494</v>
      </c>
      <c r="B511" s="14" t="s">
        <v>1919</v>
      </c>
      <c r="C511" s="22" t="s">
        <v>2112</v>
      </c>
      <c r="D511" s="15">
        <v>0</v>
      </c>
      <c r="E511" s="96">
        <v>2500000</v>
      </c>
      <c r="F511" s="16" t="s">
        <v>1920</v>
      </c>
      <c r="G511" s="12" t="s">
        <v>1900</v>
      </c>
      <c r="H511" s="17">
        <v>670190997777</v>
      </c>
      <c r="I511" s="12" t="s">
        <v>1901</v>
      </c>
    </row>
    <row r="512" spans="1:9" ht="30" hidden="1" customHeight="1">
      <c r="A512" s="5">
        <v>495</v>
      </c>
      <c r="B512" s="9" t="s">
        <v>1921</v>
      </c>
      <c r="C512" s="20" t="s">
        <v>2111</v>
      </c>
      <c r="D512" s="11">
        <v>0</v>
      </c>
      <c r="E512" s="95">
        <v>800000</v>
      </c>
      <c r="F512" s="12" t="s">
        <v>1922</v>
      </c>
      <c r="G512" s="10" t="s">
        <v>1900</v>
      </c>
      <c r="H512" s="13">
        <v>670190997777</v>
      </c>
      <c r="I512" s="10" t="s">
        <v>1901</v>
      </c>
    </row>
    <row r="513" spans="1:9" ht="30" hidden="1" customHeight="1">
      <c r="A513" s="5">
        <v>496</v>
      </c>
      <c r="B513" s="9" t="s">
        <v>1923</v>
      </c>
      <c r="C513" s="20" t="s">
        <v>2110</v>
      </c>
      <c r="D513" s="11">
        <v>0</v>
      </c>
      <c r="E513" s="95">
        <v>1500000</v>
      </c>
      <c r="F513" s="12" t="s">
        <v>1924</v>
      </c>
      <c r="G513" s="10" t="s">
        <v>1900</v>
      </c>
      <c r="H513" s="13">
        <v>670190997777</v>
      </c>
      <c r="I513" s="10" t="s">
        <v>1901</v>
      </c>
    </row>
    <row r="514" spans="1:9" ht="30" hidden="1" customHeight="1">
      <c r="A514" s="5">
        <v>497</v>
      </c>
      <c r="B514" s="9" t="s">
        <v>1925</v>
      </c>
      <c r="C514" s="20" t="s">
        <v>2109</v>
      </c>
      <c r="D514" s="11">
        <v>0</v>
      </c>
      <c r="E514" s="95">
        <v>900000</v>
      </c>
      <c r="F514" s="16" t="s">
        <v>1926</v>
      </c>
      <c r="G514" s="10" t="s">
        <v>1900</v>
      </c>
      <c r="H514" s="13">
        <v>670190997777</v>
      </c>
      <c r="I514" s="10" t="s">
        <v>1901</v>
      </c>
    </row>
    <row r="515" spans="1:9" ht="30" hidden="1" customHeight="1">
      <c r="A515" s="5">
        <v>498</v>
      </c>
      <c r="B515" s="9" t="s">
        <v>1927</v>
      </c>
      <c r="C515" s="20" t="s">
        <v>2108</v>
      </c>
      <c r="D515" s="11">
        <v>0</v>
      </c>
      <c r="E515" s="95">
        <v>600000</v>
      </c>
      <c r="F515" s="12" t="s">
        <v>1928</v>
      </c>
      <c r="G515" s="10" t="s">
        <v>1900</v>
      </c>
      <c r="H515" s="13">
        <v>670190997777</v>
      </c>
      <c r="I515" s="10" t="s">
        <v>1901</v>
      </c>
    </row>
    <row r="516" spans="1:9" ht="30" hidden="1" customHeight="1">
      <c r="A516" s="5">
        <v>499</v>
      </c>
      <c r="B516" s="9" t="s">
        <v>1929</v>
      </c>
      <c r="C516" s="20" t="s">
        <v>2107</v>
      </c>
      <c r="D516" s="11">
        <v>0</v>
      </c>
      <c r="E516" s="95">
        <v>1400000</v>
      </c>
      <c r="F516" s="12" t="s">
        <v>1930</v>
      </c>
      <c r="G516" s="10" t="s">
        <v>1900</v>
      </c>
      <c r="H516" s="13">
        <v>670190997777</v>
      </c>
      <c r="I516" s="10" t="s">
        <v>1901</v>
      </c>
    </row>
    <row r="517" spans="1:9" ht="30" hidden="1" customHeight="1">
      <c r="A517" s="5">
        <v>500</v>
      </c>
      <c r="B517" s="9" t="s">
        <v>1931</v>
      </c>
      <c r="C517" s="20" t="s">
        <v>2106</v>
      </c>
      <c r="D517" s="11">
        <v>0</v>
      </c>
      <c r="E517" s="95">
        <v>1700000</v>
      </c>
      <c r="F517" s="12" t="s">
        <v>1932</v>
      </c>
      <c r="G517" s="10" t="s">
        <v>1900</v>
      </c>
      <c r="H517" s="13">
        <v>670190997777</v>
      </c>
      <c r="I517" s="10" t="s">
        <v>1901</v>
      </c>
    </row>
    <row r="518" spans="1:9" ht="30" hidden="1" customHeight="1">
      <c r="A518" s="5">
        <v>501</v>
      </c>
      <c r="B518" s="9" t="s">
        <v>1933</v>
      </c>
      <c r="C518" s="20" t="s">
        <v>2105</v>
      </c>
      <c r="D518" s="11">
        <v>0</v>
      </c>
      <c r="E518" s="95">
        <v>800000</v>
      </c>
      <c r="F518" s="12" t="s">
        <v>1934</v>
      </c>
      <c r="G518" s="10" t="s">
        <v>1900</v>
      </c>
      <c r="H518" s="13">
        <v>670190997777</v>
      </c>
      <c r="I518" s="10" t="s">
        <v>1901</v>
      </c>
    </row>
    <row r="519" spans="1:9" ht="36" hidden="1" customHeight="1">
      <c r="A519" s="5">
        <v>502</v>
      </c>
      <c r="B519" s="14" t="s">
        <v>1935</v>
      </c>
      <c r="C519" s="22" t="s">
        <v>2104</v>
      </c>
      <c r="D519" s="15">
        <v>0</v>
      </c>
      <c r="E519" s="96">
        <v>1400000</v>
      </c>
      <c r="F519" s="16" t="s">
        <v>1936</v>
      </c>
      <c r="G519" s="12" t="s">
        <v>1900</v>
      </c>
      <c r="H519" s="17">
        <v>670190997777</v>
      </c>
      <c r="I519" s="12" t="s">
        <v>1901</v>
      </c>
    </row>
    <row r="520" spans="1:9" ht="30" hidden="1" customHeight="1">
      <c r="A520" s="5">
        <v>503</v>
      </c>
      <c r="B520" s="9" t="s">
        <v>1937</v>
      </c>
      <c r="C520" s="20" t="s">
        <v>2103</v>
      </c>
      <c r="D520" s="11">
        <v>0</v>
      </c>
      <c r="E520" s="95">
        <v>900000</v>
      </c>
      <c r="F520" s="12" t="s">
        <v>1938</v>
      </c>
      <c r="G520" s="10" t="s">
        <v>1900</v>
      </c>
      <c r="H520" s="13">
        <v>670190997777</v>
      </c>
      <c r="I520" s="10" t="s">
        <v>1901</v>
      </c>
    </row>
    <row r="521" spans="1:9" ht="30" hidden="1" customHeight="1">
      <c r="A521" s="5">
        <v>504</v>
      </c>
      <c r="B521" s="9" t="s">
        <v>1939</v>
      </c>
      <c r="C521" s="20" t="s">
        <v>2102</v>
      </c>
      <c r="D521" s="11">
        <v>0</v>
      </c>
      <c r="E521" s="95">
        <v>600000</v>
      </c>
      <c r="F521" s="12" t="s">
        <v>1940</v>
      </c>
      <c r="G521" s="10" t="s">
        <v>1900</v>
      </c>
      <c r="H521" s="13">
        <v>670190997777</v>
      </c>
      <c r="I521" s="10" t="s">
        <v>1901</v>
      </c>
    </row>
    <row r="522" spans="1:9" ht="30" hidden="1" customHeight="1">
      <c r="A522" s="5">
        <v>505</v>
      </c>
      <c r="B522" s="9" t="s">
        <v>1941</v>
      </c>
      <c r="C522" s="20" t="s">
        <v>2101</v>
      </c>
      <c r="D522" s="11">
        <v>0</v>
      </c>
      <c r="E522" s="95">
        <v>800000</v>
      </c>
      <c r="F522" s="12" t="s">
        <v>1942</v>
      </c>
      <c r="G522" s="10" t="s">
        <v>1900</v>
      </c>
      <c r="H522" s="13">
        <v>670190997777</v>
      </c>
      <c r="I522" s="10" t="s">
        <v>1901</v>
      </c>
    </row>
    <row r="523" spans="1:9" ht="30" hidden="1" customHeight="1">
      <c r="A523" s="5">
        <v>506</v>
      </c>
      <c r="B523" s="9" t="s">
        <v>1943</v>
      </c>
      <c r="C523" s="20" t="s">
        <v>2100</v>
      </c>
      <c r="D523" s="11">
        <v>0</v>
      </c>
      <c r="E523" s="95">
        <v>1100000</v>
      </c>
      <c r="F523" s="12" t="s">
        <v>1944</v>
      </c>
      <c r="G523" s="10" t="s">
        <v>1900</v>
      </c>
      <c r="H523" s="13">
        <v>670190997777</v>
      </c>
      <c r="I523" s="10" t="s">
        <v>1901</v>
      </c>
    </row>
    <row r="524" spans="1:9" ht="30" hidden="1" customHeight="1">
      <c r="A524" s="5">
        <v>507</v>
      </c>
      <c r="B524" s="9" t="s">
        <v>1945</v>
      </c>
      <c r="C524" s="20" t="s">
        <v>2099</v>
      </c>
      <c r="D524" s="11">
        <v>0</v>
      </c>
      <c r="E524" s="95">
        <v>700000</v>
      </c>
      <c r="F524" s="12" t="s">
        <v>1946</v>
      </c>
      <c r="G524" s="10" t="s">
        <v>1900</v>
      </c>
      <c r="H524" s="13">
        <v>670190997777</v>
      </c>
      <c r="I524" s="10" t="s">
        <v>1901</v>
      </c>
    </row>
    <row r="525" spans="1:9" ht="30" hidden="1" customHeight="1">
      <c r="A525" s="5">
        <v>508</v>
      </c>
      <c r="B525" s="9" t="s">
        <v>1947</v>
      </c>
      <c r="C525" s="20" t="s">
        <v>2098</v>
      </c>
      <c r="D525" s="11">
        <v>0</v>
      </c>
      <c r="E525" s="95">
        <v>1000000</v>
      </c>
      <c r="F525" s="12" t="s">
        <v>1948</v>
      </c>
      <c r="G525" s="10" t="s">
        <v>1900</v>
      </c>
      <c r="H525" s="13">
        <v>670190997777</v>
      </c>
      <c r="I525" s="10" t="s">
        <v>1901</v>
      </c>
    </row>
    <row r="526" spans="1:9" ht="30" hidden="1" customHeight="1">
      <c r="A526" s="5">
        <v>509</v>
      </c>
      <c r="B526" s="9" t="s">
        <v>1949</v>
      </c>
      <c r="C526" s="20" t="s">
        <v>2097</v>
      </c>
      <c r="D526" s="11">
        <v>0</v>
      </c>
      <c r="E526" s="95">
        <v>1400000</v>
      </c>
      <c r="F526" s="12" t="s">
        <v>1950</v>
      </c>
      <c r="G526" s="10" t="s">
        <v>1900</v>
      </c>
      <c r="H526" s="13">
        <v>670190997777</v>
      </c>
      <c r="I526" s="10" t="s">
        <v>1901</v>
      </c>
    </row>
    <row r="527" spans="1:9" ht="30" hidden="1" customHeight="1">
      <c r="A527" s="5">
        <v>510</v>
      </c>
      <c r="B527" s="9" t="s">
        <v>1951</v>
      </c>
      <c r="C527" s="20" t="s">
        <v>2096</v>
      </c>
      <c r="D527" s="11">
        <v>0</v>
      </c>
      <c r="E527" s="95">
        <v>500000</v>
      </c>
      <c r="F527" s="12" t="s">
        <v>1952</v>
      </c>
      <c r="G527" s="10" t="s">
        <v>1900</v>
      </c>
      <c r="H527" s="13">
        <v>670190997777</v>
      </c>
      <c r="I527" s="10" t="s">
        <v>1901</v>
      </c>
    </row>
    <row r="528" spans="1:9" ht="30" hidden="1" customHeight="1">
      <c r="A528" s="5">
        <v>511</v>
      </c>
      <c r="B528" s="9" t="s">
        <v>1953</v>
      </c>
      <c r="C528" s="20" t="s">
        <v>2095</v>
      </c>
      <c r="D528" s="11">
        <v>0</v>
      </c>
      <c r="E528" s="95">
        <v>800000</v>
      </c>
      <c r="F528" s="12" t="s">
        <v>1954</v>
      </c>
      <c r="G528" s="10" t="s">
        <v>1900</v>
      </c>
      <c r="H528" s="13">
        <v>670190997777</v>
      </c>
      <c r="I528" s="10" t="s">
        <v>1901</v>
      </c>
    </row>
    <row r="529" spans="1:9" ht="30" hidden="1" customHeight="1">
      <c r="A529" s="5">
        <v>512</v>
      </c>
      <c r="B529" s="9" t="s">
        <v>1955</v>
      </c>
      <c r="C529" s="20" t="s">
        <v>2094</v>
      </c>
      <c r="D529" s="11">
        <v>0</v>
      </c>
      <c r="E529" s="95">
        <v>1300000</v>
      </c>
      <c r="F529" s="12" t="s">
        <v>1956</v>
      </c>
      <c r="G529" s="10" t="s">
        <v>1900</v>
      </c>
      <c r="H529" s="13">
        <v>670190997777</v>
      </c>
      <c r="I529" s="10" t="s">
        <v>1901</v>
      </c>
    </row>
    <row r="530" spans="1:9" ht="30" hidden="1" customHeight="1">
      <c r="A530" s="5">
        <v>513</v>
      </c>
      <c r="B530" s="9" t="s">
        <v>1957</v>
      </c>
      <c r="C530" s="20" t="s">
        <v>2093</v>
      </c>
      <c r="D530" s="11">
        <v>0</v>
      </c>
      <c r="E530" s="95">
        <v>2500000</v>
      </c>
      <c r="F530" s="12" t="s">
        <v>1958</v>
      </c>
      <c r="G530" s="10" t="s">
        <v>1900</v>
      </c>
      <c r="H530" s="13">
        <v>670190997777</v>
      </c>
      <c r="I530" s="10" t="s">
        <v>1901</v>
      </c>
    </row>
    <row r="531" spans="1:9" ht="36" hidden="1" customHeight="1">
      <c r="A531" s="5">
        <v>514</v>
      </c>
      <c r="B531" s="14" t="s">
        <v>1959</v>
      </c>
      <c r="C531" s="22" t="s">
        <v>2092</v>
      </c>
      <c r="D531" s="15">
        <v>0</v>
      </c>
      <c r="E531" s="96">
        <v>900000</v>
      </c>
      <c r="F531" s="16" t="s">
        <v>1960</v>
      </c>
      <c r="G531" s="12" t="s">
        <v>1900</v>
      </c>
      <c r="H531" s="17">
        <v>670190997777</v>
      </c>
      <c r="I531" s="12" t="s">
        <v>1901</v>
      </c>
    </row>
    <row r="532" spans="1:9" ht="30" hidden="1" customHeight="1">
      <c r="A532" s="5">
        <v>515</v>
      </c>
      <c r="B532" s="9" t="s">
        <v>1961</v>
      </c>
      <c r="C532" s="20" t="s">
        <v>2091</v>
      </c>
      <c r="D532" s="11">
        <v>0</v>
      </c>
      <c r="E532" s="95">
        <v>2400000</v>
      </c>
      <c r="F532" s="12" t="s">
        <v>1962</v>
      </c>
      <c r="G532" s="10" t="s">
        <v>1900</v>
      </c>
      <c r="H532" s="13">
        <v>670190997777</v>
      </c>
      <c r="I532" s="10" t="s">
        <v>1901</v>
      </c>
    </row>
    <row r="533" spans="1:9" ht="36" hidden="1" customHeight="1">
      <c r="A533" s="5">
        <v>516</v>
      </c>
      <c r="B533" s="14" t="s">
        <v>1963</v>
      </c>
      <c r="C533" s="22" t="s">
        <v>2090</v>
      </c>
      <c r="D533" s="15">
        <v>0</v>
      </c>
      <c r="E533" s="96">
        <v>1400000</v>
      </c>
      <c r="F533" s="16" t="s">
        <v>1964</v>
      </c>
      <c r="G533" s="12" t="s">
        <v>1900</v>
      </c>
      <c r="H533" s="17">
        <v>670190997777</v>
      </c>
      <c r="I533" s="12" t="s">
        <v>1901</v>
      </c>
    </row>
    <row r="534" spans="1:9" ht="36" hidden="1" customHeight="1">
      <c r="A534" s="5">
        <v>517</v>
      </c>
      <c r="B534" s="14" t="s">
        <v>1965</v>
      </c>
      <c r="C534" s="22" t="s">
        <v>2089</v>
      </c>
      <c r="D534" s="15">
        <v>0</v>
      </c>
      <c r="E534" s="96">
        <v>600000</v>
      </c>
      <c r="F534" s="16" t="s">
        <v>1966</v>
      </c>
      <c r="G534" s="12" t="s">
        <v>1900</v>
      </c>
      <c r="H534" s="17">
        <v>670190997777</v>
      </c>
      <c r="I534" s="12" t="s">
        <v>1901</v>
      </c>
    </row>
    <row r="535" spans="1:9" ht="30" hidden="1" customHeight="1">
      <c r="A535" s="5">
        <v>518</v>
      </c>
      <c r="B535" s="9" t="s">
        <v>1967</v>
      </c>
      <c r="C535" s="20" t="s">
        <v>2088</v>
      </c>
      <c r="D535" s="11">
        <v>0</v>
      </c>
      <c r="E535" s="95">
        <v>2300000</v>
      </c>
      <c r="F535" s="12" t="s">
        <v>1968</v>
      </c>
      <c r="G535" s="10" t="s">
        <v>1900</v>
      </c>
      <c r="H535" s="13">
        <v>670190997777</v>
      </c>
      <c r="I535" s="10" t="s">
        <v>1901</v>
      </c>
    </row>
    <row r="536" spans="1:9" ht="30" hidden="1" customHeight="1">
      <c r="A536" s="5">
        <v>519</v>
      </c>
      <c r="B536" s="9" t="s">
        <v>1969</v>
      </c>
      <c r="C536" s="20" t="s">
        <v>2087</v>
      </c>
      <c r="D536" s="11">
        <v>0</v>
      </c>
      <c r="E536" s="95">
        <v>500000</v>
      </c>
      <c r="F536" s="12" t="s">
        <v>1970</v>
      </c>
      <c r="G536" s="10" t="s">
        <v>1900</v>
      </c>
      <c r="H536" s="13">
        <v>670190997777</v>
      </c>
      <c r="I536" s="10" t="s">
        <v>1901</v>
      </c>
    </row>
    <row r="537" spans="1:9" ht="30" hidden="1" customHeight="1">
      <c r="A537" s="5">
        <v>520</v>
      </c>
      <c r="B537" s="9" t="s">
        <v>1971</v>
      </c>
      <c r="C537" s="20" t="s">
        <v>2085</v>
      </c>
      <c r="D537" s="11">
        <v>0</v>
      </c>
      <c r="E537" s="95">
        <v>1400000</v>
      </c>
      <c r="F537" s="12" t="s">
        <v>1972</v>
      </c>
      <c r="G537" s="10" t="s">
        <v>1900</v>
      </c>
      <c r="H537" s="13">
        <v>670190997777</v>
      </c>
      <c r="I537" s="10" t="s">
        <v>1901</v>
      </c>
    </row>
    <row r="538" spans="1:9" ht="30" hidden="1" customHeight="1">
      <c r="A538" s="5">
        <v>521</v>
      </c>
      <c r="B538" s="9" t="s">
        <v>1973</v>
      </c>
      <c r="C538" s="20" t="s">
        <v>2084</v>
      </c>
      <c r="D538" s="11">
        <v>0</v>
      </c>
      <c r="E538" s="95">
        <v>800000</v>
      </c>
      <c r="F538" s="12" t="s">
        <v>1974</v>
      </c>
      <c r="G538" s="10" t="s">
        <v>1900</v>
      </c>
      <c r="H538" s="13">
        <v>670190997777</v>
      </c>
      <c r="I538" s="10" t="s">
        <v>1901</v>
      </c>
    </row>
    <row r="539" spans="1:9" ht="30" hidden="1" customHeight="1">
      <c r="A539" s="5">
        <v>522</v>
      </c>
      <c r="B539" s="9" t="s">
        <v>1975</v>
      </c>
      <c r="C539" s="20" t="s">
        <v>2083</v>
      </c>
      <c r="D539" s="11">
        <v>0</v>
      </c>
      <c r="E539" s="95">
        <v>600000</v>
      </c>
      <c r="F539" s="12" t="s">
        <v>1976</v>
      </c>
      <c r="G539" s="10" t="s">
        <v>1900</v>
      </c>
      <c r="H539" s="13">
        <v>670190997777</v>
      </c>
      <c r="I539" s="10" t="s">
        <v>1901</v>
      </c>
    </row>
    <row r="540" spans="1:9" ht="30" hidden="1" customHeight="1">
      <c r="A540" s="5">
        <v>523</v>
      </c>
      <c r="B540" s="9" t="s">
        <v>1977</v>
      </c>
      <c r="C540" s="20" t="s">
        <v>2082</v>
      </c>
      <c r="D540" s="11">
        <v>0</v>
      </c>
      <c r="E540" s="95">
        <v>1300000</v>
      </c>
      <c r="F540" s="12" t="s">
        <v>1978</v>
      </c>
      <c r="G540" s="10" t="s">
        <v>1900</v>
      </c>
      <c r="H540" s="13">
        <v>670190997777</v>
      </c>
      <c r="I540" s="10" t="s">
        <v>1901</v>
      </c>
    </row>
    <row r="541" spans="1:9" ht="30" hidden="1" customHeight="1">
      <c r="A541" s="5">
        <v>524</v>
      </c>
      <c r="B541" s="9" t="s">
        <v>1979</v>
      </c>
      <c r="C541" s="20" t="s">
        <v>2081</v>
      </c>
      <c r="D541" s="11">
        <v>0</v>
      </c>
      <c r="E541" s="95">
        <v>1400000</v>
      </c>
      <c r="F541" s="12" t="s">
        <v>1980</v>
      </c>
      <c r="G541" s="10" t="s">
        <v>1900</v>
      </c>
      <c r="H541" s="13">
        <v>670190997777</v>
      </c>
      <c r="I541" s="10" t="s">
        <v>1901</v>
      </c>
    </row>
    <row r="542" spans="1:9" ht="30" hidden="1" customHeight="1">
      <c r="A542" s="5">
        <v>525</v>
      </c>
      <c r="B542" s="9" t="s">
        <v>1981</v>
      </c>
      <c r="C542" s="20" t="s">
        <v>2080</v>
      </c>
      <c r="D542" s="11">
        <v>0</v>
      </c>
      <c r="E542" s="95">
        <v>1300000</v>
      </c>
      <c r="F542" s="12" t="s">
        <v>1982</v>
      </c>
      <c r="G542" s="10" t="s">
        <v>1900</v>
      </c>
      <c r="H542" s="13">
        <v>670190997777</v>
      </c>
      <c r="I542" s="10" t="s">
        <v>1901</v>
      </c>
    </row>
    <row r="543" spans="1:9" ht="30" hidden="1" customHeight="1">
      <c r="A543" s="5">
        <v>526</v>
      </c>
      <c r="B543" s="9" t="s">
        <v>1983</v>
      </c>
      <c r="C543" s="20" t="s">
        <v>2079</v>
      </c>
      <c r="D543" s="11">
        <v>0</v>
      </c>
      <c r="E543" s="95">
        <v>900000</v>
      </c>
      <c r="F543" s="12" t="s">
        <v>1984</v>
      </c>
      <c r="G543" s="10" t="s">
        <v>1900</v>
      </c>
      <c r="H543" s="13">
        <v>670190997777</v>
      </c>
      <c r="I543" s="10" t="s">
        <v>1901</v>
      </c>
    </row>
    <row r="544" spans="1:9" ht="30" hidden="1" customHeight="1">
      <c r="A544" s="5">
        <v>527</v>
      </c>
      <c r="B544" s="9" t="s">
        <v>1985</v>
      </c>
      <c r="C544" s="20" t="s">
        <v>2078</v>
      </c>
      <c r="D544" s="11">
        <v>0</v>
      </c>
      <c r="E544" s="95">
        <v>400000</v>
      </c>
      <c r="F544" s="12" t="s">
        <v>1986</v>
      </c>
      <c r="G544" s="10" t="s">
        <v>1900</v>
      </c>
      <c r="H544" s="13">
        <v>670190997777</v>
      </c>
      <c r="I544" s="10" t="s">
        <v>1901</v>
      </c>
    </row>
    <row r="545" spans="1:11" ht="30" hidden="1" customHeight="1">
      <c r="A545" s="5">
        <v>528</v>
      </c>
      <c r="B545" s="9" t="s">
        <v>1987</v>
      </c>
      <c r="C545" s="20" t="s">
        <v>2077</v>
      </c>
      <c r="D545" s="11">
        <v>0</v>
      </c>
      <c r="E545" s="95">
        <v>500000</v>
      </c>
      <c r="F545" s="12" t="s">
        <v>1988</v>
      </c>
      <c r="G545" s="10" t="s">
        <v>1900</v>
      </c>
      <c r="H545" s="13">
        <v>670190997777</v>
      </c>
      <c r="I545" s="10" t="s">
        <v>1901</v>
      </c>
    </row>
    <row r="546" spans="1:11" ht="30" hidden="1" customHeight="1">
      <c r="A546" s="5">
        <v>529</v>
      </c>
      <c r="B546" s="9" t="s">
        <v>1989</v>
      </c>
      <c r="C546" s="20" t="s">
        <v>2076</v>
      </c>
      <c r="D546" s="11">
        <v>0</v>
      </c>
      <c r="E546" s="95">
        <v>500000</v>
      </c>
      <c r="F546" s="12" t="s">
        <v>1990</v>
      </c>
      <c r="G546" s="10" t="s">
        <v>1900</v>
      </c>
      <c r="H546" s="13">
        <v>670190997777</v>
      </c>
      <c r="I546" s="10" t="s">
        <v>1901</v>
      </c>
    </row>
    <row r="547" spans="1:11" ht="30" hidden="1" customHeight="1">
      <c r="A547" s="5">
        <v>530</v>
      </c>
      <c r="B547" s="9" t="s">
        <v>1991</v>
      </c>
      <c r="C547" s="20" t="s">
        <v>2075</v>
      </c>
      <c r="D547" s="11">
        <v>0</v>
      </c>
      <c r="E547" s="95">
        <v>500000</v>
      </c>
      <c r="F547" s="12" t="s">
        <v>1992</v>
      </c>
      <c r="G547" s="10" t="s">
        <v>1900</v>
      </c>
      <c r="H547" s="13">
        <v>670190997777</v>
      </c>
      <c r="I547" s="10" t="s">
        <v>1901</v>
      </c>
    </row>
    <row r="548" spans="1:11" ht="36" hidden="1" customHeight="1">
      <c r="A548" s="5">
        <v>531</v>
      </c>
      <c r="B548" s="14" t="s">
        <v>1993</v>
      </c>
      <c r="C548" s="22" t="s">
        <v>2074</v>
      </c>
      <c r="D548" s="15">
        <v>0</v>
      </c>
      <c r="E548" s="96">
        <v>600000</v>
      </c>
      <c r="F548" s="16" t="s">
        <v>1994</v>
      </c>
      <c r="G548" s="12" t="s">
        <v>1900</v>
      </c>
      <c r="H548" s="17">
        <v>670190997777</v>
      </c>
      <c r="I548" s="12" t="s">
        <v>1901</v>
      </c>
    </row>
    <row r="549" spans="1:11" ht="36" hidden="1" customHeight="1">
      <c r="A549" s="5">
        <v>532</v>
      </c>
      <c r="B549" s="14" t="s">
        <v>1995</v>
      </c>
      <c r="C549" s="22" t="s">
        <v>2073</v>
      </c>
      <c r="D549" s="15">
        <v>0</v>
      </c>
      <c r="E549" s="96">
        <v>900000</v>
      </c>
      <c r="F549" s="16" t="s">
        <v>1996</v>
      </c>
      <c r="G549" s="12" t="s">
        <v>1900</v>
      </c>
      <c r="H549" s="17">
        <v>670190997777</v>
      </c>
      <c r="I549" s="12" t="s">
        <v>1901</v>
      </c>
    </row>
    <row r="550" spans="1:11" ht="30" hidden="1" customHeight="1">
      <c r="A550" s="5">
        <v>533</v>
      </c>
      <c r="B550" s="9" t="s">
        <v>1997</v>
      </c>
      <c r="C550" s="20" t="s">
        <v>2072</v>
      </c>
      <c r="D550" s="11">
        <v>0</v>
      </c>
      <c r="E550" s="95">
        <v>1000000</v>
      </c>
      <c r="F550" s="12" t="s">
        <v>1998</v>
      </c>
      <c r="G550" s="10" t="s">
        <v>1900</v>
      </c>
      <c r="H550" s="13">
        <v>670190997777</v>
      </c>
      <c r="I550" s="10" t="s">
        <v>1901</v>
      </c>
    </row>
    <row r="551" spans="1:11" ht="30" hidden="1" customHeight="1">
      <c r="A551" s="5">
        <v>534</v>
      </c>
      <c r="B551" s="9" t="s">
        <v>1999</v>
      </c>
      <c r="C551" s="20" t="s">
        <v>2071</v>
      </c>
      <c r="D551" s="11">
        <v>0</v>
      </c>
      <c r="E551" s="95">
        <v>900000</v>
      </c>
      <c r="F551" s="12" t="s">
        <v>2000</v>
      </c>
      <c r="G551" s="10" t="s">
        <v>1900</v>
      </c>
      <c r="H551" s="13">
        <v>670190997777</v>
      </c>
      <c r="I551" s="10" t="s">
        <v>1901</v>
      </c>
    </row>
    <row r="552" spans="1:11" ht="36" hidden="1" customHeight="1">
      <c r="A552" s="5">
        <v>535</v>
      </c>
      <c r="B552" s="14" t="s">
        <v>2001</v>
      </c>
      <c r="C552" s="22" t="s">
        <v>2070</v>
      </c>
      <c r="D552" s="15">
        <v>0</v>
      </c>
      <c r="E552" s="96">
        <v>900000</v>
      </c>
      <c r="F552" s="16" t="s">
        <v>2002</v>
      </c>
      <c r="G552" s="12" t="s">
        <v>1900</v>
      </c>
      <c r="H552" s="17">
        <v>670190997777</v>
      </c>
      <c r="I552" s="12" t="s">
        <v>1901</v>
      </c>
    </row>
    <row r="553" spans="1:11" ht="30" hidden="1" customHeight="1">
      <c r="A553" s="5">
        <v>536</v>
      </c>
      <c r="B553" s="9" t="s">
        <v>2003</v>
      </c>
      <c r="C553" s="20" t="s">
        <v>2069</v>
      </c>
      <c r="D553" s="11">
        <v>0</v>
      </c>
      <c r="E553" s="95">
        <v>300000</v>
      </c>
      <c r="F553" s="12" t="s">
        <v>2004</v>
      </c>
      <c r="G553" s="10" t="s">
        <v>1900</v>
      </c>
      <c r="H553" s="13">
        <v>670190997777</v>
      </c>
      <c r="I553" s="10" t="s">
        <v>1901</v>
      </c>
      <c r="J553" s="2" t="s">
        <v>6079</v>
      </c>
      <c r="K553" s="2"/>
    </row>
    <row r="554" spans="1:11" ht="30" hidden="1" customHeight="1">
      <c r="A554" s="5">
        <v>537</v>
      </c>
      <c r="B554" s="9" t="s">
        <v>2005</v>
      </c>
      <c r="C554" s="20" t="s">
        <v>2068</v>
      </c>
      <c r="D554" s="11">
        <v>0</v>
      </c>
      <c r="E554" s="95">
        <v>600000</v>
      </c>
      <c r="F554" s="12" t="s">
        <v>2006</v>
      </c>
      <c r="G554" s="10" t="s">
        <v>1900</v>
      </c>
      <c r="H554" s="13">
        <v>670190997777</v>
      </c>
      <c r="I554" s="10" t="s">
        <v>1901</v>
      </c>
    </row>
    <row r="555" spans="1:11" ht="30" hidden="1" customHeight="1">
      <c r="A555" s="5">
        <v>538</v>
      </c>
      <c r="B555" s="9" t="s">
        <v>2007</v>
      </c>
      <c r="C555" s="20" t="s">
        <v>2067</v>
      </c>
      <c r="D555" s="11">
        <v>0</v>
      </c>
      <c r="E555" s="95">
        <v>300000</v>
      </c>
      <c r="F555" s="12" t="s">
        <v>2008</v>
      </c>
      <c r="G555" s="10" t="s">
        <v>1900</v>
      </c>
      <c r="H555" s="13">
        <v>670190997777</v>
      </c>
      <c r="I555" s="10" t="s">
        <v>1901</v>
      </c>
    </row>
    <row r="556" spans="1:11" ht="30" hidden="1" customHeight="1">
      <c r="A556" s="5">
        <v>539</v>
      </c>
      <c r="B556" s="9" t="s">
        <v>2009</v>
      </c>
      <c r="C556" s="20" t="s">
        <v>2066</v>
      </c>
      <c r="D556" s="11">
        <v>0</v>
      </c>
      <c r="E556" s="95">
        <v>1700000</v>
      </c>
      <c r="F556" s="16" t="s">
        <v>2010</v>
      </c>
      <c r="G556" s="10" t="s">
        <v>1900</v>
      </c>
      <c r="H556" s="13">
        <v>670190997777</v>
      </c>
      <c r="I556" s="10" t="s">
        <v>1901</v>
      </c>
    </row>
    <row r="557" spans="1:11" ht="36" hidden="1" customHeight="1">
      <c r="A557" s="5">
        <v>540</v>
      </c>
      <c r="B557" s="14" t="s">
        <v>2011</v>
      </c>
      <c r="C557" s="22" t="s">
        <v>2065</v>
      </c>
      <c r="D557" s="15">
        <v>0</v>
      </c>
      <c r="E557" s="96">
        <v>500000</v>
      </c>
      <c r="F557" s="16" t="s">
        <v>2012</v>
      </c>
      <c r="G557" s="12" t="s">
        <v>1900</v>
      </c>
      <c r="H557" s="17">
        <v>670190997777</v>
      </c>
      <c r="I557" s="12" t="s">
        <v>1901</v>
      </c>
    </row>
    <row r="558" spans="1:11" ht="30" hidden="1" customHeight="1">
      <c r="A558" s="5">
        <v>541</v>
      </c>
      <c r="B558" s="9" t="s">
        <v>2013</v>
      </c>
      <c r="C558" s="20" t="s">
        <v>2064</v>
      </c>
      <c r="D558" s="11">
        <v>0</v>
      </c>
      <c r="E558" s="95">
        <v>800000</v>
      </c>
      <c r="F558" s="12" t="s">
        <v>2014</v>
      </c>
      <c r="G558" s="10" t="s">
        <v>1900</v>
      </c>
      <c r="H558" s="13">
        <v>670190997777</v>
      </c>
      <c r="I558" s="10" t="s">
        <v>1901</v>
      </c>
    </row>
    <row r="559" spans="1:11" ht="30" hidden="1" customHeight="1">
      <c r="A559" s="5">
        <v>542</v>
      </c>
      <c r="B559" s="9" t="s">
        <v>2015</v>
      </c>
      <c r="C559" s="20" t="s">
        <v>2063</v>
      </c>
      <c r="D559" s="11">
        <v>0</v>
      </c>
      <c r="E559" s="95">
        <v>1400000</v>
      </c>
      <c r="F559" s="12" t="s">
        <v>2016</v>
      </c>
      <c r="G559" s="10" t="s">
        <v>1900</v>
      </c>
      <c r="H559" s="13">
        <v>670190997777</v>
      </c>
      <c r="I559" s="10" t="s">
        <v>1901</v>
      </c>
    </row>
    <row r="560" spans="1:11" ht="36" hidden="1" customHeight="1">
      <c r="A560" s="5">
        <v>543</v>
      </c>
      <c r="B560" s="14" t="s">
        <v>2017</v>
      </c>
      <c r="C560" s="22" t="s">
        <v>2062</v>
      </c>
      <c r="D560" s="15">
        <v>0</v>
      </c>
      <c r="E560" s="96">
        <v>1200000</v>
      </c>
      <c r="F560" s="16" t="s">
        <v>2018</v>
      </c>
      <c r="G560" s="12" t="s">
        <v>1900</v>
      </c>
      <c r="H560" s="17">
        <v>670190997777</v>
      </c>
      <c r="I560" s="12" t="s">
        <v>1901</v>
      </c>
    </row>
    <row r="561" spans="1:12" ht="30" hidden="1" customHeight="1">
      <c r="A561" s="5">
        <v>544</v>
      </c>
      <c r="B561" s="9" t="s">
        <v>2019</v>
      </c>
      <c r="C561" s="20" t="s">
        <v>2061</v>
      </c>
      <c r="D561" s="11">
        <v>0</v>
      </c>
      <c r="E561" s="95">
        <v>800000</v>
      </c>
      <c r="F561" s="12" t="s">
        <v>2020</v>
      </c>
      <c r="G561" s="10" t="s">
        <v>1900</v>
      </c>
      <c r="H561" s="13">
        <v>670190997777</v>
      </c>
      <c r="I561" s="10" t="s">
        <v>1901</v>
      </c>
    </row>
    <row r="562" spans="1:12" ht="36" hidden="1" customHeight="1">
      <c r="A562" s="5">
        <v>545</v>
      </c>
      <c r="B562" s="14" t="s">
        <v>2021</v>
      </c>
      <c r="C562" s="22" t="s">
        <v>2060</v>
      </c>
      <c r="D562" s="15">
        <v>0</v>
      </c>
      <c r="E562" s="96">
        <v>700000</v>
      </c>
      <c r="F562" s="16" t="s">
        <v>2022</v>
      </c>
      <c r="G562" s="12" t="s">
        <v>1900</v>
      </c>
      <c r="H562" s="17">
        <v>670190997777</v>
      </c>
      <c r="I562" s="12" t="s">
        <v>1901</v>
      </c>
    </row>
    <row r="563" spans="1:12" ht="30" hidden="1" customHeight="1">
      <c r="A563" s="5">
        <v>546</v>
      </c>
      <c r="B563" s="9" t="s">
        <v>2023</v>
      </c>
      <c r="C563" s="20" t="s">
        <v>2059</v>
      </c>
      <c r="D563" s="11">
        <v>0</v>
      </c>
      <c r="E563" s="95">
        <v>2500000</v>
      </c>
      <c r="F563" s="12" t="s">
        <v>2024</v>
      </c>
      <c r="G563" s="10" t="s">
        <v>1900</v>
      </c>
      <c r="H563" s="13">
        <v>670190997777</v>
      </c>
      <c r="I563" s="10" t="s">
        <v>1901</v>
      </c>
    </row>
    <row r="564" spans="1:12" ht="30" hidden="1" customHeight="1">
      <c r="A564" s="5">
        <v>547</v>
      </c>
      <c r="B564" s="9" t="s">
        <v>2025</v>
      </c>
      <c r="C564" s="20" t="s">
        <v>2058</v>
      </c>
      <c r="D564" s="11">
        <v>0</v>
      </c>
      <c r="E564" s="95">
        <v>800000</v>
      </c>
      <c r="F564" s="12" t="s">
        <v>2026</v>
      </c>
      <c r="G564" s="10" t="s">
        <v>1900</v>
      </c>
      <c r="H564" s="13">
        <v>670190997777</v>
      </c>
      <c r="I564" s="10" t="s">
        <v>1901</v>
      </c>
    </row>
    <row r="565" spans="1:12" ht="30" hidden="1" customHeight="1">
      <c r="A565" s="5">
        <v>548</v>
      </c>
      <c r="B565" s="9" t="s">
        <v>2027</v>
      </c>
      <c r="C565" s="20" t="s">
        <v>2057</v>
      </c>
      <c r="D565" s="11">
        <v>0</v>
      </c>
      <c r="E565" s="95">
        <v>600000</v>
      </c>
      <c r="F565" s="12" t="s">
        <v>2028</v>
      </c>
      <c r="G565" s="10" t="s">
        <v>1900</v>
      </c>
      <c r="H565" s="13">
        <v>670190997777</v>
      </c>
      <c r="I565" s="10" t="s">
        <v>1901</v>
      </c>
    </row>
    <row r="566" spans="1:12" ht="30" hidden="1" customHeight="1">
      <c r="A566" s="5">
        <v>549</v>
      </c>
      <c r="B566" s="9" t="s">
        <v>2029</v>
      </c>
      <c r="C566" s="20" t="s">
        <v>2056</v>
      </c>
      <c r="D566" s="11">
        <v>0</v>
      </c>
      <c r="E566" s="95">
        <v>500000</v>
      </c>
      <c r="F566" s="12" t="s">
        <v>2030</v>
      </c>
      <c r="G566" s="10" t="s">
        <v>1900</v>
      </c>
      <c r="H566" s="13">
        <v>670190997777</v>
      </c>
      <c r="I566" s="10" t="s">
        <v>1901</v>
      </c>
    </row>
    <row r="567" spans="1:12" ht="30" hidden="1" customHeight="1">
      <c r="A567" s="5">
        <v>550</v>
      </c>
      <c r="B567" s="9" t="s">
        <v>2031</v>
      </c>
      <c r="C567" s="20" t="s">
        <v>2055</v>
      </c>
      <c r="D567" s="11">
        <v>0</v>
      </c>
      <c r="E567" s="95">
        <v>1300000</v>
      </c>
      <c r="F567" s="12" t="s">
        <v>2032</v>
      </c>
      <c r="G567" s="10" t="s">
        <v>1900</v>
      </c>
      <c r="H567" s="13">
        <v>670190997777</v>
      </c>
      <c r="I567" s="10" t="s">
        <v>1901</v>
      </c>
    </row>
    <row r="568" spans="1:12" ht="36" hidden="1" customHeight="1">
      <c r="A568" s="5">
        <v>551</v>
      </c>
      <c r="B568" s="14" t="s">
        <v>2033</v>
      </c>
      <c r="C568" s="21" t="s">
        <v>2053</v>
      </c>
      <c r="D568" s="15">
        <v>0</v>
      </c>
      <c r="E568" s="96">
        <v>700000</v>
      </c>
      <c r="F568" s="16" t="s">
        <v>2034</v>
      </c>
      <c r="G568" s="12" t="s">
        <v>1900</v>
      </c>
      <c r="H568" s="17">
        <v>670190997777</v>
      </c>
      <c r="I568" s="12" t="s">
        <v>1901</v>
      </c>
      <c r="J568" s="5" t="s">
        <v>2054</v>
      </c>
    </row>
    <row r="569" spans="1:12" ht="36" hidden="1" customHeight="1">
      <c r="A569" s="5">
        <v>552</v>
      </c>
      <c r="B569" s="14" t="s">
        <v>2033</v>
      </c>
      <c r="C569" s="22" t="s">
        <v>2052</v>
      </c>
      <c r="D569" s="15">
        <v>0</v>
      </c>
      <c r="E569" s="96">
        <v>700000</v>
      </c>
      <c r="F569" s="16" t="s">
        <v>2035</v>
      </c>
      <c r="G569" s="12" t="s">
        <v>1900</v>
      </c>
      <c r="H569" s="17">
        <v>670190997777</v>
      </c>
      <c r="I569" s="12" t="s">
        <v>1901</v>
      </c>
    </row>
    <row r="570" spans="1:12" ht="30" hidden="1" customHeight="1">
      <c r="A570" s="5">
        <v>553</v>
      </c>
      <c r="B570" s="9" t="s">
        <v>2036</v>
      </c>
      <c r="C570" s="20" t="s">
        <v>2051</v>
      </c>
      <c r="D570" s="11">
        <v>0</v>
      </c>
      <c r="E570" s="95">
        <v>400000</v>
      </c>
      <c r="F570" s="12" t="s">
        <v>2037</v>
      </c>
      <c r="G570" s="10" t="s">
        <v>1900</v>
      </c>
      <c r="H570" s="13">
        <v>670190997777</v>
      </c>
      <c r="I570" s="10" t="s">
        <v>1901</v>
      </c>
    </row>
    <row r="571" spans="1:12" ht="30" hidden="1" customHeight="1">
      <c r="A571" s="5">
        <v>554</v>
      </c>
      <c r="B571" s="9" t="s">
        <v>2038</v>
      </c>
      <c r="C571" s="20" t="s">
        <v>2050</v>
      </c>
      <c r="D571" s="11">
        <v>0</v>
      </c>
      <c r="E571" s="95">
        <v>1300000</v>
      </c>
      <c r="F571" s="12" t="s">
        <v>2039</v>
      </c>
      <c r="G571" s="10" t="s">
        <v>1900</v>
      </c>
      <c r="H571" s="13">
        <v>670190997777</v>
      </c>
      <c r="I571" s="10" t="s">
        <v>1901</v>
      </c>
    </row>
    <row r="572" spans="1:12" ht="30" hidden="1" customHeight="1">
      <c r="A572" s="5">
        <v>555</v>
      </c>
      <c r="B572" s="9" t="s">
        <v>2040</v>
      </c>
      <c r="C572" s="20" t="s">
        <v>2049</v>
      </c>
      <c r="D572" s="11">
        <v>0</v>
      </c>
      <c r="E572" s="95">
        <v>900000</v>
      </c>
      <c r="F572" s="12" t="s">
        <v>2041</v>
      </c>
      <c r="G572" s="10" t="s">
        <v>1900</v>
      </c>
      <c r="H572" s="13">
        <v>670190997777</v>
      </c>
      <c r="I572" s="10" t="s">
        <v>1901</v>
      </c>
    </row>
    <row r="573" spans="1:12" ht="30" hidden="1" customHeight="1">
      <c r="A573" s="5">
        <v>556</v>
      </c>
      <c r="B573" s="9" t="s">
        <v>2042</v>
      </c>
      <c r="C573" s="20" t="s">
        <v>2048</v>
      </c>
      <c r="D573" s="11">
        <v>0</v>
      </c>
      <c r="E573" s="95">
        <v>500000</v>
      </c>
      <c r="F573" s="12" t="s">
        <v>2043</v>
      </c>
      <c r="G573" s="10" t="s">
        <v>1900</v>
      </c>
      <c r="H573" s="13">
        <v>670190997777</v>
      </c>
      <c r="I573" s="10" t="s">
        <v>1901</v>
      </c>
    </row>
    <row r="574" spans="1:12" ht="30" hidden="1" customHeight="1">
      <c r="A574" s="5">
        <v>557</v>
      </c>
      <c r="B574" s="9" t="s">
        <v>2044</v>
      </c>
      <c r="C574" s="20" t="s">
        <v>2047</v>
      </c>
      <c r="D574" s="11">
        <v>0</v>
      </c>
      <c r="E574" s="95">
        <v>700000</v>
      </c>
      <c r="F574" s="12" t="s">
        <v>2045</v>
      </c>
      <c r="G574" s="10" t="s">
        <v>1900</v>
      </c>
      <c r="H574" s="13">
        <v>670190997777</v>
      </c>
      <c r="I574" s="10" t="s">
        <v>1901</v>
      </c>
    </row>
    <row r="575" spans="1:12" ht="30" hidden="1" customHeight="1">
      <c r="B575" s="212" t="s">
        <v>2046</v>
      </c>
      <c r="C575" s="213"/>
      <c r="D575" s="18">
        <v>0</v>
      </c>
      <c r="E575" s="97">
        <f>SUM(E501:E574)</f>
        <v>72400000</v>
      </c>
      <c r="F575" s="19"/>
      <c r="G575" s="19"/>
      <c r="H575" s="19"/>
      <c r="I575" s="19"/>
    </row>
    <row r="576" spans="1:12" ht="35.4" hidden="1" customHeight="1">
      <c r="B576" s="26" t="s">
        <v>6112</v>
      </c>
      <c r="C576" s="26" t="s">
        <v>6117</v>
      </c>
      <c r="D576" s="26"/>
      <c r="E576" s="142" t="s">
        <v>6113</v>
      </c>
      <c r="F576" s="138" t="s">
        <v>6116</v>
      </c>
      <c r="G576" s="117"/>
      <c r="H576" s="117"/>
      <c r="I576" s="30" t="s">
        <v>3176</v>
      </c>
      <c r="J576" s="44" t="s">
        <v>635</v>
      </c>
      <c r="K576" s="139"/>
      <c r="L576" s="139"/>
    </row>
    <row r="577" spans="2:10" ht="30.6" hidden="1">
      <c r="B577" s="26" t="s">
        <v>6409</v>
      </c>
      <c r="C577" s="26" t="s">
        <v>6413</v>
      </c>
      <c r="D577" s="26"/>
      <c r="E577" s="144">
        <v>700000</v>
      </c>
      <c r="F577" s="26" t="s">
        <v>6412</v>
      </c>
      <c r="G577" s="117"/>
      <c r="H577" s="117"/>
      <c r="I577" s="30" t="s">
        <v>3176</v>
      </c>
      <c r="J577" s="44" t="s">
        <v>635</v>
      </c>
    </row>
  </sheetData>
  <autoFilter ref="C6:J577" xr:uid="{CEAF06AC-B37D-4114-B3E0-A77B904DA506}">
    <filterColumn colId="7">
      <filters>
        <filter val="Ko mã"/>
      </filters>
    </filterColumn>
  </autoFilter>
  <mergeCells count="4">
    <mergeCell ref="B1:J1"/>
    <mergeCell ref="B2:J2"/>
    <mergeCell ref="B3:J3"/>
    <mergeCell ref="B575:C57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EA35F-54DA-46D6-A005-6A89A2B592F5}">
  <sheetPr>
    <tabColor rgb="FFFF0000"/>
  </sheetPr>
  <dimension ref="A1:N413"/>
  <sheetViews>
    <sheetView zoomScale="70" zoomScaleNormal="70" workbookViewId="0">
      <pane xSplit="3" ySplit="1" topLeftCell="D408" activePane="bottomRight" state="frozen"/>
      <selection activeCell="B62" sqref="B62"/>
      <selection pane="topRight" activeCell="B62" sqref="B62"/>
      <selection pane="bottomLeft" activeCell="B62" sqref="B62"/>
      <selection pane="bottomRight" activeCell="B62" sqref="B62"/>
    </sheetView>
  </sheetViews>
  <sheetFormatPr defaultColWidth="8.8984375" defaultRowHeight="13.8"/>
  <cols>
    <col min="1" max="1" width="4.8984375" style="72" customWidth="1"/>
    <col min="2" max="2" width="30.09765625" style="72" customWidth="1"/>
    <col min="3" max="3" width="15.09765625" style="72" customWidth="1"/>
    <col min="4" max="5" width="13.69921875" style="79" customWidth="1"/>
    <col min="6" max="6" width="15.09765625" style="79" customWidth="1"/>
    <col min="7" max="7" width="23.3984375" style="79" customWidth="1"/>
    <col min="8" max="8" width="13.69921875" style="79" customWidth="1"/>
    <col min="9" max="9" width="23.3984375" style="79" customWidth="1"/>
    <col min="10" max="10" width="13.69921875" style="79" customWidth="1"/>
    <col min="11" max="11" width="86.09765625" style="79" customWidth="1"/>
    <col min="12" max="13" width="13.69921875" style="79" customWidth="1"/>
    <col min="14" max="14" width="15.09765625" style="79" customWidth="1"/>
    <col min="15" max="16384" width="8.8984375" style="72"/>
  </cols>
  <sheetData>
    <row r="1" spans="1:14" ht="15.6">
      <c r="A1" s="71" t="s">
        <v>3179</v>
      </c>
      <c r="B1" s="71" t="s">
        <v>3180</v>
      </c>
      <c r="C1" s="71" t="s">
        <v>3181</v>
      </c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</row>
    <row r="2" spans="1:14" s="78" customFormat="1" ht="18">
      <c r="A2" s="74">
        <v>1</v>
      </c>
      <c r="B2" s="74" t="s">
        <v>668</v>
      </c>
      <c r="C2" s="74" t="s">
        <v>3182</v>
      </c>
      <c r="D2" s="75" t="s">
        <v>3183</v>
      </c>
      <c r="E2" s="76" t="s">
        <v>3184</v>
      </c>
      <c r="F2" s="77" t="s">
        <v>3185</v>
      </c>
      <c r="G2" s="76" t="s">
        <v>3186</v>
      </c>
      <c r="H2" s="77" t="s">
        <v>3187</v>
      </c>
      <c r="I2" s="76" t="s">
        <v>3188</v>
      </c>
      <c r="J2" s="77" t="s">
        <v>3185</v>
      </c>
      <c r="K2" s="76" t="s">
        <v>3189</v>
      </c>
      <c r="L2" s="75"/>
      <c r="M2" s="76"/>
      <c r="N2" s="77"/>
    </row>
    <row r="3" spans="1:14" s="78" customFormat="1" ht="18">
      <c r="A3" s="74">
        <v>2</v>
      </c>
      <c r="B3" s="74" t="s">
        <v>666</v>
      </c>
      <c r="C3" s="74" t="s">
        <v>3190</v>
      </c>
      <c r="D3" s="75" t="s">
        <v>3191</v>
      </c>
      <c r="E3" s="76" t="s">
        <v>3184</v>
      </c>
      <c r="F3" s="77" t="s">
        <v>3192</v>
      </c>
      <c r="G3" s="76" t="s">
        <v>3193</v>
      </c>
      <c r="H3" s="77" t="s">
        <v>3194</v>
      </c>
      <c r="I3" s="76" t="s">
        <v>3195</v>
      </c>
      <c r="J3" s="77" t="s">
        <v>3192</v>
      </c>
      <c r="K3" s="76" t="s">
        <v>3196</v>
      </c>
      <c r="L3" s="75"/>
      <c r="M3" s="76"/>
      <c r="N3" s="77"/>
    </row>
    <row r="4" spans="1:14" s="78" customFormat="1" ht="18">
      <c r="A4" s="74">
        <v>3</v>
      </c>
      <c r="B4" s="74" t="s">
        <v>647</v>
      </c>
      <c r="C4" s="74" t="s">
        <v>3197</v>
      </c>
      <c r="D4" s="75" t="s">
        <v>3198</v>
      </c>
      <c r="E4" s="76" t="s">
        <v>3184</v>
      </c>
      <c r="F4" s="77" t="s">
        <v>3199</v>
      </c>
      <c r="G4" s="76" t="s">
        <v>3200</v>
      </c>
      <c r="H4" s="77" t="s">
        <v>3201</v>
      </c>
      <c r="I4" s="76" t="s">
        <v>3202</v>
      </c>
      <c r="J4" s="77" t="s">
        <v>3199</v>
      </c>
      <c r="K4" s="76" t="s">
        <v>3203</v>
      </c>
      <c r="L4" s="75"/>
      <c r="M4" s="76"/>
      <c r="N4" s="77"/>
    </row>
    <row r="5" spans="1:14" s="78" customFormat="1" ht="18">
      <c r="A5" s="74">
        <v>4</v>
      </c>
      <c r="B5" s="74" t="s">
        <v>660</v>
      </c>
      <c r="C5" s="74" t="s">
        <v>3204</v>
      </c>
      <c r="D5" s="75" t="s">
        <v>3205</v>
      </c>
      <c r="E5" s="76" t="s">
        <v>3184</v>
      </c>
      <c r="F5" s="77" t="s">
        <v>3206</v>
      </c>
      <c r="G5" s="76" t="s">
        <v>3207</v>
      </c>
      <c r="H5" s="77" t="s">
        <v>3208</v>
      </c>
      <c r="I5" s="76" t="s">
        <v>3209</v>
      </c>
      <c r="J5" s="77" t="s">
        <v>3206</v>
      </c>
      <c r="K5" s="76" t="s">
        <v>3210</v>
      </c>
      <c r="L5" s="75"/>
      <c r="M5" s="76"/>
      <c r="N5" s="77"/>
    </row>
    <row r="6" spans="1:14" s="78" customFormat="1" ht="18">
      <c r="A6" s="74">
        <v>5</v>
      </c>
      <c r="B6" s="74" t="s">
        <v>670</v>
      </c>
      <c r="C6" s="74" t="s">
        <v>3211</v>
      </c>
      <c r="D6" s="75" t="s">
        <v>3212</v>
      </c>
      <c r="E6" s="76" t="s">
        <v>3213</v>
      </c>
      <c r="F6" s="77" t="s">
        <v>3214</v>
      </c>
      <c r="G6" s="76" t="s">
        <v>3215</v>
      </c>
      <c r="H6" s="77">
        <v>0</v>
      </c>
      <c r="I6" s="76" t="s">
        <v>3216</v>
      </c>
      <c r="J6" s="77" t="s">
        <v>3214</v>
      </c>
      <c r="K6" s="76" t="s">
        <v>3217</v>
      </c>
      <c r="L6" s="75"/>
      <c r="M6" s="76"/>
      <c r="N6" s="77"/>
    </row>
    <row r="7" spans="1:14" s="78" customFormat="1" ht="18">
      <c r="A7" s="145"/>
      <c r="B7" s="145"/>
      <c r="C7" s="145"/>
      <c r="D7" s="145"/>
      <c r="E7" s="145"/>
      <c r="F7" s="145"/>
      <c r="G7" s="145"/>
      <c r="H7" s="145"/>
      <c r="I7" s="76" t="s">
        <v>3218</v>
      </c>
      <c r="J7" s="77" t="s">
        <v>3219</v>
      </c>
      <c r="K7" s="76" t="s">
        <v>3220</v>
      </c>
      <c r="L7" s="75"/>
      <c r="M7" s="76"/>
      <c r="N7" s="77"/>
    </row>
    <row r="8" spans="1:14" s="78" customFormat="1" ht="18">
      <c r="A8" s="145"/>
      <c r="B8" s="145"/>
      <c r="C8" s="145"/>
      <c r="D8" s="145"/>
      <c r="E8" s="145"/>
      <c r="F8" s="145"/>
      <c r="G8" s="145"/>
      <c r="H8" s="145"/>
      <c r="I8" s="76" t="s">
        <v>3224</v>
      </c>
      <c r="J8" s="77" t="s">
        <v>3225</v>
      </c>
      <c r="K8" s="76" t="s">
        <v>3226</v>
      </c>
      <c r="L8" s="75"/>
      <c r="M8" s="76"/>
      <c r="N8" s="77"/>
    </row>
    <row r="9" spans="1:14" s="78" customFormat="1" ht="18">
      <c r="A9" s="145"/>
      <c r="B9" s="145"/>
      <c r="C9" s="145"/>
      <c r="D9" s="145"/>
      <c r="E9" s="145"/>
      <c r="F9" s="145"/>
      <c r="G9" s="145"/>
      <c r="H9" s="145"/>
      <c r="I9" s="76" t="s">
        <v>3228</v>
      </c>
      <c r="J9" s="77" t="s">
        <v>3227</v>
      </c>
      <c r="K9" s="76" t="s">
        <v>3203</v>
      </c>
      <c r="L9" s="75"/>
      <c r="M9" s="76"/>
      <c r="N9" s="77"/>
    </row>
    <row r="10" spans="1:14" s="78" customFormat="1" ht="18">
      <c r="A10" s="145"/>
      <c r="B10" s="145"/>
      <c r="C10" s="145"/>
      <c r="D10" s="145"/>
      <c r="E10" s="145"/>
      <c r="F10" s="145"/>
      <c r="G10" s="145"/>
      <c r="H10" s="145"/>
      <c r="I10" s="76" t="s">
        <v>3229</v>
      </c>
      <c r="J10" s="77" t="s">
        <v>3230</v>
      </c>
      <c r="K10" s="76" t="s">
        <v>3231</v>
      </c>
      <c r="L10" s="75"/>
      <c r="M10" s="76"/>
      <c r="N10" s="77"/>
    </row>
    <row r="11" spans="1:14" s="78" customFormat="1" ht="18">
      <c r="A11" s="145"/>
      <c r="B11" s="145"/>
      <c r="C11" s="145"/>
      <c r="D11" s="145"/>
      <c r="E11" s="145"/>
      <c r="F11" s="145"/>
      <c r="G11" s="145"/>
      <c r="H11" s="145"/>
      <c r="I11" s="76" t="s">
        <v>3233</v>
      </c>
      <c r="J11" s="77" t="s">
        <v>3232</v>
      </c>
      <c r="K11" s="76" t="s">
        <v>3231</v>
      </c>
      <c r="L11" s="75"/>
      <c r="M11" s="76"/>
      <c r="N11" s="77"/>
    </row>
    <row r="12" spans="1:14" s="78" customFormat="1" ht="18">
      <c r="A12" s="145"/>
      <c r="B12" s="145"/>
      <c r="C12" s="145"/>
      <c r="D12" s="145"/>
      <c r="E12" s="145"/>
      <c r="F12" s="145"/>
      <c r="G12" s="145"/>
      <c r="H12" s="145"/>
      <c r="I12" s="76"/>
      <c r="J12" s="77"/>
      <c r="K12" s="76"/>
      <c r="L12" s="75"/>
      <c r="M12" s="76"/>
      <c r="N12" s="77"/>
    </row>
    <row r="13" spans="1:14" s="78" customFormat="1" ht="18">
      <c r="A13" s="145"/>
      <c r="B13" s="145"/>
      <c r="C13" s="145"/>
      <c r="D13" s="145"/>
      <c r="E13" s="145"/>
      <c r="F13" s="145"/>
      <c r="G13" s="145"/>
      <c r="H13" s="145"/>
      <c r="I13" s="76"/>
      <c r="J13" s="77"/>
      <c r="K13" s="76"/>
      <c r="L13" s="75"/>
      <c r="M13" s="76"/>
      <c r="N13" s="77"/>
    </row>
    <row r="14" spans="1:14" s="78" customFormat="1" ht="18">
      <c r="A14" s="145"/>
      <c r="B14" s="145"/>
      <c r="C14" s="145"/>
      <c r="D14" s="145"/>
      <c r="E14" s="145"/>
      <c r="F14" s="145"/>
      <c r="G14" s="145"/>
      <c r="H14" s="145"/>
      <c r="I14" s="76"/>
      <c r="J14" s="77"/>
      <c r="K14" s="76"/>
      <c r="L14" s="75"/>
      <c r="M14" s="76"/>
      <c r="N14" s="77"/>
    </row>
    <row r="15" spans="1:14" s="78" customFormat="1" ht="18">
      <c r="A15" s="145"/>
      <c r="B15" s="145"/>
      <c r="C15" s="145"/>
      <c r="D15" s="145"/>
      <c r="E15" s="145"/>
      <c r="F15" s="145"/>
      <c r="G15" s="145"/>
      <c r="H15" s="145"/>
      <c r="I15" s="76"/>
      <c r="J15" s="77"/>
      <c r="K15" s="76"/>
      <c r="L15" s="75"/>
      <c r="M15" s="76"/>
      <c r="N15" s="77"/>
    </row>
    <row r="16" spans="1:14" s="78" customFormat="1" ht="18">
      <c r="A16" s="145"/>
      <c r="B16" s="145"/>
      <c r="C16" s="145"/>
      <c r="D16" s="145"/>
      <c r="E16" s="145"/>
      <c r="F16" s="145"/>
      <c r="G16" s="145"/>
      <c r="H16" s="145"/>
      <c r="I16" s="76" t="s">
        <v>3239</v>
      </c>
      <c r="J16" s="77" t="s">
        <v>3240</v>
      </c>
      <c r="K16" s="76" t="s">
        <v>3241</v>
      </c>
      <c r="L16" s="75"/>
      <c r="M16" s="76"/>
      <c r="N16" s="77"/>
    </row>
    <row r="17" spans="1:14" s="78" customFormat="1" ht="18">
      <c r="A17" s="145"/>
      <c r="B17" s="145"/>
      <c r="C17" s="145"/>
      <c r="D17" s="145"/>
      <c r="E17" s="145"/>
      <c r="F17" s="145"/>
      <c r="G17" s="145"/>
      <c r="H17" s="145"/>
      <c r="I17" s="76" t="s">
        <v>3243</v>
      </c>
      <c r="J17" s="77" t="s">
        <v>3244</v>
      </c>
      <c r="K17" s="76" t="s">
        <v>3203</v>
      </c>
      <c r="L17" s="75"/>
      <c r="M17" s="76"/>
      <c r="N17" s="77"/>
    </row>
    <row r="18" spans="1:14" s="78" customFormat="1" ht="18">
      <c r="A18" s="145"/>
      <c r="B18" s="145"/>
      <c r="C18" s="145"/>
      <c r="D18" s="145"/>
      <c r="E18" s="145"/>
      <c r="F18" s="145"/>
      <c r="G18" s="145"/>
      <c r="H18" s="145"/>
      <c r="I18" s="76" t="s">
        <v>3249</v>
      </c>
      <c r="J18" s="77" t="s">
        <v>3246</v>
      </c>
      <c r="K18" s="76" t="s">
        <v>3250</v>
      </c>
      <c r="L18" s="75"/>
      <c r="M18" s="76"/>
      <c r="N18" s="77"/>
    </row>
    <row r="19" spans="1:14" s="78" customFormat="1" ht="18">
      <c r="A19" s="145"/>
      <c r="B19" s="145"/>
      <c r="C19" s="145"/>
      <c r="D19" s="145"/>
      <c r="E19" s="145"/>
      <c r="F19" s="145"/>
      <c r="G19" s="145"/>
      <c r="H19" s="145"/>
      <c r="I19" s="76" t="s">
        <v>3254</v>
      </c>
      <c r="J19" s="77" t="s">
        <v>3252</v>
      </c>
      <c r="K19" s="76" t="s">
        <v>3255</v>
      </c>
      <c r="L19" s="75"/>
      <c r="M19" s="76"/>
      <c r="N19" s="77"/>
    </row>
    <row r="20" spans="1:14" s="78" customFormat="1" ht="18">
      <c r="A20" s="145"/>
      <c r="B20" s="145"/>
      <c r="C20" s="145"/>
      <c r="D20" s="145"/>
      <c r="E20" s="145"/>
      <c r="F20" s="145"/>
      <c r="G20" s="145"/>
      <c r="H20" s="145"/>
      <c r="I20" s="76" t="s">
        <v>3260</v>
      </c>
      <c r="J20" s="77" t="s">
        <v>3257</v>
      </c>
      <c r="K20" s="76" t="s">
        <v>3261</v>
      </c>
      <c r="L20" s="75"/>
      <c r="M20" s="76"/>
      <c r="N20" s="77"/>
    </row>
    <row r="21" spans="1:14" s="78" customFormat="1" ht="18">
      <c r="A21" s="145"/>
      <c r="B21" s="145"/>
      <c r="C21" s="145"/>
      <c r="D21" s="145"/>
      <c r="E21" s="145"/>
      <c r="F21" s="145"/>
      <c r="G21" s="145"/>
      <c r="H21" s="145"/>
      <c r="I21" s="76" t="s">
        <v>3265</v>
      </c>
      <c r="J21" s="77" t="s">
        <v>3263</v>
      </c>
      <c r="K21" s="76" t="s">
        <v>3266</v>
      </c>
      <c r="L21" s="75"/>
      <c r="M21" s="76"/>
      <c r="N21" s="77"/>
    </row>
    <row r="22" spans="1:14" s="78" customFormat="1" ht="18">
      <c r="A22" s="145"/>
      <c r="B22" s="145"/>
      <c r="C22" s="145"/>
      <c r="D22" s="145"/>
      <c r="E22" s="145"/>
      <c r="F22" s="145"/>
      <c r="G22" s="145"/>
      <c r="H22" s="145"/>
      <c r="I22" s="76" t="s">
        <v>3271</v>
      </c>
      <c r="J22" s="77" t="s">
        <v>3268</v>
      </c>
      <c r="K22" s="76" t="s">
        <v>3272</v>
      </c>
      <c r="L22" s="75"/>
      <c r="M22" s="76"/>
      <c r="N22" s="77"/>
    </row>
    <row r="23" spans="1:14" s="78" customFormat="1" ht="18">
      <c r="A23" s="145"/>
      <c r="B23" s="145"/>
      <c r="C23" s="145"/>
      <c r="D23" s="145"/>
      <c r="E23" s="145"/>
      <c r="F23" s="145"/>
      <c r="G23" s="145"/>
      <c r="H23" s="145"/>
      <c r="I23" s="76" t="s">
        <v>3277</v>
      </c>
      <c r="J23" s="77" t="s">
        <v>3274</v>
      </c>
      <c r="K23" s="76" t="s">
        <v>3278</v>
      </c>
      <c r="L23" s="75"/>
      <c r="M23" s="76"/>
      <c r="N23" s="77"/>
    </row>
    <row r="24" spans="1:14" s="78" customFormat="1" ht="18">
      <c r="A24" s="145"/>
      <c r="B24" s="145"/>
      <c r="C24" s="145"/>
      <c r="D24" s="145"/>
      <c r="E24" s="145"/>
      <c r="F24" s="145"/>
      <c r="G24" s="145"/>
      <c r="H24" s="145"/>
      <c r="I24" s="76" t="s">
        <v>3282</v>
      </c>
      <c r="J24" s="77" t="s">
        <v>3283</v>
      </c>
      <c r="K24" s="76" t="s">
        <v>3284</v>
      </c>
      <c r="L24" s="75"/>
      <c r="M24" s="76"/>
      <c r="N24" s="77"/>
    </row>
    <row r="25" spans="1:14" s="78" customFormat="1" ht="18">
      <c r="A25" s="145"/>
      <c r="B25" s="145"/>
      <c r="C25" s="145"/>
      <c r="D25" s="145"/>
      <c r="E25" s="145"/>
      <c r="F25" s="145"/>
      <c r="G25" s="145"/>
      <c r="H25" s="145"/>
      <c r="I25" s="76" t="s">
        <v>3289</v>
      </c>
      <c r="J25" s="77" t="s">
        <v>3286</v>
      </c>
      <c r="K25" s="76" t="s">
        <v>3290</v>
      </c>
      <c r="L25" s="75"/>
      <c r="M25" s="76"/>
      <c r="N25" s="77"/>
    </row>
    <row r="26" spans="1:14" s="78" customFormat="1" ht="18">
      <c r="A26" s="145"/>
      <c r="B26" s="145"/>
      <c r="C26" s="145"/>
      <c r="D26" s="145"/>
      <c r="E26" s="145"/>
      <c r="F26" s="145"/>
      <c r="G26" s="145"/>
      <c r="H26" s="145"/>
      <c r="I26" s="76" t="s">
        <v>49</v>
      </c>
      <c r="J26" s="77" t="s">
        <v>3293</v>
      </c>
      <c r="K26" s="76" t="s">
        <v>3294</v>
      </c>
      <c r="L26" s="75"/>
      <c r="M26" s="76"/>
      <c r="N26" s="77"/>
    </row>
    <row r="27" spans="1:14" s="78" customFormat="1" ht="18">
      <c r="A27" s="145"/>
      <c r="B27" s="145"/>
      <c r="C27" s="145"/>
      <c r="D27" s="145"/>
      <c r="E27" s="145"/>
      <c r="F27" s="145"/>
      <c r="G27" s="145"/>
      <c r="H27" s="145"/>
      <c r="I27" s="76" t="s">
        <v>3298</v>
      </c>
      <c r="J27" s="77" t="s">
        <v>3299</v>
      </c>
      <c r="K27" s="76" t="s">
        <v>3300</v>
      </c>
      <c r="L27" s="75"/>
      <c r="M27" s="76"/>
      <c r="N27" s="77"/>
    </row>
    <row r="28" spans="1:14" s="78" customFormat="1" ht="18">
      <c r="A28" s="145"/>
      <c r="B28" s="145"/>
      <c r="C28" s="145"/>
      <c r="D28" s="145"/>
      <c r="E28" s="145"/>
      <c r="F28" s="145"/>
      <c r="G28" s="145"/>
      <c r="H28" s="145"/>
      <c r="I28" s="79" t="s">
        <v>3304</v>
      </c>
      <c r="J28" s="79" t="s">
        <v>3305</v>
      </c>
      <c r="K28" s="79" t="s">
        <v>3306</v>
      </c>
      <c r="L28" s="79"/>
      <c r="M28" s="79"/>
      <c r="N28" s="79"/>
    </row>
    <row r="29" spans="1:14" s="78" customFormat="1" ht="18">
      <c r="A29" s="145"/>
      <c r="B29" s="145"/>
      <c r="C29" s="145"/>
      <c r="D29" s="145"/>
      <c r="E29" s="145"/>
      <c r="F29" s="145"/>
      <c r="G29" s="145"/>
      <c r="H29" s="145"/>
      <c r="I29" s="79" t="e">
        <v>#N/A</v>
      </c>
      <c r="J29" s="79" t="e">
        <v>#N/A</v>
      </c>
      <c r="K29" s="79" t="e">
        <v>#N/A</v>
      </c>
      <c r="L29" s="79"/>
      <c r="M29" s="79"/>
      <c r="N29" s="79"/>
    </row>
    <row r="30" spans="1:14" s="78" customFormat="1" ht="18">
      <c r="A30" s="145"/>
      <c r="B30" s="145"/>
      <c r="C30" s="145"/>
      <c r="D30" s="145"/>
      <c r="E30" s="145"/>
      <c r="F30" s="145"/>
      <c r="G30" s="145"/>
      <c r="H30" s="145"/>
      <c r="I30" s="79" t="s">
        <v>3310</v>
      </c>
      <c r="J30" s="79" t="s">
        <v>3311</v>
      </c>
      <c r="K30" s="79" t="s">
        <v>3312</v>
      </c>
      <c r="L30" s="79"/>
      <c r="M30" s="79"/>
      <c r="N30" s="79"/>
    </row>
    <row r="31" spans="1:14" s="78" customFormat="1" ht="18">
      <c r="A31" s="145"/>
      <c r="B31" s="145"/>
      <c r="C31" s="145"/>
      <c r="D31" s="145"/>
      <c r="E31" s="145"/>
      <c r="F31" s="145"/>
      <c r="G31" s="145"/>
      <c r="H31" s="145"/>
      <c r="I31" s="79" t="e">
        <v>#N/A</v>
      </c>
      <c r="J31" s="79" t="e">
        <v>#N/A</v>
      </c>
      <c r="K31" s="79" t="e">
        <v>#N/A</v>
      </c>
      <c r="L31" s="79"/>
      <c r="M31" s="79"/>
      <c r="N31" s="79"/>
    </row>
    <row r="32" spans="1:14" s="78" customFormat="1" ht="18">
      <c r="A32" s="145"/>
      <c r="B32" s="145"/>
      <c r="C32" s="145"/>
      <c r="D32" s="145"/>
      <c r="E32" s="145"/>
      <c r="F32" s="145"/>
      <c r="G32" s="145"/>
      <c r="H32" s="145"/>
      <c r="I32" s="79" t="s">
        <v>3358</v>
      </c>
      <c r="J32" s="79" t="s">
        <v>3359</v>
      </c>
      <c r="K32" s="79" t="s">
        <v>3360</v>
      </c>
      <c r="L32" s="79"/>
      <c r="M32" s="79"/>
      <c r="N32" s="79"/>
    </row>
    <row r="33" spans="1:14" s="78" customFormat="1" ht="18">
      <c r="A33" s="145"/>
      <c r="B33" s="145"/>
      <c r="C33" s="145"/>
      <c r="D33" s="145"/>
      <c r="E33" s="145"/>
      <c r="F33" s="145"/>
      <c r="G33" s="145"/>
      <c r="H33" s="145"/>
      <c r="I33" s="79" t="s">
        <v>3361</v>
      </c>
      <c r="J33" s="79" t="s">
        <v>3362</v>
      </c>
      <c r="K33" s="79" t="s">
        <v>3363</v>
      </c>
      <c r="L33" s="79"/>
      <c r="M33" s="79"/>
      <c r="N33" s="79"/>
    </row>
    <row r="34" spans="1:14" s="78" customFormat="1" ht="18">
      <c r="A34" s="145"/>
      <c r="B34" s="145"/>
      <c r="C34" s="145"/>
      <c r="D34" s="145"/>
      <c r="E34" s="145"/>
      <c r="F34" s="145"/>
      <c r="G34" s="145"/>
      <c r="H34" s="145"/>
      <c r="I34" s="79" t="s">
        <v>3367</v>
      </c>
      <c r="J34" s="79" t="s">
        <v>3368</v>
      </c>
      <c r="K34" s="79" t="s">
        <v>3369</v>
      </c>
      <c r="L34" s="79"/>
      <c r="M34" s="79"/>
      <c r="N34" s="79"/>
    </row>
    <row r="35" spans="1:14" s="78" customFormat="1" ht="18">
      <c r="A35" s="145"/>
      <c r="B35" s="145"/>
      <c r="C35" s="145"/>
      <c r="D35" s="145"/>
      <c r="E35" s="145"/>
      <c r="F35" s="145"/>
      <c r="G35" s="145"/>
      <c r="H35" s="145"/>
      <c r="I35" s="79" t="e">
        <v>#N/A</v>
      </c>
      <c r="J35" s="79" t="e">
        <v>#N/A</v>
      </c>
      <c r="K35" s="79" t="e">
        <v>#N/A</v>
      </c>
      <c r="L35" s="79"/>
      <c r="M35" s="79"/>
      <c r="N35" s="79"/>
    </row>
    <row r="36" spans="1:14" s="78" customFormat="1" ht="18">
      <c r="A36" s="145"/>
      <c r="B36" s="145"/>
      <c r="C36" s="145"/>
      <c r="D36" s="145"/>
      <c r="E36" s="145"/>
      <c r="F36" s="145"/>
      <c r="G36" s="145"/>
      <c r="H36" s="145"/>
      <c r="I36" s="79" t="s">
        <v>3373</v>
      </c>
      <c r="J36" s="79" t="s">
        <v>3374</v>
      </c>
      <c r="K36" s="79" t="s">
        <v>3375</v>
      </c>
      <c r="L36" s="79"/>
      <c r="M36" s="79"/>
      <c r="N36" s="79"/>
    </row>
    <row r="37" spans="1:14" s="78" customFormat="1" ht="18">
      <c r="A37" s="145"/>
      <c r="B37" s="145"/>
      <c r="C37" s="145"/>
      <c r="D37" s="145"/>
      <c r="E37" s="145"/>
      <c r="F37" s="145"/>
      <c r="G37" s="145"/>
      <c r="H37" s="145"/>
      <c r="I37" s="79" t="s">
        <v>3379</v>
      </c>
      <c r="J37" s="79" t="s">
        <v>3380</v>
      </c>
      <c r="K37" s="79" t="s">
        <v>3381</v>
      </c>
      <c r="L37" s="79"/>
      <c r="M37" s="79"/>
      <c r="N37" s="79"/>
    </row>
    <row r="38" spans="1:14" s="78" customFormat="1" ht="18">
      <c r="A38" s="145"/>
      <c r="B38" s="145"/>
      <c r="C38" s="145"/>
      <c r="D38" s="145"/>
      <c r="E38" s="145"/>
      <c r="F38" s="145"/>
      <c r="G38" s="145"/>
      <c r="H38" s="145"/>
      <c r="I38" s="79" t="s">
        <v>3384</v>
      </c>
      <c r="J38" s="79">
        <v>0</v>
      </c>
      <c r="K38" s="79" t="s">
        <v>3385</v>
      </c>
      <c r="L38" s="79"/>
      <c r="M38" s="79"/>
      <c r="N38" s="79"/>
    </row>
    <row r="39" spans="1:14" s="78" customFormat="1" ht="18">
      <c r="A39" s="145"/>
      <c r="B39" s="145"/>
      <c r="C39" s="145"/>
      <c r="D39" s="145"/>
      <c r="E39" s="145"/>
      <c r="F39" s="145"/>
      <c r="G39" s="145"/>
      <c r="H39" s="145"/>
      <c r="I39" s="79" t="s">
        <v>3389</v>
      </c>
      <c r="J39" s="79" t="s">
        <v>3390</v>
      </c>
      <c r="K39" s="79" t="s">
        <v>3391</v>
      </c>
      <c r="L39" s="79"/>
      <c r="M39" s="79"/>
      <c r="N39" s="79"/>
    </row>
    <row r="40" spans="1:14" s="78" customFormat="1" ht="18">
      <c r="A40" s="145"/>
      <c r="B40" s="145"/>
      <c r="C40" s="145"/>
      <c r="D40" s="145"/>
      <c r="E40" s="145"/>
      <c r="F40" s="145"/>
      <c r="G40" s="145"/>
      <c r="H40" s="145"/>
      <c r="I40" s="79" t="s">
        <v>3394</v>
      </c>
      <c r="J40" s="79" t="s">
        <v>3393</v>
      </c>
      <c r="K40" s="79" t="s">
        <v>3395</v>
      </c>
      <c r="L40" s="79"/>
      <c r="M40" s="79"/>
      <c r="N40" s="79"/>
    </row>
    <row r="41" spans="1:14" s="78" customFormat="1" ht="18">
      <c r="A41" s="145"/>
      <c r="B41" s="145"/>
      <c r="C41" s="145"/>
      <c r="D41" s="145"/>
      <c r="E41" s="145"/>
      <c r="F41" s="145"/>
      <c r="G41" s="145"/>
      <c r="H41" s="145"/>
      <c r="I41" s="79" t="s">
        <v>3400</v>
      </c>
      <c r="J41" s="79" t="s">
        <v>3397</v>
      </c>
      <c r="K41" s="79" t="s">
        <v>3401</v>
      </c>
      <c r="L41" s="79"/>
      <c r="M41" s="79"/>
      <c r="N41" s="79"/>
    </row>
    <row r="42" spans="1:14" s="78" customFormat="1" ht="18">
      <c r="A42" s="145"/>
      <c r="B42" s="145"/>
      <c r="C42" s="145"/>
      <c r="D42" s="145"/>
      <c r="E42" s="145"/>
      <c r="F42" s="145"/>
      <c r="G42" s="145"/>
      <c r="H42" s="145"/>
      <c r="I42" s="79" t="s">
        <v>3405</v>
      </c>
      <c r="J42" s="79" t="s">
        <v>3406</v>
      </c>
      <c r="K42" s="79" t="s">
        <v>3226</v>
      </c>
      <c r="L42" s="79"/>
      <c r="M42" s="79"/>
      <c r="N42" s="79"/>
    </row>
    <row r="43" spans="1:14" s="78" customFormat="1" ht="18">
      <c r="A43" s="145"/>
      <c r="B43" s="145"/>
      <c r="C43" s="145"/>
      <c r="D43" s="145"/>
      <c r="E43" s="145"/>
      <c r="F43" s="145"/>
      <c r="G43" s="145"/>
      <c r="H43" s="145"/>
      <c r="I43" s="79" t="s">
        <v>3408</v>
      </c>
      <c r="J43" s="79" t="s">
        <v>3407</v>
      </c>
      <c r="K43" s="79" t="s">
        <v>3409</v>
      </c>
      <c r="L43" s="79"/>
      <c r="M43" s="79"/>
      <c r="N43" s="79"/>
    </row>
    <row r="44" spans="1:14" s="78" customFormat="1" ht="18">
      <c r="A44" s="145"/>
      <c r="B44" s="145"/>
      <c r="C44" s="145"/>
      <c r="D44" s="145"/>
      <c r="E44" s="145"/>
      <c r="F44" s="145"/>
      <c r="G44" s="145"/>
      <c r="H44" s="145"/>
      <c r="I44" s="79" t="s">
        <v>628</v>
      </c>
      <c r="J44" s="79" t="s">
        <v>3411</v>
      </c>
      <c r="K44" s="79" t="s">
        <v>3414</v>
      </c>
      <c r="L44" s="79"/>
      <c r="M44" s="79"/>
      <c r="N44" s="79"/>
    </row>
    <row r="45" spans="1:14" s="78" customFormat="1" ht="18">
      <c r="A45" s="145"/>
      <c r="B45" s="145"/>
      <c r="C45" s="145"/>
      <c r="D45" s="145"/>
      <c r="E45" s="145"/>
      <c r="F45" s="145"/>
      <c r="G45" s="145"/>
      <c r="H45" s="145"/>
      <c r="I45" s="79" t="s">
        <v>3419</v>
      </c>
      <c r="J45" s="79" t="s">
        <v>3416</v>
      </c>
      <c r="K45" s="79" t="s">
        <v>3420</v>
      </c>
      <c r="L45" s="79"/>
      <c r="M45" s="79"/>
      <c r="N45" s="79"/>
    </row>
    <row r="46" spans="1:14" s="78" customFormat="1" ht="18">
      <c r="A46" s="145"/>
      <c r="B46" s="145"/>
      <c r="C46" s="145"/>
      <c r="D46" s="145"/>
      <c r="E46" s="145"/>
      <c r="F46" s="145"/>
      <c r="G46" s="145"/>
      <c r="H46" s="145"/>
      <c r="I46" s="79" t="s">
        <v>182</v>
      </c>
      <c r="J46" s="79" t="s">
        <v>3438</v>
      </c>
      <c r="K46" s="79" t="s">
        <v>3272</v>
      </c>
      <c r="L46" s="79"/>
      <c r="M46" s="79"/>
      <c r="N46" s="79"/>
    </row>
    <row r="47" spans="1:14" s="78" customFormat="1" ht="18">
      <c r="A47" s="145"/>
      <c r="B47" s="145"/>
      <c r="C47" s="145"/>
      <c r="D47" s="145"/>
      <c r="E47" s="145"/>
      <c r="F47" s="145"/>
      <c r="G47" s="145"/>
      <c r="H47" s="145"/>
      <c r="I47" s="79" t="s">
        <v>3443</v>
      </c>
      <c r="J47" s="79" t="s">
        <v>3440</v>
      </c>
      <c r="K47" s="79" t="s">
        <v>3444</v>
      </c>
      <c r="L47" s="79"/>
      <c r="M47" s="79"/>
      <c r="N47" s="79"/>
    </row>
    <row r="48" spans="1:14" s="78" customFormat="1" ht="18">
      <c r="A48" s="145"/>
      <c r="B48" s="145"/>
      <c r="C48" s="145"/>
      <c r="D48" s="145"/>
      <c r="E48" s="145"/>
      <c r="F48" s="145"/>
      <c r="G48" s="145"/>
      <c r="H48" s="145"/>
      <c r="I48" s="79" t="s">
        <v>3448</v>
      </c>
      <c r="J48" s="79" t="s">
        <v>3449</v>
      </c>
      <c r="K48" s="79" t="s">
        <v>3450</v>
      </c>
      <c r="L48" s="79"/>
      <c r="M48" s="79"/>
      <c r="N48" s="79"/>
    </row>
    <row r="49" spans="1:14" s="78" customFormat="1" ht="18">
      <c r="A49" s="145"/>
      <c r="B49" s="145"/>
      <c r="C49" s="145"/>
      <c r="D49" s="145"/>
      <c r="E49" s="145"/>
      <c r="F49" s="145"/>
      <c r="G49" s="145"/>
      <c r="H49" s="145"/>
      <c r="I49" s="79" t="s">
        <v>3455</v>
      </c>
      <c r="J49" s="79" t="s">
        <v>3452</v>
      </c>
      <c r="K49" s="79" t="s">
        <v>3456</v>
      </c>
      <c r="L49" s="79"/>
      <c r="M49" s="79"/>
      <c r="N49" s="79"/>
    </row>
    <row r="50" spans="1:14" s="78" customFormat="1" ht="18">
      <c r="A50" s="145"/>
      <c r="B50" s="145"/>
      <c r="C50" s="145"/>
      <c r="D50" s="145"/>
      <c r="E50" s="145"/>
      <c r="F50" s="145"/>
      <c r="G50" s="145"/>
      <c r="H50" s="145"/>
      <c r="I50" s="79" t="s">
        <v>3458</v>
      </c>
      <c r="J50" s="79" t="s">
        <v>3457</v>
      </c>
      <c r="K50" s="79" t="s">
        <v>3459</v>
      </c>
      <c r="L50" s="79"/>
      <c r="M50" s="79"/>
      <c r="N50" s="79"/>
    </row>
    <row r="51" spans="1:14" s="78" customFormat="1" ht="18">
      <c r="A51" s="145"/>
      <c r="B51" s="145"/>
      <c r="C51" s="145"/>
      <c r="D51" s="145"/>
      <c r="E51" s="145"/>
      <c r="F51" s="145"/>
      <c r="G51" s="145"/>
      <c r="H51" s="145"/>
      <c r="I51" s="79" t="s">
        <v>3464</v>
      </c>
      <c r="J51" s="79" t="s">
        <v>3461</v>
      </c>
      <c r="K51" s="79" t="s">
        <v>3465</v>
      </c>
      <c r="L51" s="79"/>
      <c r="M51" s="79"/>
      <c r="N51" s="79"/>
    </row>
    <row r="52" spans="1:14" s="78" customFormat="1" ht="18">
      <c r="A52" s="145"/>
      <c r="B52" s="145"/>
      <c r="C52" s="145"/>
      <c r="D52" s="145"/>
      <c r="E52" s="145"/>
      <c r="F52" s="145"/>
      <c r="G52" s="145"/>
      <c r="H52" s="145"/>
      <c r="I52" s="79" t="s">
        <v>3468</v>
      </c>
      <c r="J52" s="79" t="s">
        <v>3467</v>
      </c>
      <c r="K52" s="79" t="s">
        <v>3469</v>
      </c>
      <c r="L52" s="79"/>
      <c r="M52" s="79"/>
      <c r="N52" s="79"/>
    </row>
    <row r="53" spans="1:14" s="78" customFormat="1" ht="18">
      <c r="A53" s="145"/>
      <c r="B53" s="145"/>
      <c r="C53" s="145"/>
      <c r="D53" s="145"/>
      <c r="E53" s="145"/>
      <c r="F53" s="145"/>
      <c r="G53" s="145"/>
      <c r="H53" s="145"/>
      <c r="I53" s="79" t="s">
        <v>3473</v>
      </c>
      <c r="J53" s="79" t="s">
        <v>3474</v>
      </c>
      <c r="K53" s="79" t="s">
        <v>3420</v>
      </c>
      <c r="L53" s="79"/>
      <c r="M53" s="79"/>
      <c r="N53" s="79"/>
    </row>
    <row r="54" spans="1:14" s="78" customFormat="1" ht="18">
      <c r="A54" s="145"/>
      <c r="B54" s="145"/>
      <c r="C54" s="145"/>
      <c r="D54" s="145"/>
      <c r="E54" s="145"/>
      <c r="F54" s="145"/>
      <c r="G54" s="145"/>
      <c r="H54" s="145"/>
      <c r="I54" s="79" t="s">
        <v>3476</v>
      </c>
      <c r="J54" s="79" t="s">
        <v>3475</v>
      </c>
      <c r="K54" s="79" t="s">
        <v>3477</v>
      </c>
      <c r="L54" s="79"/>
      <c r="M54" s="79"/>
      <c r="N54" s="79"/>
    </row>
    <row r="55" spans="1:14" s="78" customFormat="1" ht="18">
      <c r="A55" s="145"/>
      <c r="B55" s="145"/>
      <c r="C55" s="145"/>
      <c r="D55" s="145"/>
      <c r="E55" s="145"/>
      <c r="F55" s="145"/>
      <c r="G55" s="145"/>
      <c r="H55" s="145"/>
      <c r="I55" s="79" t="s">
        <v>3482</v>
      </c>
      <c r="J55" s="79" t="s">
        <v>3483</v>
      </c>
      <c r="K55" s="79" t="s">
        <v>3484</v>
      </c>
      <c r="L55" s="79"/>
      <c r="M55" s="79"/>
      <c r="N55" s="79"/>
    </row>
    <row r="56" spans="1:14" s="78" customFormat="1" ht="18">
      <c r="A56" s="145"/>
      <c r="B56" s="145"/>
      <c r="C56" s="145"/>
      <c r="D56" s="145"/>
      <c r="E56" s="145"/>
      <c r="F56" s="145"/>
      <c r="G56" s="145"/>
      <c r="H56" s="145"/>
      <c r="I56" s="79" t="s">
        <v>3488</v>
      </c>
      <c r="J56" s="79" t="s">
        <v>3485</v>
      </c>
      <c r="K56" s="79" t="s">
        <v>3489</v>
      </c>
      <c r="L56" s="79"/>
      <c r="M56" s="79"/>
      <c r="N56" s="79"/>
    </row>
    <row r="57" spans="1:14" s="78" customFormat="1" ht="18">
      <c r="A57" s="145"/>
      <c r="B57" s="145"/>
      <c r="C57" s="145"/>
      <c r="D57" s="145"/>
      <c r="E57" s="145"/>
      <c r="F57" s="145"/>
      <c r="G57" s="145"/>
      <c r="H57" s="145"/>
      <c r="I57" s="79" t="s">
        <v>3490</v>
      </c>
      <c r="J57" s="79" t="s">
        <v>3491</v>
      </c>
      <c r="K57" s="79" t="s">
        <v>3492</v>
      </c>
      <c r="L57" s="79"/>
      <c r="M57" s="79"/>
      <c r="N57" s="79"/>
    </row>
    <row r="58" spans="1:14" s="78" customFormat="1" ht="18">
      <c r="A58" s="145"/>
      <c r="B58" s="145"/>
      <c r="C58" s="145"/>
      <c r="D58" s="145"/>
      <c r="E58" s="145"/>
      <c r="F58" s="145"/>
      <c r="G58" s="145"/>
      <c r="H58" s="145"/>
      <c r="I58" s="79">
        <v>0</v>
      </c>
      <c r="J58" s="79">
        <v>0</v>
      </c>
      <c r="K58" s="79">
        <v>0</v>
      </c>
      <c r="L58" s="79"/>
      <c r="M58" s="79"/>
      <c r="N58" s="79"/>
    </row>
    <row r="59" spans="1:14" s="78" customFormat="1" ht="18">
      <c r="A59" s="145"/>
      <c r="B59" s="145"/>
      <c r="C59" s="145"/>
      <c r="D59" s="145"/>
      <c r="E59" s="145"/>
      <c r="F59" s="145"/>
      <c r="G59" s="145"/>
      <c r="H59" s="145"/>
      <c r="I59" s="79" t="s">
        <v>3494</v>
      </c>
      <c r="J59" s="79" t="s">
        <v>3493</v>
      </c>
      <c r="K59" s="79" t="s">
        <v>3495</v>
      </c>
      <c r="L59" s="79"/>
      <c r="M59" s="79"/>
      <c r="N59" s="79"/>
    </row>
    <row r="60" spans="1:14" s="78" customFormat="1" ht="18">
      <c r="A60" s="145"/>
      <c r="B60" s="145"/>
      <c r="C60" s="145"/>
      <c r="D60" s="145"/>
      <c r="E60" s="145"/>
      <c r="F60" s="145"/>
      <c r="G60" s="145"/>
      <c r="H60" s="145"/>
      <c r="I60" s="79" t="s">
        <v>3513</v>
      </c>
      <c r="J60" s="79" t="s">
        <v>3514</v>
      </c>
      <c r="K60" s="79" t="s">
        <v>3515</v>
      </c>
      <c r="L60" s="79"/>
      <c r="M60" s="79"/>
      <c r="N60" s="79"/>
    </row>
    <row r="61" spans="1:14" s="78" customFormat="1" ht="18">
      <c r="A61" s="145"/>
      <c r="B61" s="145"/>
      <c r="C61" s="145"/>
      <c r="D61" s="145"/>
      <c r="E61" s="145"/>
      <c r="F61" s="145"/>
      <c r="G61" s="145"/>
      <c r="H61" s="145"/>
      <c r="I61" s="79" t="e">
        <v>#N/A</v>
      </c>
      <c r="J61" s="79" t="e">
        <v>#N/A</v>
      </c>
      <c r="K61" s="79" t="e">
        <v>#N/A</v>
      </c>
      <c r="L61" s="79"/>
      <c r="M61" s="79"/>
      <c r="N61" s="79"/>
    </row>
    <row r="62" spans="1:14" s="78" customFormat="1" ht="18">
      <c r="A62" s="74">
        <v>16</v>
      </c>
      <c r="B62" s="74" t="s">
        <v>6376</v>
      </c>
      <c r="C62" s="74" t="s">
        <v>3516</v>
      </c>
      <c r="D62" s="79" t="s">
        <v>3517</v>
      </c>
      <c r="E62" s="79" t="s">
        <v>3184</v>
      </c>
      <c r="F62" s="79" t="s">
        <v>3518</v>
      </c>
      <c r="G62" s="79" t="s">
        <v>3519</v>
      </c>
      <c r="H62" s="79">
        <v>0</v>
      </c>
      <c r="I62" s="79" t="s">
        <v>3520</v>
      </c>
      <c r="J62" s="79" t="s">
        <v>3518</v>
      </c>
      <c r="K62" s="79" t="s">
        <v>3521</v>
      </c>
      <c r="L62" s="79"/>
      <c r="M62" s="79"/>
      <c r="N62" s="79"/>
    </row>
    <row r="63" spans="1:14" s="78" customFormat="1" ht="18">
      <c r="A63" s="74">
        <v>1</v>
      </c>
      <c r="B63" s="74" t="s">
        <v>917</v>
      </c>
      <c r="C63" s="74" t="s">
        <v>3522</v>
      </c>
      <c r="D63" s="79" t="s">
        <v>3523</v>
      </c>
      <c r="E63" s="79" t="s">
        <v>3184</v>
      </c>
      <c r="F63" s="79" t="s">
        <v>3524</v>
      </c>
      <c r="G63" s="79" t="s">
        <v>3525</v>
      </c>
      <c r="H63" s="79" t="s">
        <v>3526</v>
      </c>
      <c r="I63" s="79" t="s">
        <v>3527</v>
      </c>
      <c r="J63" s="79">
        <v>0</v>
      </c>
      <c r="K63" s="79" t="s">
        <v>3528</v>
      </c>
      <c r="L63" s="79"/>
      <c r="M63" s="79"/>
      <c r="N63" s="79"/>
    </row>
    <row r="64" spans="1:14" s="78" customFormat="1" ht="18">
      <c r="A64" s="74">
        <v>2</v>
      </c>
      <c r="B64" s="74" t="s">
        <v>919</v>
      </c>
      <c r="C64" s="74" t="s">
        <v>3529</v>
      </c>
      <c r="D64" s="79" t="s">
        <v>3530</v>
      </c>
      <c r="E64" s="79" t="s">
        <v>3213</v>
      </c>
      <c r="F64" s="79" t="s">
        <v>3531</v>
      </c>
      <c r="G64" s="79" t="s">
        <v>3532</v>
      </c>
      <c r="H64" s="79">
        <v>0</v>
      </c>
      <c r="I64" s="79" t="s">
        <v>3533</v>
      </c>
      <c r="J64" s="79">
        <v>0</v>
      </c>
      <c r="K64" s="79" t="s">
        <v>3534</v>
      </c>
      <c r="L64" s="79"/>
      <c r="M64" s="79"/>
      <c r="N64" s="79"/>
    </row>
    <row r="65" spans="1:14" s="78" customFormat="1" ht="18">
      <c r="A65" s="74">
        <v>3</v>
      </c>
      <c r="B65" s="74" t="s">
        <v>921</v>
      </c>
      <c r="C65" s="74" t="s">
        <v>3535</v>
      </c>
      <c r="D65" s="79" t="s">
        <v>3536</v>
      </c>
      <c r="E65" s="79" t="s">
        <v>3213</v>
      </c>
      <c r="F65" s="79" t="s">
        <v>3537</v>
      </c>
      <c r="G65" s="79" t="s">
        <v>3538</v>
      </c>
      <c r="H65" s="79" t="s">
        <v>3539</v>
      </c>
      <c r="I65" s="79" t="s">
        <v>3540</v>
      </c>
      <c r="J65" s="79" t="s">
        <v>3541</v>
      </c>
      <c r="K65" s="79" t="s">
        <v>3542</v>
      </c>
      <c r="L65" s="79"/>
      <c r="M65" s="79"/>
      <c r="N65" s="79"/>
    </row>
    <row r="66" spans="1:14" s="78" customFormat="1" ht="18">
      <c r="A66" s="74">
        <v>4</v>
      </c>
      <c r="B66" s="74" t="s">
        <v>525</v>
      </c>
      <c r="C66" s="74" t="s">
        <v>3543</v>
      </c>
      <c r="D66" s="79" t="s">
        <v>3470</v>
      </c>
      <c r="E66" s="79" t="s">
        <v>3213</v>
      </c>
      <c r="F66" s="79" t="s">
        <v>3544</v>
      </c>
      <c r="G66" s="79" t="s">
        <v>3545</v>
      </c>
      <c r="H66" s="79" t="s">
        <v>3546</v>
      </c>
      <c r="I66" s="79" t="s">
        <v>3547</v>
      </c>
      <c r="J66" s="79" t="s">
        <v>3548</v>
      </c>
      <c r="K66" s="79" t="s">
        <v>3549</v>
      </c>
      <c r="L66" s="79"/>
      <c r="M66" s="79"/>
      <c r="N66" s="79"/>
    </row>
    <row r="67" spans="1:14" s="78" customFormat="1" ht="18">
      <c r="A67" s="74">
        <v>5</v>
      </c>
      <c r="B67" s="74" t="s">
        <v>924</v>
      </c>
      <c r="C67" s="74" t="s">
        <v>3550</v>
      </c>
      <c r="D67" s="79" t="s">
        <v>3517</v>
      </c>
      <c r="E67" s="79" t="s">
        <v>3184</v>
      </c>
      <c r="F67" s="79" t="s">
        <v>3551</v>
      </c>
      <c r="G67" s="79" t="s">
        <v>3552</v>
      </c>
      <c r="H67" s="79" t="s">
        <v>3553</v>
      </c>
      <c r="I67" s="79" t="s">
        <v>3554</v>
      </c>
      <c r="J67" s="79">
        <v>0</v>
      </c>
      <c r="K67" s="79" t="s">
        <v>3555</v>
      </c>
      <c r="L67" s="79"/>
      <c r="M67" s="79"/>
      <c r="N67" s="79"/>
    </row>
    <row r="68" spans="1:14" s="78" customFormat="1" ht="18">
      <c r="A68" s="74">
        <v>6</v>
      </c>
      <c r="B68" s="74" t="s">
        <v>928</v>
      </c>
      <c r="C68" s="74" t="s">
        <v>3556</v>
      </c>
      <c r="D68" s="79" t="s">
        <v>3427</v>
      </c>
      <c r="E68" s="79" t="s">
        <v>3184</v>
      </c>
      <c r="F68" s="79" t="s">
        <v>3557</v>
      </c>
      <c r="G68" s="79" t="s">
        <v>3558</v>
      </c>
      <c r="H68" s="79" t="s">
        <v>3559</v>
      </c>
      <c r="I68" s="79" t="s">
        <v>3560</v>
      </c>
      <c r="J68" s="79">
        <v>0</v>
      </c>
      <c r="K68" s="79" t="s">
        <v>3561</v>
      </c>
      <c r="L68" s="79"/>
      <c r="M68" s="79"/>
      <c r="N68" s="79"/>
    </row>
    <row r="69" spans="1:14" s="78" customFormat="1" ht="18">
      <c r="A69" s="74">
        <v>7</v>
      </c>
      <c r="B69" s="74" t="s">
        <v>909</v>
      </c>
      <c r="C69" s="74" t="s">
        <v>3562</v>
      </c>
      <c r="D69" s="79" t="s">
        <v>3563</v>
      </c>
      <c r="E69" s="79" t="s">
        <v>3184</v>
      </c>
      <c r="F69" s="79" t="s">
        <v>3564</v>
      </c>
      <c r="G69" s="79" t="s">
        <v>3565</v>
      </c>
      <c r="H69" s="79" t="s">
        <v>3566</v>
      </c>
      <c r="I69" s="79" t="s">
        <v>3567</v>
      </c>
      <c r="J69" s="79">
        <v>0</v>
      </c>
      <c r="K69" s="79" t="s">
        <v>3568</v>
      </c>
      <c r="L69" s="79"/>
      <c r="M69" s="79"/>
      <c r="N69" s="79"/>
    </row>
    <row r="70" spans="1:14" s="78" customFormat="1" ht="18">
      <c r="A70" s="74">
        <v>8</v>
      </c>
      <c r="B70" s="74" t="s">
        <v>913</v>
      </c>
      <c r="C70" s="74" t="s">
        <v>3569</v>
      </c>
      <c r="D70" s="79" t="s">
        <v>3570</v>
      </c>
      <c r="E70" s="79" t="s">
        <v>3184</v>
      </c>
      <c r="F70" s="79" t="s">
        <v>3571</v>
      </c>
      <c r="G70" s="79" t="s">
        <v>3572</v>
      </c>
      <c r="H70" s="79" t="s">
        <v>3573</v>
      </c>
      <c r="I70" s="79" t="s">
        <v>3574</v>
      </c>
      <c r="J70" s="79" t="s">
        <v>3575</v>
      </c>
      <c r="K70" s="79" t="s">
        <v>3576</v>
      </c>
      <c r="L70" s="79"/>
      <c r="M70" s="79"/>
      <c r="N70" s="79"/>
    </row>
    <row r="71" spans="1:14" s="78" customFormat="1" ht="18">
      <c r="A71" s="74">
        <v>9</v>
      </c>
      <c r="B71" s="74" t="s">
        <v>930</v>
      </c>
      <c r="C71" s="74" t="s">
        <v>3577</v>
      </c>
      <c r="D71" s="79" t="s">
        <v>3578</v>
      </c>
      <c r="E71" s="79" t="s">
        <v>3213</v>
      </c>
      <c r="F71" s="79" t="s">
        <v>3579</v>
      </c>
      <c r="G71" s="79" t="s">
        <v>3580</v>
      </c>
      <c r="H71" s="79" t="s">
        <v>3581</v>
      </c>
      <c r="I71" s="79" t="s">
        <v>3582</v>
      </c>
      <c r="J71" s="79">
        <v>0</v>
      </c>
      <c r="K71" s="79" t="s">
        <v>3583</v>
      </c>
      <c r="L71" s="79"/>
      <c r="M71" s="79"/>
      <c r="N71" s="79"/>
    </row>
    <row r="72" spans="1:14" s="78" customFormat="1" ht="18">
      <c r="A72" s="74">
        <v>10</v>
      </c>
      <c r="B72" s="74" t="s">
        <v>905</v>
      </c>
      <c r="C72" s="74" t="s">
        <v>3584</v>
      </c>
      <c r="D72" s="79" t="s">
        <v>3585</v>
      </c>
      <c r="E72" s="79" t="s">
        <v>3213</v>
      </c>
      <c r="F72" s="79" t="s">
        <v>3586</v>
      </c>
      <c r="G72" s="79" t="s">
        <v>3587</v>
      </c>
      <c r="H72" s="79" t="s">
        <v>3588</v>
      </c>
      <c r="I72" s="79" t="s">
        <v>3589</v>
      </c>
      <c r="J72" s="79" t="s">
        <v>3590</v>
      </c>
      <c r="K72" s="79" t="s">
        <v>3591</v>
      </c>
      <c r="L72" s="79"/>
      <c r="M72" s="79"/>
      <c r="N72" s="79"/>
    </row>
    <row r="73" spans="1:14" s="78" customFormat="1" ht="18">
      <c r="A73" s="74">
        <v>1</v>
      </c>
      <c r="B73" s="74" t="s">
        <v>3592</v>
      </c>
      <c r="C73" s="74" t="s">
        <v>3593</v>
      </c>
      <c r="D73" s="79" t="s">
        <v>3594</v>
      </c>
      <c r="E73" s="79">
        <v>0</v>
      </c>
      <c r="F73" s="79" t="s">
        <v>3595</v>
      </c>
      <c r="G73" s="79">
        <v>0</v>
      </c>
      <c r="H73" s="79">
        <v>0</v>
      </c>
      <c r="I73" s="79">
        <v>0</v>
      </c>
      <c r="J73" s="79">
        <v>0</v>
      </c>
      <c r="K73" s="79" t="s">
        <v>3596</v>
      </c>
      <c r="L73" s="79"/>
      <c r="M73" s="79"/>
      <c r="N73" s="79"/>
    </row>
    <row r="74" spans="1:14" s="78" customFormat="1" ht="18">
      <c r="A74" s="74">
        <v>2</v>
      </c>
      <c r="B74" s="74" t="s">
        <v>3597</v>
      </c>
      <c r="C74" s="74" t="s">
        <v>3598</v>
      </c>
      <c r="D74" s="79" t="s">
        <v>3599</v>
      </c>
      <c r="E74" s="79">
        <v>0</v>
      </c>
      <c r="F74" s="79" t="s">
        <v>3600</v>
      </c>
      <c r="G74" s="79">
        <v>0</v>
      </c>
      <c r="H74" s="79">
        <v>0</v>
      </c>
      <c r="I74" s="79">
        <v>0</v>
      </c>
      <c r="J74" s="79">
        <v>0</v>
      </c>
      <c r="K74" s="79" t="s">
        <v>3261</v>
      </c>
      <c r="L74" s="79"/>
      <c r="M74" s="79"/>
      <c r="N74" s="79"/>
    </row>
    <row r="75" spans="1:14" s="78" customFormat="1" ht="18">
      <c r="A75" s="74">
        <v>4</v>
      </c>
      <c r="B75" s="74" t="s">
        <v>3601</v>
      </c>
      <c r="C75" s="74" t="s">
        <v>3602</v>
      </c>
      <c r="D75" s="79" t="s">
        <v>3603</v>
      </c>
      <c r="E75" s="79">
        <v>0</v>
      </c>
      <c r="F75" s="79" t="s">
        <v>3604</v>
      </c>
      <c r="G75" s="79">
        <v>0</v>
      </c>
      <c r="H75" s="79">
        <v>0</v>
      </c>
      <c r="I75" s="79">
        <v>0</v>
      </c>
      <c r="J75" s="79">
        <v>0</v>
      </c>
      <c r="K75" s="79" t="s">
        <v>3605</v>
      </c>
      <c r="L75" s="79"/>
      <c r="M75" s="79"/>
      <c r="N75" s="79"/>
    </row>
    <row r="76" spans="1:14" s="78" customFormat="1" ht="18">
      <c r="A76" s="74">
        <v>5</v>
      </c>
      <c r="B76" s="74" t="s">
        <v>3606</v>
      </c>
      <c r="C76" s="74" t="s">
        <v>3607</v>
      </c>
      <c r="D76" s="79" t="s">
        <v>3608</v>
      </c>
      <c r="E76" s="79">
        <v>0</v>
      </c>
      <c r="F76" s="79" t="s">
        <v>3609</v>
      </c>
      <c r="G76" s="79">
        <v>0</v>
      </c>
      <c r="H76" s="79">
        <v>0</v>
      </c>
      <c r="I76" s="79">
        <v>0</v>
      </c>
      <c r="J76" s="79">
        <v>0</v>
      </c>
      <c r="K76" s="79" t="s">
        <v>3610</v>
      </c>
      <c r="L76" s="79"/>
      <c r="M76" s="79"/>
      <c r="N76" s="79"/>
    </row>
    <row r="77" spans="1:14" s="78" customFormat="1" ht="18">
      <c r="A77" s="74">
        <v>6</v>
      </c>
      <c r="B77" s="74" t="s">
        <v>3611</v>
      </c>
      <c r="C77" s="74" t="s">
        <v>3612</v>
      </c>
      <c r="D77" s="79" t="s">
        <v>3613</v>
      </c>
      <c r="E77" s="79">
        <v>0</v>
      </c>
      <c r="F77" s="79" t="s">
        <v>3614</v>
      </c>
      <c r="G77" s="79">
        <v>0</v>
      </c>
      <c r="H77" s="79">
        <v>0</v>
      </c>
      <c r="I77" s="79">
        <v>0</v>
      </c>
      <c r="J77" s="79">
        <v>0</v>
      </c>
      <c r="K77" s="79" t="s">
        <v>3272</v>
      </c>
      <c r="L77" s="79"/>
      <c r="M77" s="79"/>
      <c r="N77" s="79"/>
    </row>
    <row r="78" spans="1:14" s="78" customFormat="1" ht="18">
      <c r="A78" s="74">
        <v>7</v>
      </c>
      <c r="B78" s="74" t="s">
        <v>3615</v>
      </c>
      <c r="C78" s="74" t="s">
        <v>3616</v>
      </c>
      <c r="D78" s="79" t="s">
        <v>3396</v>
      </c>
      <c r="E78" s="79">
        <v>0</v>
      </c>
      <c r="F78" s="79" t="s">
        <v>3617</v>
      </c>
      <c r="G78" s="79">
        <v>0</v>
      </c>
      <c r="H78" s="79">
        <v>0</v>
      </c>
      <c r="I78" s="79">
        <v>0</v>
      </c>
      <c r="J78" s="79">
        <v>0</v>
      </c>
      <c r="K78" s="79" t="s">
        <v>3618</v>
      </c>
      <c r="L78" s="79"/>
      <c r="M78" s="79"/>
      <c r="N78" s="79"/>
    </row>
    <row r="79" spans="1:14" s="78" customFormat="1" ht="18">
      <c r="A79" s="74">
        <v>8</v>
      </c>
      <c r="B79" s="74" t="s">
        <v>3619</v>
      </c>
      <c r="C79" s="74" t="s">
        <v>3620</v>
      </c>
      <c r="D79" s="79" t="s">
        <v>3466</v>
      </c>
      <c r="E79" s="79">
        <v>0</v>
      </c>
      <c r="F79" s="79" t="s">
        <v>3621</v>
      </c>
      <c r="G79" s="79">
        <v>0</v>
      </c>
      <c r="H79" s="79">
        <v>0</v>
      </c>
      <c r="I79" s="79">
        <v>0</v>
      </c>
      <c r="J79" s="79">
        <v>0</v>
      </c>
      <c r="K79" s="79" t="s">
        <v>3622</v>
      </c>
      <c r="L79" s="79"/>
      <c r="M79" s="79"/>
      <c r="N79" s="79"/>
    </row>
    <row r="80" spans="1:14" s="78" customFormat="1" ht="18">
      <c r="A80" s="74">
        <v>9</v>
      </c>
      <c r="B80" s="74" t="s">
        <v>3623</v>
      </c>
      <c r="C80" s="74" t="s">
        <v>3624</v>
      </c>
      <c r="D80" s="79" t="s">
        <v>3625</v>
      </c>
      <c r="E80" s="79">
        <v>0</v>
      </c>
      <c r="F80" s="79" t="s">
        <v>3626</v>
      </c>
      <c r="G80" s="79">
        <v>0</v>
      </c>
      <c r="H80" s="79">
        <v>0</v>
      </c>
      <c r="I80" s="79">
        <v>0</v>
      </c>
      <c r="J80" s="79">
        <v>0</v>
      </c>
      <c r="K80" s="79" t="s">
        <v>3627</v>
      </c>
      <c r="L80" s="79"/>
      <c r="M80" s="79"/>
      <c r="N80" s="79"/>
    </row>
    <row r="81" spans="1:14" s="78" customFormat="1" ht="18">
      <c r="A81" s="74">
        <v>11</v>
      </c>
      <c r="B81" s="74" t="s">
        <v>3628</v>
      </c>
      <c r="C81" s="74" t="s">
        <v>3629</v>
      </c>
      <c r="D81" s="79" t="s">
        <v>3630</v>
      </c>
      <c r="E81" s="79">
        <v>0</v>
      </c>
      <c r="F81" s="79" t="s">
        <v>3631</v>
      </c>
      <c r="G81" s="79">
        <v>0</v>
      </c>
      <c r="H81" s="79">
        <v>0</v>
      </c>
      <c r="I81" s="79">
        <v>0</v>
      </c>
      <c r="J81" s="79">
        <v>0</v>
      </c>
      <c r="K81" s="79" t="s">
        <v>3610</v>
      </c>
      <c r="L81" s="79"/>
      <c r="M81" s="79"/>
      <c r="N81" s="79"/>
    </row>
    <row r="82" spans="1:14" s="78" customFormat="1" ht="18">
      <c r="A82" s="74">
        <v>14</v>
      </c>
      <c r="B82" s="74" t="s">
        <v>114</v>
      </c>
      <c r="C82" s="74" t="s">
        <v>3632</v>
      </c>
      <c r="D82" s="79" t="s">
        <v>3451</v>
      </c>
      <c r="E82" s="79">
        <v>0</v>
      </c>
      <c r="F82" s="79" t="s">
        <v>3633</v>
      </c>
      <c r="G82" s="79">
        <v>0</v>
      </c>
      <c r="H82" s="79">
        <v>0</v>
      </c>
      <c r="I82" s="79">
        <v>0</v>
      </c>
      <c r="J82" s="79">
        <v>0</v>
      </c>
      <c r="K82" s="79" t="s">
        <v>3634</v>
      </c>
      <c r="L82" s="79"/>
      <c r="M82" s="79"/>
      <c r="N82" s="79"/>
    </row>
    <row r="83" spans="1:14" s="78" customFormat="1" ht="18">
      <c r="A83" s="74">
        <v>16</v>
      </c>
      <c r="B83" s="74" t="s">
        <v>3635</v>
      </c>
      <c r="C83" s="74" t="s">
        <v>3636</v>
      </c>
      <c r="D83" s="79" t="s">
        <v>3637</v>
      </c>
      <c r="E83" s="79">
        <v>0</v>
      </c>
      <c r="F83" s="79" t="s">
        <v>3638</v>
      </c>
      <c r="G83" s="79">
        <v>0</v>
      </c>
      <c r="H83" s="79">
        <v>0</v>
      </c>
      <c r="I83" s="79">
        <v>0</v>
      </c>
      <c r="J83" s="79">
        <v>0</v>
      </c>
      <c r="K83" s="79" t="s">
        <v>3231</v>
      </c>
      <c r="L83" s="79"/>
      <c r="M83" s="79"/>
      <c r="N83" s="79"/>
    </row>
    <row r="84" spans="1:14" s="78" customFormat="1" ht="18">
      <c r="A84" s="74">
        <v>18</v>
      </c>
      <c r="B84" s="74" t="s">
        <v>3639</v>
      </c>
      <c r="C84" s="74" t="s">
        <v>3640</v>
      </c>
      <c r="D84" s="79" t="s">
        <v>3641</v>
      </c>
      <c r="E84" s="79">
        <v>0</v>
      </c>
      <c r="F84" s="79" t="s">
        <v>3642</v>
      </c>
      <c r="G84" s="79">
        <v>0</v>
      </c>
      <c r="H84" s="79">
        <v>0</v>
      </c>
      <c r="I84" s="79">
        <v>0</v>
      </c>
      <c r="J84" s="79">
        <v>0</v>
      </c>
      <c r="K84" s="79" t="s">
        <v>3643</v>
      </c>
      <c r="L84" s="79"/>
      <c r="M84" s="79"/>
      <c r="N84" s="79"/>
    </row>
    <row r="85" spans="1:14" s="78" customFormat="1" ht="18">
      <c r="A85" s="74">
        <v>19</v>
      </c>
      <c r="B85" s="74" t="s">
        <v>3644</v>
      </c>
      <c r="C85" s="74" t="s">
        <v>3645</v>
      </c>
      <c r="D85" s="79" t="s">
        <v>3646</v>
      </c>
      <c r="E85" s="79">
        <v>0</v>
      </c>
      <c r="F85" s="79" t="s">
        <v>3647</v>
      </c>
      <c r="G85" s="79">
        <v>0</v>
      </c>
      <c r="H85" s="79">
        <v>0</v>
      </c>
      <c r="I85" s="79">
        <v>0</v>
      </c>
      <c r="J85" s="79">
        <v>0</v>
      </c>
      <c r="K85" s="79" t="s">
        <v>3231</v>
      </c>
      <c r="L85" s="79"/>
      <c r="M85" s="79"/>
      <c r="N85" s="79"/>
    </row>
    <row r="86" spans="1:14" s="78" customFormat="1" ht="18">
      <c r="A86" s="74">
        <v>20</v>
      </c>
      <c r="B86" s="74" t="s">
        <v>3648</v>
      </c>
      <c r="C86" s="74" t="s">
        <v>3649</v>
      </c>
      <c r="D86" s="79" t="s">
        <v>3646</v>
      </c>
      <c r="E86" s="79">
        <v>0</v>
      </c>
      <c r="F86" s="79" t="s">
        <v>3647</v>
      </c>
      <c r="G86" s="79">
        <v>0</v>
      </c>
      <c r="H86" s="79">
        <v>0</v>
      </c>
      <c r="I86" s="79">
        <v>0</v>
      </c>
      <c r="J86" s="79">
        <v>0</v>
      </c>
      <c r="K86" s="79" t="s">
        <v>3231</v>
      </c>
      <c r="L86" s="79"/>
      <c r="M86" s="79"/>
      <c r="N86" s="79"/>
    </row>
    <row r="87" spans="1:14" s="78" customFormat="1" ht="18">
      <c r="A87" s="74">
        <v>1</v>
      </c>
      <c r="B87" s="74" t="s">
        <v>595</v>
      </c>
      <c r="C87" s="74" t="s">
        <v>3650</v>
      </c>
      <c r="D87" s="79" t="s">
        <v>3651</v>
      </c>
      <c r="E87" s="79" t="s">
        <v>3213</v>
      </c>
      <c r="F87" s="79" t="s">
        <v>3652</v>
      </c>
      <c r="G87" s="79" t="s">
        <v>3653</v>
      </c>
      <c r="H87" s="79" t="s">
        <v>3654</v>
      </c>
      <c r="I87" s="79" t="s">
        <v>3655</v>
      </c>
      <c r="J87" s="79" t="s">
        <v>3656</v>
      </c>
      <c r="K87" s="79" t="s">
        <v>3657</v>
      </c>
      <c r="L87" s="79"/>
      <c r="M87" s="79"/>
      <c r="N87" s="79"/>
    </row>
    <row r="88" spans="1:14" s="78" customFormat="1" ht="18">
      <c r="A88" s="74">
        <v>2</v>
      </c>
      <c r="B88" s="74" t="s">
        <v>618</v>
      </c>
      <c r="C88" s="74" t="s">
        <v>3658</v>
      </c>
      <c r="D88" s="79" t="s">
        <v>3659</v>
      </c>
      <c r="E88" s="79" t="s">
        <v>3184</v>
      </c>
      <c r="F88" s="79" t="s">
        <v>3660</v>
      </c>
      <c r="G88" s="79" t="s">
        <v>1516</v>
      </c>
      <c r="H88" s="79" t="s">
        <v>3661</v>
      </c>
      <c r="I88" s="79" t="s">
        <v>3662</v>
      </c>
      <c r="J88" s="79" t="s">
        <v>3663</v>
      </c>
      <c r="K88" s="79" t="s">
        <v>3664</v>
      </c>
      <c r="L88" s="79"/>
      <c r="M88" s="79"/>
      <c r="N88" s="79"/>
    </row>
    <row r="89" spans="1:14" s="78" customFormat="1" ht="18">
      <c r="A89" s="74">
        <v>3</v>
      </c>
      <c r="B89" s="74" t="s">
        <v>622</v>
      </c>
      <c r="C89" s="74" t="s">
        <v>3665</v>
      </c>
      <c r="D89" s="79" t="s">
        <v>3585</v>
      </c>
      <c r="E89" s="79" t="s">
        <v>3213</v>
      </c>
      <c r="F89" s="79" t="s">
        <v>3666</v>
      </c>
      <c r="G89" s="79" t="s">
        <v>3667</v>
      </c>
      <c r="H89" s="79" t="s">
        <v>3668</v>
      </c>
      <c r="I89" s="79" t="s">
        <v>3669</v>
      </c>
      <c r="J89" s="79" t="s">
        <v>3670</v>
      </c>
      <c r="K89" s="79" t="s">
        <v>3671</v>
      </c>
      <c r="L89" s="79"/>
      <c r="M89" s="79"/>
      <c r="N89" s="79"/>
    </row>
    <row r="90" spans="1:14" s="78" customFormat="1" ht="18">
      <c r="A90" s="74">
        <v>4</v>
      </c>
      <c r="B90" s="74" t="s">
        <v>624</v>
      </c>
      <c r="C90" s="74" t="s">
        <v>3672</v>
      </c>
      <c r="D90" s="79" t="s">
        <v>3673</v>
      </c>
      <c r="E90" s="79" t="s">
        <v>3213</v>
      </c>
      <c r="F90" s="79" t="s">
        <v>3674</v>
      </c>
      <c r="G90" s="79" t="s">
        <v>3675</v>
      </c>
      <c r="H90" s="79" t="s">
        <v>3676</v>
      </c>
      <c r="I90" s="79" t="s">
        <v>3677</v>
      </c>
      <c r="J90" s="79" t="s">
        <v>3678</v>
      </c>
      <c r="K90" s="79" t="s">
        <v>3679</v>
      </c>
      <c r="L90" s="79"/>
      <c r="M90" s="79"/>
      <c r="N90" s="79"/>
    </row>
    <row r="91" spans="1:14" s="78" customFormat="1" ht="18">
      <c r="A91" s="74">
        <v>5</v>
      </c>
      <c r="B91" s="74" t="s">
        <v>3680</v>
      </c>
      <c r="C91" s="74" t="s">
        <v>3681</v>
      </c>
      <c r="D91" s="79">
        <v>40037</v>
      </c>
      <c r="E91" s="79" t="s">
        <v>3213</v>
      </c>
      <c r="F91" s="79" t="s">
        <v>3682</v>
      </c>
      <c r="G91" s="79" t="s">
        <v>3683</v>
      </c>
      <c r="H91" s="79" t="s">
        <v>3684</v>
      </c>
      <c r="I91" s="79" t="s">
        <v>3685</v>
      </c>
      <c r="J91" s="79" t="s">
        <v>3686</v>
      </c>
      <c r="K91" s="79" t="s">
        <v>3687</v>
      </c>
      <c r="L91" s="79"/>
      <c r="M91" s="79"/>
      <c r="N91" s="79"/>
    </row>
    <row r="92" spans="1:14" s="78" customFormat="1" ht="18">
      <c r="A92" s="74">
        <v>6</v>
      </c>
      <c r="B92" s="74" t="s">
        <v>3688</v>
      </c>
      <c r="C92" s="74" t="s">
        <v>3689</v>
      </c>
      <c r="D92" s="79">
        <v>39968</v>
      </c>
      <c r="E92" s="79" t="s">
        <v>3184</v>
      </c>
      <c r="F92" s="79" t="s">
        <v>3690</v>
      </c>
      <c r="G92" s="79" t="s">
        <v>3691</v>
      </c>
      <c r="H92" s="79" t="s">
        <v>3692</v>
      </c>
      <c r="I92" s="79" t="s">
        <v>3693</v>
      </c>
      <c r="J92" s="79" t="s">
        <v>3694</v>
      </c>
      <c r="K92" s="79" t="s">
        <v>3695</v>
      </c>
      <c r="L92" s="79"/>
      <c r="M92" s="79"/>
      <c r="N92" s="79"/>
    </row>
    <row r="93" spans="1:14" s="78" customFormat="1" ht="18">
      <c r="A93" s="74">
        <v>7</v>
      </c>
      <c r="B93" s="74" t="s">
        <v>285</v>
      </c>
      <c r="C93" s="74" t="s">
        <v>3696</v>
      </c>
      <c r="D93" s="79" t="s">
        <v>3697</v>
      </c>
      <c r="E93" s="79" t="s">
        <v>3184</v>
      </c>
      <c r="F93" s="79" t="s">
        <v>3698</v>
      </c>
      <c r="G93" s="79" t="s">
        <v>3699</v>
      </c>
      <c r="H93" s="79" t="s">
        <v>3700</v>
      </c>
      <c r="I93" s="79" t="s">
        <v>3701</v>
      </c>
      <c r="J93" s="79" t="s">
        <v>3702</v>
      </c>
      <c r="K93" s="79" t="s">
        <v>3703</v>
      </c>
      <c r="L93" s="79"/>
      <c r="M93" s="79"/>
      <c r="N93" s="79"/>
    </row>
    <row r="94" spans="1:14" s="78" customFormat="1" ht="18">
      <c r="A94" s="74">
        <v>8</v>
      </c>
      <c r="B94" s="74" t="s">
        <v>633</v>
      </c>
      <c r="C94" s="74" t="s">
        <v>3704</v>
      </c>
      <c r="D94" s="79" t="s">
        <v>3705</v>
      </c>
      <c r="E94" s="79" t="s">
        <v>3184</v>
      </c>
      <c r="F94" s="79" t="s">
        <v>3706</v>
      </c>
      <c r="G94" s="79" t="s">
        <v>3707</v>
      </c>
      <c r="H94" s="79" t="s">
        <v>3708</v>
      </c>
      <c r="I94" s="79" t="s">
        <v>3709</v>
      </c>
      <c r="J94" s="79" t="s">
        <v>3710</v>
      </c>
      <c r="K94" s="79" t="s">
        <v>3711</v>
      </c>
      <c r="L94" s="79"/>
      <c r="M94" s="79"/>
      <c r="N94" s="79"/>
    </row>
    <row r="95" spans="1:14" s="78" customFormat="1" ht="18">
      <c r="A95" s="74">
        <v>9</v>
      </c>
      <c r="B95" s="74" t="s">
        <v>598</v>
      </c>
      <c r="C95" s="74" t="s">
        <v>3712</v>
      </c>
      <c r="D95" s="79" t="s">
        <v>3713</v>
      </c>
      <c r="E95" s="79" t="s">
        <v>3184</v>
      </c>
      <c r="F95" s="79" t="s">
        <v>3714</v>
      </c>
      <c r="G95" s="79" t="s">
        <v>3715</v>
      </c>
      <c r="H95" s="79" t="s">
        <v>3716</v>
      </c>
      <c r="I95" s="79" t="s">
        <v>3717</v>
      </c>
      <c r="J95" s="79" t="s">
        <v>3718</v>
      </c>
      <c r="K95" s="79" t="s">
        <v>3719</v>
      </c>
      <c r="L95" s="79"/>
      <c r="M95" s="79"/>
      <c r="N95" s="79"/>
    </row>
    <row r="96" spans="1:14" s="78" customFormat="1" ht="18">
      <c r="A96" s="74">
        <v>10</v>
      </c>
      <c r="B96" s="74" t="s">
        <v>600</v>
      </c>
      <c r="C96" s="74" t="s">
        <v>3720</v>
      </c>
      <c r="D96" s="79" t="s">
        <v>3721</v>
      </c>
      <c r="E96" s="79" t="s">
        <v>3213</v>
      </c>
      <c r="F96" s="79" t="s">
        <v>3722</v>
      </c>
      <c r="G96" s="79" t="s">
        <v>3723</v>
      </c>
      <c r="H96" s="79" t="s">
        <v>3724</v>
      </c>
      <c r="I96" s="79" t="s">
        <v>3725</v>
      </c>
      <c r="J96" s="79" t="s">
        <v>3726</v>
      </c>
      <c r="K96" s="79" t="s">
        <v>3727</v>
      </c>
      <c r="L96" s="79"/>
      <c r="M96" s="79"/>
      <c r="N96" s="79"/>
    </row>
    <row r="97" spans="1:14" s="78" customFormat="1" ht="18">
      <c r="A97" s="74">
        <v>11</v>
      </c>
      <c r="B97" s="74" t="s">
        <v>602</v>
      </c>
      <c r="C97" s="74" t="s">
        <v>3728</v>
      </c>
      <c r="D97" s="79" t="s">
        <v>3396</v>
      </c>
      <c r="E97" s="79" t="s">
        <v>3213</v>
      </c>
      <c r="F97" s="79" t="s">
        <v>3729</v>
      </c>
      <c r="G97" s="79" t="s">
        <v>3730</v>
      </c>
      <c r="H97" s="79" t="s">
        <v>3731</v>
      </c>
      <c r="I97" s="79" t="s">
        <v>3732</v>
      </c>
      <c r="J97" s="79" t="s">
        <v>3733</v>
      </c>
      <c r="K97" s="79" t="s">
        <v>3734</v>
      </c>
      <c r="L97" s="79"/>
      <c r="M97" s="79"/>
      <c r="N97" s="79"/>
    </row>
    <row r="98" spans="1:14" s="78" customFormat="1" ht="18">
      <c r="A98" s="74">
        <v>12</v>
      </c>
      <c r="B98" s="74" t="s">
        <v>626</v>
      </c>
      <c r="C98" s="74" t="s">
        <v>3735</v>
      </c>
      <c r="D98" s="79" t="s">
        <v>3736</v>
      </c>
      <c r="E98" s="79" t="s">
        <v>3213</v>
      </c>
      <c r="F98" s="79" t="s">
        <v>3737</v>
      </c>
      <c r="G98" s="79" t="s">
        <v>3738</v>
      </c>
      <c r="H98" s="79" t="s">
        <v>3739</v>
      </c>
      <c r="I98" s="79" t="s">
        <v>3740</v>
      </c>
      <c r="J98" s="79" t="s">
        <v>3741</v>
      </c>
      <c r="K98" s="79" t="s">
        <v>3742</v>
      </c>
      <c r="L98" s="79"/>
      <c r="M98" s="79"/>
      <c r="N98" s="79"/>
    </row>
    <row r="99" spans="1:14" s="78" customFormat="1" ht="18">
      <c r="A99" s="74">
        <v>13</v>
      </c>
      <c r="B99" s="74" t="s">
        <v>604</v>
      </c>
      <c r="C99" s="74" t="s">
        <v>3743</v>
      </c>
      <c r="D99" s="79">
        <v>40067</v>
      </c>
      <c r="E99" s="79" t="s">
        <v>3213</v>
      </c>
      <c r="F99" s="79" t="s">
        <v>3744</v>
      </c>
      <c r="G99" s="79" t="s">
        <v>3745</v>
      </c>
      <c r="H99" s="79" t="s">
        <v>3746</v>
      </c>
      <c r="I99" s="79" t="s">
        <v>3747</v>
      </c>
      <c r="J99" s="79" t="s">
        <v>3748</v>
      </c>
      <c r="K99" s="79" t="s">
        <v>3749</v>
      </c>
      <c r="L99" s="79"/>
      <c r="M99" s="79"/>
      <c r="N99" s="79"/>
    </row>
    <row r="100" spans="1:14" s="78" customFormat="1" ht="18">
      <c r="A100" s="74">
        <v>15</v>
      </c>
      <c r="B100" s="74" t="s">
        <v>608</v>
      </c>
      <c r="C100" s="74" t="s">
        <v>3750</v>
      </c>
      <c r="D100" s="79" t="s">
        <v>3421</v>
      </c>
      <c r="E100" s="79" t="s">
        <v>3213</v>
      </c>
      <c r="F100" s="79" t="s">
        <v>3751</v>
      </c>
      <c r="G100" s="79" t="s">
        <v>3752</v>
      </c>
      <c r="H100" s="79" t="s">
        <v>3753</v>
      </c>
      <c r="I100" s="79" t="s">
        <v>3754</v>
      </c>
      <c r="J100" s="79" t="s">
        <v>3755</v>
      </c>
      <c r="K100" s="79" t="s">
        <v>3756</v>
      </c>
      <c r="L100" s="79"/>
      <c r="M100" s="79"/>
      <c r="N100" s="79"/>
    </row>
    <row r="101" spans="1:14" s="78" customFormat="1" ht="18">
      <c r="A101" s="74">
        <v>16</v>
      </c>
      <c r="B101" s="74" t="s">
        <v>610</v>
      </c>
      <c r="C101" s="74" t="s">
        <v>3757</v>
      </c>
      <c r="D101" s="79" t="s">
        <v>3758</v>
      </c>
      <c r="E101" s="79" t="s">
        <v>3213</v>
      </c>
      <c r="F101" s="79" t="s">
        <v>3759</v>
      </c>
      <c r="G101" s="79" t="s">
        <v>3760</v>
      </c>
      <c r="H101" s="79" t="s">
        <v>3761</v>
      </c>
      <c r="I101" s="79" t="s">
        <v>3762</v>
      </c>
      <c r="J101" s="79" t="s">
        <v>3763</v>
      </c>
      <c r="K101" s="79" t="s">
        <v>3764</v>
      </c>
      <c r="L101" s="79"/>
      <c r="M101" s="79"/>
      <c r="N101" s="79"/>
    </row>
    <row r="102" spans="1:14" s="78" customFormat="1" ht="18">
      <c r="A102" s="74">
        <v>17</v>
      </c>
      <c r="B102" s="74" t="s">
        <v>612</v>
      </c>
      <c r="C102" s="74" t="s">
        <v>3765</v>
      </c>
      <c r="D102" s="79">
        <v>39975</v>
      </c>
      <c r="E102" s="79" t="s">
        <v>3213</v>
      </c>
      <c r="F102" s="79" t="s">
        <v>3766</v>
      </c>
      <c r="G102" s="79" t="s">
        <v>3767</v>
      </c>
      <c r="H102" s="79" t="s">
        <v>3768</v>
      </c>
      <c r="I102" s="79" t="s">
        <v>628</v>
      </c>
      <c r="J102" s="79" t="s">
        <v>3769</v>
      </c>
      <c r="K102" s="79" t="s">
        <v>3770</v>
      </c>
      <c r="L102" s="79"/>
      <c r="M102" s="79"/>
      <c r="N102" s="79"/>
    </row>
    <row r="103" spans="1:14" s="78" customFormat="1" ht="18">
      <c r="A103" s="74">
        <v>18</v>
      </c>
      <c r="B103" s="74" t="s">
        <v>616</v>
      </c>
      <c r="C103" s="74" t="s">
        <v>3771</v>
      </c>
      <c r="D103" s="79">
        <v>40037</v>
      </c>
      <c r="E103" s="79" t="s">
        <v>3184</v>
      </c>
      <c r="F103" s="79" t="s">
        <v>3772</v>
      </c>
      <c r="G103" s="79" t="s">
        <v>935</v>
      </c>
      <c r="H103" s="79" t="s">
        <v>3773</v>
      </c>
      <c r="I103" s="79" t="s">
        <v>3774</v>
      </c>
      <c r="J103" s="79" t="s">
        <v>3775</v>
      </c>
      <c r="K103" s="79" t="s">
        <v>3776</v>
      </c>
      <c r="L103" s="79"/>
      <c r="M103" s="79"/>
      <c r="N103" s="79"/>
    </row>
    <row r="104" spans="1:14" s="78" customFormat="1" ht="18">
      <c r="A104" s="74">
        <v>19</v>
      </c>
      <c r="B104" s="74" t="s">
        <v>620</v>
      </c>
      <c r="C104" s="74" t="s">
        <v>3777</v>
      </c>
      <c r="D104" s="79" t="e">
        <v>#N/A</v>
      </c>
      <c r="E104" s="79" t="e">
        <v>#N/A</v>
      </c>
      <c r="F104" s="79" t="e">
        <v>#N/A</v>
      </c>
      <c r="G104" s="79" t="e">
        <v>#N/A</v>
      </c>
      <c r="H104" s="79" t="e">
        <v>#N/A</v>
      </c>
      <c r="I104" s="79" t="e">
        <v>#N/A</v>
      </c>
      <c r="J104" s="79" t="e">
        <v>#N/A</v>
      </c>
      <c r="K104" s="79" t="e">
        <v>#N/A</v>
      </c>
      <c r="L104" s="79"/>
      <c r="M104" s="79"/>
      <c r="N104" s="79"/>
    </row>
    <row r="105" spans="1:14" s="78" customFormat="1" ht="18">
      <c r="A105" s="74">
        <v>22</v>
      </c>
      <c r="B105" s="74" t="s">
        <v>3778</v>
      </c>
      <c r="C105" s="74" t="s">
        <v>3779</v>
      </c>
      <c r="D105" s="79" t="s">
        <v>3466</v>
      </c>
      <c r="E105" s="79" t="s">
        <v>3213</v>
      </c>
      <c r="F105" s="79" t="s">
        <v>3780</v>
      </c>
      <c r="G105" s="79" t="s">
        <v>3781</v>
      </c>
      <c r="H105" s="79" t="s">
        <v>3782</v>
      </c>
      <c r="I105" s="79" t="s">
        <v>3783</v>
      </c>
      <c r="J105" s="79" t="s">
        <v>3784</v>
      </c>
      <c r="K105" s="79" t="s">
        <v>3785</v>
      </c>
      <c r="L105" s="79"/>
      <c r="M105" s="79"/>
      <c r="N105" s="79"/>
    </row>
    <row r="106" spans="1:14" s="78" customFormat="1" ht="18">
      <c r="A106" s="74">
        <v>23</v>
      </c>
      <c r="B106" s="74" t="s">
        <v>614</v>
      </c>
      <c r="C106" s="74" t="s">
        <v>3786</v>
      </c>
      <c r="D106" s="79" t="s">
        <v>3509</v>
      </c>
      <c r="E106" s="79" t="s">
        <v>3213</v>
      </c>
      <c r="F106" s="79" t="s">
        <v>3787</v>
      </c>
      <c r="G106" s="79" t="s">
        <v>3788</v>
      </c>
      <c r="H106" s="79" t="s">
        <v>3789</v>
      </c>
      <c r="I106" s="79" t="s">
        <v>3790</v>
      </c>
      <c r="J106" s="79" t="s">
        <v>3791</v>
      </c>
      <c r="K106" s="79" t="s">
        <v>3792</v>
      </c>
      <c r="L106" s="79"/>
      <c r="M106" s="79"/>
      <c r="N106" s="79"/>
    </row>
    <row r="107" spans="1:14" s="78" customFormat="1" ht="18">
      <c r="A107" s="74">
        <v>25</v>
      </c>
      <c r="B107" s="74" t="s">
        <v>3793</v>
      </c>
      <c r="C107" s="74" t="s">
        <v>3794</v>
      </c>
      <c r="D107" s="79" t="e">
        <v>#N/A</v>
      </c>
      <c r="E107" s="79" t="e">
        <v>#N/A</v>
      </c>
      <c r="F107" s="79" t="e">
        <v>#N/A</v>
      </c>
      <c r="G107" s="79" t="e">
        <v>#N/A</v>
      </c>
      <c r="H107" s="79" t="e">
        <v>#N/A</v>
      </c>
      <c r="I107" s="79" t="e">
        <v>#N/A</v>
      </c>
      <c r="J107" s="79" t="e">
        <v>#N/A</v>
      </c>
      <c r="K107" s="79" t="e">
        <v>#N/A</v>
      </c>
      <c r="L107" s="79"/>
      <c r="M107" s="79"/>
      <c r="N107" s="79"/>
    </row>
    <row r="108" spans="1:14" s="78" customFormat="1" ht="18">
      <c r="A108" s="74">
        <v>26</v>
      </c>
      <c r="B108" s="74" t="s">
        <v>992</v>
      </c>
      <c r="C108" s="74" t="s">
        <v>3795</v>
      </c>
      <c r="D108" s="79" t="e">
        <v>#N/A</v>
      </c>
      <c r="E108" s="79" t="e">
        <v>#N/A</v>
      </c>
      <c r="F108" s="79" t="e">
        <v>#N/A</v>
      </c>
      <c r="G108" s="79" t="e">
        <v>#N/A</v>
      </c>
      <c r="H108" s="79" t="e">
        <v>#N/A</v>
      </c>
      <c r="I108" s="79" t="e">
        <v>#N/A</v>
      </c>
      <c r="J108" s="79" t="e">
        <v>#N/A</v>
      </c>
      <c r="K108" s="79" t="e">
        <v>#N/A</v>
      </c>
      <c r="L108" s="79"/>
      <c r="M108" s="79"/>
      <c r="N108" s="79"/>
    </row>
    <row r="109" spans="1:14" s="78" customFormat="1" ht="18">
      <c r="A109" s="74">
        <v>29</v>
      </c>
      <c r="B109" s="74" t="s">
        <v>3796</v>
      </c>
      <c r="C109" s="74" t="s">
        <v>3797</v>
      </c>
      <c r="D109" s="79" t="e">
        <v>#N/A</v>
      </c>
      <c r="E109" s="79" t="e">
        <v>#N/A</v>
      </c>
      <c r="F109" s="79" t="e">
        <v>#N/A</v>
      </c>
      <c r="G109" s="79" t="e">
        <v>#N/A</v>
      </c>
      <c r="H109" s="79" t="e">
        <v>#N/A</v>
      </c>
      <c r="I109" s="79" t="e">
        <v>#N/A</v>
      </c>
      <c r="J109" s="79" t="e">
        <v>#N/A</v>
      </c>
      <c r="K109" s="79" t="e">
        <v>#N/A</v>
      </c>
      <c r="L109" s="79"/>
      <c r="M109" s="79"/>
      <c r="N109" s="79"/>
    </row>
    <row r="110" spans="1:14" s="78" customFormat="1" ht="18">
      <c r="A110" s="74">
        <v>1</v>
      </c>
      <c r="B110" s="74" t="s">
        <v>1147</v>
      </c>
      <c r="C110" s="74" t="s">
        <v>3798</v>
      </c>
      <c r="D110" s="79" t="s">
        <v>3799</v>
      </c>
      <c r="E110" s="79" t="s">
        <v>3213</v>
      </c>
      <c r="F110" s="79" t="s">
        <v>3800</v>
      </c>
      <c r="G110" s="79" t="s">
        <v>3801</v>
      </c>
      <c r="H110" s="79">
        <v>0</v>
      </c>
      <c r="I110" s="79" t="s">
        <v>3802</v>
      </c>
      <c r="J110" s="79" t="s">
        <v>3800</v>
      </c>
      <c r="K110" s="79" t="s">
        <v>3803</v>
      </c>
      <c r="L110" s="79"/>
      <c r="M110" s="79"/>
      <c r="N110" s="79"/>
    </row>
    <row r="111" spans="1:14" s="78" customFormat="1" ht="18">
      <c r="A111" s="74">
        <v>2</v>
      </c>
      <c r="B111" s="74" t="s">
        <v>1149</v>
      </c>
      <c r="C111" s="74" t="s">
        <v>3804</v>
      </c>
      <c r="D111" s="79" t="s">
        <v>3805</v>
      </c>
      <c r="E111" s="79" t="s">
        <v>3213</v>
      </c>
      <c r="F111" s="79" t="s">
        <v>3806</v>
      </c>
      <c r="G111" s="79" t="s">
        <v>3807</v>
      </c>
      <c r="H111" s="79" t="s">
        <v>3808</v>
      </c>
      <c r="I111" s="79" t="s">
        <v>3389</v>
      </c>
      <c r="J111" s="79" t="s">
        <v>3806</v>
      </c>
      <c r="K111" s="79" t="s">
        <v>3809</v>
      </c>
      <c r="L111" s="79"/>
      <c r="M111" s="79"/>
      <c r="N111" s="79"/>
    </row>
    <row r="112" spans="1:14" s="78" customFormat="1" ht="18">
      <c r="A112" s="74">
        <v>3</v>
      </c>
      <c r="B112" s="74" t="s">
        <v>51</v>
      </c>
      <c r="C112" s="74" t="s">
        <v>3810</v>
      </c>
      <c r="D112" s="79" t="s">
        <v>3811</v>
      </c>
      <c r="E112" s="79" t="s">
        <v>3184</v>
      </c>
      <c r="F112" s="79" t="s">
        <v>3812</v>
      </c>
      <c r="G112" s="79" t="s">
        <v>3813</v>
      </c>
      <c r="H112" s="79">
        <v>0</v>
      </c>
      <c r="I112" s="79" t="s">
        <v>3814</v>
      </c>
      <c r="J112" s="79">
        <v>0</v>
      </c>
      <c r="K112" s="79" t="s">
        <v>3231</v>
      </c>
      <c r="L112" s="79"/>
      <c r="M112" s="79"/>
      <c r="N112" s="79"/>
    </row>
    <row r="113" spans="1:14" s="78" customFormat="1" ht="18">
      <c r="A113" s="74">
        <v>4</v>
      </c>
      <c r="B113" s="74" t="s">
        <v>1152</v>
      </c>
      <c r="C113" s="74" t="s">
        <v>3815</v>
      </c>
      <c r="D113" s="79" t="s">
        <v>3816</v>
      </c>
      <c r="E113" s="79" t="s">
        <v>3213</v>
      </c>
      <c r="F113" s="79" t="s">
        <v>3817</v>
      </c>
      <c r="G113" s="79" t="s">
        <v>3818</v>
      </c>
      <c r="H113" s="79" t="s">
        <v>3819</v>
      </c>
      <c r="I113" s="79" t="s">
        <v>3820</v>
      </c>
      <c r="J113" s="79" t="s">
        <v>3817</v>
      </c>
      <c r="K113" s="79" t="s">
        <v>3821</v>
      </c>
      <c r="L113" s="79"/>
      <c r="M113" s="79"/>
      <c r="N113" s="79"/>
    </row>
    <row r="114" spans="1:14" s="78" customFormat="1" ht="18">
      <c r="A114" s="74">
        <v>5</v>
      </c>
      <c r="B114" s="74" t="s">
        <v>1121</v>
      </c>
      <c r="C114" s="74" t="s">
        <v>3822</v>
      </c>
      <c r="D114" s="79" t="s">
        <v>3823</v>
      </c>
      <c r="E114" s="79" t="s">
        <v>3184</v>
      </c>
      <c r="F114" s="79" t="s">
        <v>3824</v>
      </c>
      <c r="G114" s="79" t="s">
        <v>3825</v>
      </c>
      <c r="H114" s="79" t="s">
        <v>3826</v>
      </c>
      <c r="I114" s="79" t="s">
        <v>3827</v>
      </c>
      <c r="J114" s="79" t="s">
        <v>3824</v>
      </c>
      <c r="K114" s="79" t="s">
        <v>3469</v>
      </c>
      <c r="L114" s="79"/>
      <c r="M114" s="79"/>
      <c r="N114" s="79"/>
    </row>
    <row r="115" spans="1:14" s="78" customFormat="1" ht="18">
      <c r="A115" s="74">
        <v>6</v>
      </c>
      <c r="B115" s="74" t="s">
        <v>771</v>
      </c>
      <c r="C115" s="74" t="s">
        <v>3828</v>
      </c>
      <c r="D115" s="79" t="s">
        <v>3829</v>
      </c>
      <c r="E115" s="79" t="s">
        <v>3184</v>
      </c>
      <c r="F115" s="79" t="s">
        <v>3830</v>
      </c>
      <c r="G115" s="79" t="s">
        <v>3831</v>
      </c>
      <c r="H115" s="79" t="s">
        <v>3832</v>
      </c>
      <c r="I115" s="79" t="s">
        <v>3833</v>
      </c>
      <c r="J115" s="79" t="s">
        <v>3830</v>
      </c>
      <c r="K115" s="79" t="s">
        <v>3834</v>
      </c>
      <c r="L115" s="79"/>
      <c r="M115" s="79"/>
      <c r="N115" s="79"/>
    </row>
    <row r="116" spans="1:14" s="78" customFormat="1" ht="18">
      <c r="A116" s="74">
        <v>7</v>
      </c>
      <c r="B116" s="74" t="s">
        <v>1154</v>
      </c>
      <c r="C116" s="74" t="s">
        <v>3835</v>
      </c>
      <c r="D116" s="79" t="s">
        <v>3836</v>
      </c>
      <c r="E116" s="79" t="s">
        <v>3213</v>
      </c>
      <c r="F116" s="79" t="s">
        <v>3837</v>
      </c>
      <c r="G116" s="79" t="s">
        <v>3838</v>
      </c>
      <c r="H116" s="79">
        <v>0</v>
      </c>
      <c r="I116" s="79" t="s">
        <v>3839</v>
      </c>
      <c r="J116" s="79" t="s">
        <v>3837</v>
      </c>
      <c r="K116" s="79" t="s">
        <v>3231</v>
      </c>
      <c r="L116" s="79"/>
      <c r="M116" s="79"/>
      <c r="N116" s="79"/>
    </row>
    <row r="117" spans="1:14" s="78" customFormat="1" ht="18">
      <c r="A117" s="74">
        <v>9</v>
      </c>
      <c r="B117" s="74" t="s">
        <v>1125</v>
      </c>
      <c r="C117" s="74" t="s">
        <v>3840</v>
      </c>
      <c r="D117" s="79" t="s">
        <v>3841</v>
      </c>
      <c r="E117" s="79" t="s">
        <v>3184</v>
      </c>
      <c r="F117" s="79" t="s">
        <v>3842</v>
      </c>
      <c r="G117" s="79" t="s">
        <v>3843</v>
      </c>
      <c r="H117" s="79" t="s">
        <v>3842</v>
      </c>
      <c r="I117" s="79" t="s">
        <v>3844</v>
      </c>
      <c r="J117" s="79" t="s">
        <v>3842</v>
      </c>
      <c r="K117" s="79" t="s">
        <v>3845</v>
      </c>
      <c r="L117" s="79"/>
      <c r="M117" s="79"/>
      <c r="N117" s="79"/>
    </row>
    <row r="118" spans="1:14" s="78" customFormat="1" ht="18">
      <c r="A118" s="74">
        <v>10</v>
      </c>
      <c r="B118" s="74" t="s">
        <v>1108</v>
      </c>
      <c r="C118" s="74" t="s">
        <v>3846</v>
      </c>
      <c r="D118" s="79" t="s">
        <v>3847</v>
      </c>
      <c r="E118" s="79" t="s">
        <v>3213</v>
      </c>
      <c r="F118" s="79" t="s">
        <v>3848</v>
      </c>
      <c r="G118" s="79" t="s">
        <v>3849</v>
      </c>
      <c r="H118" s="79" t="s">
        <v>3850</v>
      </c>
      <c r="I118" s="79" t="s">
        <v>3851</v>
      </c>
      <c r="J118" s="79" t="s">
        <v>3848</v>
      </c>
      <c r="K118" s="79" t="s">
        <v>3610</v>
      </c>
      <c r="L118" s="79"/>
      <c r="M118" s="79"/>
      <c r="N118" s="79"/>
    </row>
    <row r="119" spans="1:14" s="78" customFormat="1" ht="18">
      <c r="A119" s="74">
        <v>11</v>
      </c>
      <c r="B119" s="74" t="s">
        <v>1110</v>
      </c>
      <c r="C119" s="74" t="s">
        <v>3852</v>
      </c>
      <c r="D119" s="79" t="s">
        <v>3853</v>
      </c>
      <c r="E119" s="79" t="s">
        <v>3213</v>
      </c>
      <c r="F119" s="79" t="s">
        <v>3854</v>
      </c>
      <c r="G119" s="79" t="s">
        <v>3855</v>
      </c>
      <c r="H119" s="79" t="s">
        <v>3856</v>
      </c>
      <c r="I119" s="79" t="s">
        <v>3857</v>
      </c>
      <c r="J119" s="79" t="s">
        <v>3854</v>
      </c>
      <c r="K119" s="79" t="s">
        <v>3858</v>
      </c>
      <c r="L119" s="79"/>
      <c r="M119" s="79"/>
      <c r="N119" s="79"/>
    </row>
    <row r="120" spans="1:14" s="78" customFormat="1" ht="18">
      <c r="A120" s="74">
        <v>12</v>
      </c>
      <c r="B120" s="74" t="s">
        <v>1128</v>
      </c>
      <c r="C120" s="74" t="s">
        <v>3859</v>
      </c>
      <c r="D120" s="79" t="s">
        <v>3860</v>
      </c>
      <c r="E120" s="79" t="s">
        <v>3184</v>
      </c>
      <c r="F120" s="79" t="s">
        <v>3861</v>
      </c>
      <c r="G120" s="79" t="s">
        <v>3862</v>
      </c>
      <c r="H120" s="79" t="s">
        <v>3863</v>
      </c>
      <c r="I120" s="79" t="s">
        <v>3864</v>
      </c>
      <c r="J120" s="79" t="s">
        <v>3861</v>
      </c>
      <c r="K120" s="79" t="s">
        <v>3865</v>
      </c>
      <c r="L120" s="79"/>
      <c r="M120" s="79"/>
      <c r="N120" s="79"/>
    </row>
    <row r="121" spans="1:14" s="78" customFormat="1" ht="18">
      <c r="A121" s="74">
        <v>13</v>
      </c>
      <c r="B121" s="74" t="s">
        <v>1112</v>
      </c>
      <c r="C121" s="74" t="s">
        <v>3866</v>
      </c>
      <c r="D121" s="79" t="s">
        <v>3867</v>
      </c>
      <c r="E121" s="79" t="s">
        <v>3184</v>
      </c>
      <c r="F121" s="79" t="s">
        <v>3868</v>
      </c>
      <c r="G121" s="79" t="s">
        <v>3869</v>
      </c>
      <c r="H121" s="79">
        <v>0</v>
      </c>
      <c r="I121" s="79" t="s">
        <v>3870</v>
      </c>
      <c r="J121" s="79">
        <v>0</v>
      </c>
      <c r="K121" s="79" t="s">
        <v>3231</v>
      </c>
      <c r="L121" s="79"/>
      <c r="M121" s="79"/>
      <c r="N121" s="79"/>
    </row>
    <row r="122" spans="1:14" s="78" customFormat="1" ht="18">
      <c r="A122" s="74">
        <v>14</v>
      </c>
      <c r="B122" s="74" t="s">
        <v>1130</v>
      </c>
      <c r="C122" s="74" t="s">
        <v>3871</v>
      </c>
      <c r="D122" s="79" t="s">
        <v>3872</v>
      </c>
      <c r="E122" s="79" t="s">
        <v>3184</v>
      </c>
      <c r="F122" s="79" t="s">
        <v>3873</v>
      </c>
      <c r="G122" s="79" t="s">
        <v>3874</v>
      </c>
      <c r="H122" s="79" t="s">
        <v>3875</v>
      </c>
      <c r="I122" s="79" t="s">
        <v>3876</v>
      </c>
      <c r="J122" s="79" t="s">
        <v>3873</v>
      </c>
      <c r="K122" s="79" t="s">
        <v>3877</v>
      </c>
      <c r="L122" s="79"/>
      <c r="M122" s="79"/>
      <c r="N122" s="79"/>
    </row>
    <row r="123" spans="1:14" s="78" customFormat="1" ht="18">
      <c r="A123" s="74">
        <v>15</v>
      </c>
      <c r="B123" s="74" t="s">
        <v>757</v>
      </c>
      <c r="C123" s="74" t="s">
        <v>3878</v>
      </c>
      <c r="D123" s="79" t="s">
        <v>3879</v>
      </c>
      <c r="E123" s="79" t="s">
        <v>3184</v>
      </c>
      <c r="F123" s="79" t="s">
        <v>3880</v>
      </c>
      <c r="G123" s="79" t="s">
        <v>3881</v>
      </c>
      <c r="H123" s="79" t="s">
        <v>3882</v>
      </c>
      <c r="I123" s="79" t="s">
        <v>3883</v>
      </c>
      <c r="J123" s="79" t="s">
        <v>3880</v>
      </c>
      <c r="K123" s="79" t="s">
        <v>3884</v>
      </c>
      <c r="L123" s="79"/>
      <c r="M123" s="79"/>
      <c r="N123" s="79"/>
    </row>
    <row r="124" spans="1:14" s="78" customFormat="1" ht="18">
      <c r="A124" s="74">
        <v>16</v>
      </c>
      <c r="B124" s="74" t="s">
        <v>1132</v>
      </c>
      <c r="C124" s="74" t="s">
        <v>3885</v>
      </c>
      <c r="D124" s="79" t="s">
        <v>3886</v>
      </c>
      <c r="E124" s="79" t="s">
        <v>3213</v>
      </c>
      <c r="F124" s="79" t="s">
        <v>3887</v>
      </c>
      <c r="G124" s="79" t="s">
        <v>3888</v>
      </c>
      <c r="H124" s="79" t="s">
        <v>3889</v>
      </c>
      <c r="I124" s="79" t="s">
        <v>3890</v>
      </c>
      <c r="J124" s="79" t="s">
        <v>3887</v>
      </c>
      <c r="K124" s="79" t="s">
        <v>3891</v>
      </c>
      <c r="L124" s="79"/>
      <c r="M124" s="79"/>
      <c r="N124" s="79"/>
    </row>
    <row r="125" spans="1:14" s="78" customFormat="1" ht="18">
      <c r="A125" s="74">
        <v>17</v>
      </c>
      <c r="B125" s="74" t="s">
        <v>1105</v>
      </c>
      <c r="C125" s="74" t="s">
        <v>3892</v>
      </c>
      <c r="D125" s="79" t="s">
        <v>3893</v>
      </c>
      <c r="E125" s="79" t="s">
        <v>3184</v>
      </c>
      <c r="F125" s="79" t="s">
        <v>3894</v>
      </c>
      <c r="G125" s="79" t="s">
        <v>3895</v>
      </c>
      <c r="H125" s="79" t="s">
        <v>3896</v>
      </c>
      <c r="I125" s="79" t="s">
        <v>3897</v>
      </c>
      <c r="J125" s="79" t="s">
        <v>3894</v>
      </c>
      <c r="K125" s="79" t="s">
        <v>3898</v>
      </c>
      <c r="L125" s="79"/>
      <c r="M125" s="79"/>
      <c r="N125" s="79"/>
    </row>
    <row r="126" spans="1:14" s="78" customFormat="1" ht="18">
      <c r="A126" s="74">
        <v>18</v>
      </c>
      <c r="B126" s="74" t="s">
        <v>1114</v>
      </c>
      <c r="C126" s="74" t="s">
        <v>3899</v>
      </c>
      <c r="D126" s="79" t="s">
        <v>3900</v>
      </c>
      <c r="E126" s="79" t="s">
        <v>3184</v>
      </c>
      <c r="F126" s="79" t="s">
        <v>3901</v>
      </c>
      <c r="G126" s="79" t="s">
        <v>3902</v>
      </c>
      <c r="H126" s="79">
        <v>0</v>
      </c>
      <c r="I126" s="79" t="s">
        <v>3903</v>
      </c>
      <c r="J126" s="79">
        <v>0</v>
      </c>
      <c r="K126" s="79" t="s">
        <v>3904</v>
      </c>
      <c r="L126" s="79"/>
      <c r="M126" s="79"/>
      <c r="N126" s="79"/>
    </row>
    <row r="127" spans="1:14" s="78" customFormat="1" ht="18">
      <c r="A127" s="74">
        <v>19</v>
      </c>
      <c r="B127" s="74" t="s">
        <v>1134</v>
      </c>
      <c r="C127" s="74" t="s">
        <v>3905</v>
      </c>
      <c r="D127" s="79" t="s">
        <v>3906</v>
      </c>
      <c r="E127" s="79" t="s">
        <v>3213</v>
      </c>
      <c r="F127" s="79" t="s">
        <v>3907</v>
      </c>
      <c r="G127" s="79" t="s">
        <v>703</v>
      </c>
      <c r="H127" s="79">
        <v>0</v>
      </c>
      <c r="I127" s="79" t="s">
        <v>3908</v>
      </c>
      <c r="J127" s="79">
        <v>0</v>
      </c>
      <c r="K127" s="79" t="s">
        <v>3909</v>
      </c>
      <c r="L127" s="79"/>
      <c r="M127" s="79"/>
      <c r="N127" s="79"/>
    </row>
    <row r="128" spans="1:14" s="78" customFormat="1" ht="18">
      <c r="A128" s="74">
        <v>20</v>
      </c>
      <c r="B128" s="74" t="s">
        <v>3910</v>
      </c>
      <c r="C128" s="74" t="s">
        <v>3911</v>
      </c>
      <c r="D128" s="79" t="e">
        <v>#N/A</v>
      </c>
      <c r="E128" s="79" t="e">
        <v>#N/A</v>
      </c>
      <c r="F128" s="79" t="e">
        <v>#N/A</v>
      </c>
      <c r="G128" s="79" t="e">
        <v>#N/A</v>
      </c>
      <c r="H128" s="79" t="e">
        <v>#N/A</v>
      </c>
      <c r="I128" s="79" t="e">
        <v>#N/A</v>
      </c>
      <c r="J128" s="79" t="e">
        <v>#N/A</v>
      </c>
      <c r="K128" s="79" t="e">
        <v>#N/A</v>
      </c>
      <c r="L128" s="79"/>
      <c r="M128" s="79"/>
      <c r="N128" s="79"/>
    </row>
    <row r="129" spans="1:14" s="78" customFormat="1" ht="18">
      <c r="A129" s="74">
        <v>21</v>
      </c>
      <c r="B129" s="74" t="s">
        <v>1116</v>
      </c>
      <c r="C129" s="74" t="s">
        <v>3912</v>
      </c>
      <c r="D129" s="79" t="s">
        <v>3913</v>
      </c>
      <c r="E129" s="79" t="s">
        <v>3184</v>
      </c>
      <c r="F129" s="79" t="s">
        <v>3914</v>
      </c>
      <c r="G129" s="79" t="s">
        <v>3915</v>
      </c>
      <c r="H129" s="79">
        <v>0</v>
      </c>
      <c r="I129" s="79" t="s">
        <v>3916</v>
      </c>
      <c r="J129" s="79">
        <v>0</v>
      </c>
      <c r="K129" s="79" t="s">
        <v>3917</v>
      </c>
      <c r="L129" s="79"/>
      <c r="M129" s="79"/>
      <c r="N129" s="79"/>
    </row>
    <row r="130" spans="1:14" s="78" customFormat="1" ht="18">
      <c r="A130" s="74">
        <v>22</v>
      </c>
      <c r="B130" s="74" t="s">
        <v>1118</v>
      </c>
      <c r="C130" s="74" t="s">
        <v>3918</v>
      </c>
      <c r="D130" s="79" t="s">
        <v>3919</v>
      </c>
      <c r="E130" s="79" t="s">
        <v>3213</v>
      </c>
      <c r="F130" s="79" t="s">
        <v>3920</v>
      </c>
      <c r="G130" s="79" t="s">
        <v>3921</v>
      </c>
      <c r="H130" s="79" t="s">
        <v>3922</v>
      </c>
      <c r="I130" s="79" t="s">
        <v>3923</v>
      </c>
      <c r="J130" s="79" t="s">
        <v>3920</v>
      </c>
      <c r="K130" s="79" t="s">
        <v>3924</v>
      </c>
      <c r="L130" s="79"/>
      <c r="M130" s="79"/>
      <c r="N130" s="79"/>
    </row>
    <row r="131" spans="1:14" s="78" customFormat="1" ht="18">
      <c r="A131" s="74">
        <v>23</v>
      </c>
      <c r="B131" s="74" t="s">
        <v>1136</v>
      </c>
      <c r="C131" s="74" t="s">
        <v>3925</v>
      </c>
      <c r="D131" s="79" t="s">
        <v>3926</v>
      </c>
      <c r="E131" s="79" t="s">
        <v>3184</v>
      </c>
      <c r="F131" s="79" t="s">
        <v>3927</v>
      </c>
      <c r="G131" s="79" t="s">
        <v>3928</v>
      </c>
      <c r="H131" s="79" t="s">
        <v>3929</v>
      </c>
      <c r="I131" s="79" t="s">
        <v>3930</v>
      </c>
      <c r="J131" s="79" t="s">
        <v>3927</v>
      </c>
      <c r="K131" s="79" t="s">
        <v>3931</v>
      </c>
      <c r="L131" s="79"/>
      <c r="M131" s="79"/>
      <c r="N131" s="79"/>
    </row>
    <row r="132" spans="1:14" s="78" customFormat="1" ht="18">
      <c r="A132" s="74">
        <v>24</v>
      </c>
      <c r="B132" s="74" t="s">
        <v>3932</v>
      </c>
      <c r="C132" s="74" t="s">
        <v>3933</v>
      </c>
      <c r="D132" s="79" t="s">
        <v>3934</v>
      </c>
      <c r="E132" s="79" t="s">
        <v>3213</v>
      </c>
      <c r="F132" s="79" t="s">
        <v>3935</v>
      </c>
      <c r="G132" s="79" t="s">
        <v>3936</v>
      </c>
      <c r="H132" s="79" t="s">
        <v>3937</v>
      </c>
      <c r="I132" s="79" t="s">
        <v>3938</v>
      </c>
      <c r="J132" s="79" t="s">
        <v>3935</v>
      </c>
      <c r="K132" s="79" t="s">
        <v>3284</v>
      </c>
      <c r="L132" s="79"/>
      <c r="M132" s="79"/>
      <c r="N132" s="79"/>
    </row>
    <row r="133" spans="1:14" s="78" customFormat="1" ht="18">
      <c r="A133" s="74">
        <v>25</v>
      </c>
      <c r="B133" s="74" t="s">
        <v>1138</v>
      </c>
      <c r="C133" s="74" t="s">
        <v>3939</v>
      </c>
      <c r="D133" s="79" t="s">
        <v>3940</v>
      </c>
      <c r="E133" s="79" t="s">
        <v>3213</v>
      </c>
      <c r="F133" s="79" t="s">
        <v>3941</v>
      </c>
      <c r="G133" s="79" t="s">
        <v>3942</v>
      </c>
      <c r="H133" s="79" t="s">
        <v>3941</v>
      </c>
      <c r="I133" s="79" t="s">
        <v>3943</v>
      </c>
      <c r="J133" s="79" t="s">
        <v>3944</v>
      </c>
      <c r="K133" s="79" t="s">
        <v>3945</v>
      </c>
      <c r="L133" s="79"/>
      <c r="M133" s="79"/>
      <c r="N133" s="79"/>
    </row>
    <row r="134" spans="1:14" s="78" customFormat="1" ht="18">
      <c r="A134" s="74">
        <v>26</v>
      </c>
      <c r="B134" s="74" t="s">
        <v>1140</v>
      </c>
      <c r="C134" s="74" t="s">
        <v>3946</v>
      </c>
      <c r="D134" s="79" t="s">
        <v>3947</v>
      </c>
      <c r="E134" s="79" t="s">
        <v>3184</v>
      </c>
      <c r="F134" s="79" t="s">
        <v>3948</v>
      </c>
      <c r="G134" s="79" t="s">
        <v>3949</v>
      </c>
      <c r="H134" s="79" t="s">
        <v>3950</v>
      </c>
      <c r="I134" s="79" t="s">
        <v>3951</v>
      </c>
      <c r="J134" s="79" t="s">
        <v>3948</v>
      </c>
      <c r="K134" s="79" t="s">
        <v>3952</v>
      </c>
      <c r="L134" s="79"/>
      <c r="M134" s="79"/>
      <c r="N134" s="79"/>
    </row>
    <row r="135" spans="1:14" s="78" customFormat="1" ht="18">
      <c r="A135" s="74">
        <v>27</v>
      </c>
      <c r="B135" s="74" t="s">
        <v>1142</v>
      </c>
      <c r="C135" s="74" t="s">
        <v>3953</v>
      </c>
      <c r="D135" s="79" t="s">
        <v>3893</v>
      </c>
      <c r="E135" s="79" t="s">
        <v>3213</v>
      </c>
      <c r="F135" s="79" t="s">
        <v>3954</v>
      </c>
      <c r="G135" s="79" t="s">
        <v>3955</v>
      </c>
      <c r="H135" s="79" t="s">
        <v>3954</v>
      </c>
      <c r="I135" s="79" t="s">
        <v>3956</v>
      </c>
      <c r="J135" s="79" t="s">
        <v>3957</v>
      </c>
      <c r="K135" s="79" t="s">
        <v>3958</v>
      </c>
      <c r="L135" s="79"/>
      <c r="M135" s="79"/>
      <c r="N135" s="79"/>
    </row>
    <row r="136" spans="1:14" s="78" customFormat="1" ht="18">
      <c r="A136" s="74">
        <v>28</v>
      </c>
      <c r="B136" s="74" t="s">
        <v>1144</v>
      </c>
      <c r="C136" s="74" t="s">
        <v>3959</v>
      </c>
      <c r="D136" s="79" t="s">
        <v>3960</v>
      </c>
      <c r="E136" s="79" t="s">
        <v>3213</v>
      </c>
      <c r="F136" s="79" t="s">
        <v>3961</v>
      </c>
      <c r="G136" s="79" t="s">
        <v>3962</v>
      </c>
      <c r="H136" s="79" t="s">
        <v>3963</v>
      </c>
      <c r="I136" s="79" t="s">
        <v>3964</v>
      </c>
      <c r="J136" s="79" t="s">
        <v>3961</v>
      </c>
      <c r="K136" s="79" t="s">
        <v>3965</v>
      </c>
      <c r="L136" s="79"/>
      <c r="M136" s="79"/>
      <c r="N136" s="79"/>
    </row>
    <row r="137" spans="1:14" s="78" customFormat="1" ht="18">
      <c r="A137" s="74">
        <v>33</v>
      </c>
      <c r="B137" s="74" t="s">
        <v>1037</v>
      </c>
      <c r="C137" s="74" t="s">
        <v>3966</v>
      </c>
      <c r="D137" s="79" t="s">
        <v>3967</v>
      </c>
      <c r="E137" s="79" t="s">
        <v>3184</v>
      </c>
      <c r="F137" s="79" t="s">
        <v>3968</v>
      </c>
      <c r="G137" s="79" t="s">
        <v>3969</v>
      </c>
      <c r="H137" s="79">
        <v>0</v>
      </c>
      <c r="I137" s="79" t="s">
        <v>3970</v>
      </c>
      <c r="J137" s="79">
        <v>0</v>
      </c>
      <c r="K137" s="79" t="s">
        <v>3971</v>
      </c>
      <c r="L137" s="79"/>
      <c r="M137" s="79"/>
      <c r="N137" s="79"/>
    </row>
    <row r="138" spans="1:14" s="78" customFormat="1" ht="18">
      <c r="A138" s="74">
        <v>1</v>
      </c>
      <c r="B138" s="74" t="s">
        <v>1223</v>
      </c>
      <c r="C138" s="74" t="s">
        <v>3972</v>
      </c>
      <c r="D138" s="79" t="s">
        <v>3853</v>
      </c>
      <c r="E138" s="79" t="s">
        <v>3184</v>
      </c>
      <c r="F138" s="79" t="s">
        <v>3973</v>
      </c>
      <c r="G138" s="79" t="s">
        <v>3974</v>
      </c>
      <c r="H138" s="79" t="s">
        <v>3975</v>
      </c>
      <c r="I138" s="79" t="s">
        <v>3976</v>
      </c>
      <c r="J138" s="79" t="s">
        <v>3977</v>
      </c>
      <c r="K138" s="79" t="s">
        <v>3231</v>
      </c>
      <c r="L138" s="79"/>
      <c r="M138" s="79"/>
      <c r="N138" s="79"/>
    </row>
    <row r="139" spans="1:14" s="78" customFormat="1" ht="18">
      <c r="A139" s="74">
        <v>3</v>
      </c>
      <c r="B139" s="74" t="s">
        <v>1203</v>
      </c>
      <c r="C139" s="74" t="s">
        <v>3978</v>
      </c>
      <c r="D139" s="79" t="s">
        <v>3979</v>
      </c>
      <c r="E139" s="79" t="s">
        <v>3213</v>
      </c>
      <c r="F139" s="79" t="s">
        <v>3980</v>
      </c>
      <c r="G139" s="79" t="s">
        <v>3981</v>
      </c>
      <c r="H139" s="79" t="s">
        <v>3980</v>
      </c>
      <c r="I139" s="79" t="s">
        <v>3982</v>
      </c>
      <c r="J139" s="79" t="s">
        <v>3983</v>
      </c>
      <c r="K139" s="79" t="s">
        <v>3231</v>
      </c>
      <c r="L139" s="79"/>
      <c r="M139" s="79"/>
      <c r="N139" s="79"/>
    </row>
    <row r="140" spans="1:14" s="78" customFormat="1" ht="18">
      <c r="A140" s="74">
        <v>5</v>
      </c>
      <c r="B140" s="74" t="s">
        <v>1177</v>
      </c>
      <c r="C140" s="74" t="s">
        <v>3984</v>
      </c>
      <c r="D140" s="79" t="s">
        <v>3985</v>
      </c>
      <c r="E140" s="79" t="s">
        <v>3184</v>
      </c>
      <c r="F140" s="79" t="s">
        <v>3986</v>
      </c>
      <c r="G140" s="79" t="s">
        <v>3987</v>
      </c>
      <c r="H140" s="79" t="s">
        <v>3988</v>
      </c>
      <c r="I140" s="79" t="s">
        <v>3989</v>
      </c>
      <c r="J140" s="79" t="s">
        <v>3986</v>
      </c>
      <c r="K140" s="79" t="s">
        <v>3990</v>
      </c>
      <c r="L140" s="79"/>
      <c r="M140" s="79"/>
      <c r="N140" s="79"/>
    </row>
    <row r="141" spans="1:14" s="78" customFormat="1" ht="18">
      <c r="A141" s="74">
        <v>6</v>
      </c>
      <c r="B141" s="74" t="s">
        <v>1225</v>
      </c>
      <c r="C141" s="74" t="s">
        <v>3991</v>
      </c>
      <c r="D141" s="79" t="s">
        <v>3992</v>
      </c>
      <c r="E141" s="79" t="s">
        <v>3184</v>
      </c>
      <c r="F141" s="79" t="s">
        <v>3993</v>
      </c>
      <c r="G141" s="79" t="s">
        <v>3994</v>
      </c>
      <c r="H141" s="79" t="s">
        <v>3995</v>
      </c>
      <c r="I141" s="79" t="s">
        <v>3996</v>
      </c>
      <c r="J141" s="79" t="s">
        <v>3993</v>
      </c>
      <c r="K141" s="79" t="s">
        <v>3997</v>
      </c>
      <c r="L141" s="79"/>
      <c r="M141" s="79"/>
      <c r="N141" s="79"/>
    </row>
    <row r="142" spans="1:14" s="78" customFormat="1" ht="18">
      <c r="A142" s="74">
        <v>9</v>
      </c>
      <c r="B142" s="74" t="s">
        <v>1201</v>
      </c>
      <c r="C142" s="74" t="s">
        <v>3998</v>
      </c>
      <c r="D142" s="79" t="s">
        <v>3999</v>
      </c>
      <c r="E142" s="79" t="s">
        <v>3184</v>
      </c>
      <c r="F142" s="79" t="s">
        <v>4000</v>
      </c>
      <c r="G142" s="79" t="s">
        <v>4001</v>
      </c>
      <c r="H142" s="79" t="s">
        <v>4002</v>
      </c>
      <c r="I142" s="79" t="s">
        <v>4003</v>
      </c>
      <c r="J142" s="79" t="s">
        <v>4000</v>
      </c>
      <c r="K142" s="79" t="s">
        <v>3432</v>
      </c>
      <c r="L142" s="79"/>
      <c r="M142" s="79"/>
      <c r="N142" s="79"/>
    </row>
    <row r="143" spans="1:14" s="78" customFormat="1" ht="18">
      <c r="A143" s="74">
        <v>10</v>
      </c>
      <c r="B143" s="74" t="s">
        <v>1165</v>
      </c>
      <c r="C143" s="74" t="s">
        <v>4004</v>
      </c>
      <c r="D143" s="79" t="s">
        <v>4005</v>
      </c>
      <c r="E143" s="79" t="s">
        <v>3184</v>
      </c>
      <c r="F143" s="79" t="s">
        <v>4006</v>
      </c>
      <c r="G143" s="79" t="s">
        <v>4007</v>
      </c>
      <c r="H143" s="79" t="s">
        <v>4006</v>
      </c>
      <c r="I143" s="79" t="s">
        <v>4008</v>
      </c>
      <c r="J143" s="79" t="s">
        <v>4009</v>
      </c>
      <c r="K143" s="79" t="s">
        <v>4010</v>
      </c>
      <c r="L143" s="79"/>
      <c r="M143" s="79"/>
      <c r="N143" s="79"/>
    </row>
    <row r="144" spans="1:14" s="78" customFormat="1" ht="18">
      <c r="A144" s="74">
        <v>12</v>
      </c>
      <c r="B144" s="74" t="s">
        <v>1163</v>
      </c>
      <c r="C144" s="74" t="s">
        <v>4011</v>
      </c>
      <c r="D144" s="79" t="s">
        <v>4012</v>
      </c>
      <c r="E144" s="79" t="s">
        <v>3213</v>
      </c>
      <c r="F144" s="79" t="s">
        <v>4013</v>
      </c>
      <c r="G144" s="79" t="s">
        <v>4014</v>
      </c>
      <c r="H144" s="79">
        <v>0</v>
      </c>
      <c r="I144" s="79" t="s">
        <v>4015</v>
      </c>
      <c r="J144" s="79" t="s">
        <v>4013</v>
      </c>
      <c r="K144" s="79" t="s">
        <v>4016</v>
      </c>
      <c r="L144" s="79"/>
      <c r="M144" s="79"/>
      <c r="N144" s="79"/>
    </row>
    <row r="145" spans="1:14" s="78" customFormat="1" ht="18">
      <c r="A145" s="74">
        <v>13</v>
      </c>
      <c r="B145" s="74" t="s">
        <v>4017</v>
      </c>
      <c r="C145" s="74" t="s">
        <v>4018</v>
      </c>
      <c r="D145" s="79" t="s">
        <v>4019</v>
      </c>
      <c r="E145" s="79" t="s">
        <v>3213</v>
      </c>
      <c r="F145" s="79" t="s">
        <v>4020</v>
      </c>
      <c r="G145" s="79" t="s">
        <v>4021</v>
      </c>
      <c r="H145" s="79" t="s">
        <v>4020</v>
      </c>
      <c r="I145" s="79" t="s">
        <v>4022</v>
      </c>
      <c r="J145" s="79" t="s">
        <v>4023</v>
      </c>
      <c r="K145" s="79" t="s">
        <v>4024</v>
      </c>
      <c r="L145" s="79"/>
      <c r="M145" s="79"/>
      <c r="N145" s="79"/>
    </row>
    <row r="146" spans="1:14" s="78" customFormat="1" ht="18">
      <c r="A146" s="74">
        <v>14</v>
      </c>
      <c r="B146" s="74" t="s">
        <v>4025</v>
      </c>
      <c r="C146" s="74" t="s">
        <v>4026</v>
      </c>
      <c r="D146" s="79" t="s">
        <v>4027</v>
      </c>
      <c r="E146" s="79" t="s">
        <v>3213</v>
      </c>
      <c r="F146" s="79" t="s">
        <v>4028</v>
      </c>
      <c r="G146" s="79" t="s">
        <v>4029</v>
      </c>
      <c r="H146" s="79">
        <v>0</v>
      </c>
      <c r="I146" s="79" t="s">
        <v>4030</v>
      </c>
      <c r="J146" s="79">
        <v>0</v>
      </c>
      <c r="K146" s="79" t="s">
        <v>3203</v>
      </c>
      <c r="L146" s="79"/>
      <c r="M146" s="79"/>
      <c r="N146" s="79"/>
    </row>
    <row r="147" spans="1:14" s="78" customFormat="1" ht="18">
      <c r="A147" s="74">
        <v>15</v>
      </c>
      <c r="B147" s="74" t="s">
        <v>1184</v>
      </c>
      <c r="C147" s="74" t="s">
        <v>4031</v>
      </c>
      <c r="D147" s="79" t="s">
        <v>4032</v>
      </c>
      <c r="E147" s="79" t="s">
        <v>3213</v>
      </c>
      <c r="F147" s="79" t="s">
        <v>4033</v>
      </c>
      <c r="G147" s="79" t="s">
        <v>4034</v>
      </c>
      <c r="H147" s="79">
        <v>0</v>
      </c>
      <c r="I147" s="79" t="s">
        <v>4035</v>
      </c>
      <c r="J147" s="79">
        <v>0</v>
      </c>
      <c r="K147" s="79" t="s">
        <v>4036</v>
      </c>
      <c r="L147" s="79"/>
      <c r="M147" s="79"/>
      <c r="N147" s="79"/>
    </row>
    <row r="148" spans="1:14" s="78" customFormat="1" ht="18">
      <c r="A148" s="74">
        <v>17</v>
      </c>
      <c r="B148" s="74" t="s">
        <v>1171</v>
      </c>
      <c r="C148" s="74" t="s">
        <v>4037</v>
      </c>
      <c r="D148" s="79" t="s">
        <v>4038</v>
      </c>
      <c r="E148" s="79" t="s">
        <v>3184</v>
      </c>
      <c r="F148" s="79" t="s">
        <v>4039</v>
      </c>
      <c r="G148" s="79" t="s">
        <v>4040</v>
      </c>
      <c r="H148" s="79">
        <v>0</v>
      </c>
      <c r="I148" s="79" t="s">
        <v>4041</v>
      </c>
      <c r="J148" s="79" t="s">
        <v>4042</v>
      </c>
      <c r="K148" s="79" t="s">
        <v>3909</v>
      </c>
      <c r="L148" s="79"/>
      <c r="M148" s="79"/>
      <c r="N148" s="79"/>
    </row>
    <row r="149" spans="1:14" s="78" customFormat="1" ht="18">
      <c r="A149" s="74">
        <v>19</v>
      </c>
      <c r="B149" s="74" t="s">
        <v>1205</v>
      </c>
      <c r="C149" s="74" t="s">
        <v>4043</v>
      </c>
      <c r="D149" s="79" t="s">
        <v>4044</v>
      </c>
      <c r="E149" s="79" t="s">
        <v>3213</v>
      </c>
      <c r="F149" s="79" t="s">
        <v>4045</v>
      </c>
      <c r="G149" s="79" t="s">
        <v>4046</v>
      </c>
      <c r="H149" s="79">
        <v>0</v>
      </c>
      <c r="I149" s="79" t="s">
        <v>4047</v>
      </c>
      <c r="J149" s="79">
        <v>0</v>
      </c>
      <c r="K149" s="79" t="s">
        <v>3858</v>
      </c>
      <c r="L149" s="79"/>
      <c r="M149" s="79"/>
      <c r="N149" s="79"/>
    </row>
    <row r="150" spans="1:14" s="78" customFormat="1" ht="18">
      <c r="A150" s="74">
        <v>22</v>
      </c>
      <c r="B150" s="74" t="s">
        <v>1229</v>
      </c>
      <c r="C150" s="74" t="s">
        <v>4048</v>
      </c>
      <c r="D150" s="79" t="s">
        <v>4049</v>
      </c>
      <c r="E150" s="79" t="s">
        <v>3184</v>
      </c>
      <c r="F150" s="79" t="s">
        <v>4050</v>
      </c>
      <c r="G150" s="79" t="s">
        <v>1326</v>
      </c>
      <c r="H150" s="79" t="s">
        <v>4051</v>
      </c>
      <c r="I150" s="79" t="s">
        <v>4052</v>
      </c>
      <c r="J150" s="79" t="s">
        <v>4050</v>
      </c>
      <c r="K150" s="79" t="s">
        <v>4053</v>
      </c>
      <c r="L150" s="79"/>
      <c r="M150" s="79"/>
      <c r="N150" s="79"/>
    </row>
    <row r="151" spans="1:14" s="78" customFormat="1" ht="18">
      <c r="A151" s="74">
        <v>25</v>
      </c>
      <c r="B151" s="74" t="s">
        <v>1207</v>
      </c>
      <c r="C151" s="74" t="s">
        <v>4054</v>
      </c>
      <c r="D151" s="79" t="s">
        <v>4055</v>
      </c>
      <c r="E151" s="79" t="s">
        <v>3184</v>
      </c>
      <c r="F151" s="79" t="s">
        <v>4056</v>
      </c>
      <c r="G151" s="79" t="s">
        <v>4057</v>
      </c>
      <c r="H151" s="79">
        <v>0</v>
      </c>
      <c r="I151" s="79" t="s">
        <v>4058</v>
      </c>
      <c r="J151" s="79">
        <v>0</v>
      </c>
      <c r="K151" s="79" t="s">
        <v>4059</v>
      </c>
      <c r="L151" s="79"/>
      <c r="M151" s="79"/>
      <c r="N151" s="79"/>
    </row>
    <row r="152" spans="1:14" s="78" customFormat="1" ht="18">
      <c r="A152" s="74">
        <v>26</v>
      </c>
      <c r="B152" s="74" t="s">
        <v>1175</v>
      </c>
      <c r="C152" s="74" t="s">
        <v>4060</v>
      </c>
      <c r="D152" s="79" t="s">
        <v>4061</v>
      </c>
      <c r="E152" s="79" t="s">
        <v>3184</v>
      </c>
      <c r="F152" s="79" t="s">
        <v>4062</v>
      </c>
      <c r="G152" s="79" t="s">
        <v>51</v>
      </c>
      <c r="H152" s="79" t="s">
        <v>4063</v>
      </c>
      <c r="I152" s="79" t="s">
        <v>4064</v>
      </c>
      <c r="J152" s="79" t="s">
        <v>4062</v>
      </c>
      <c r="K152" s="79" t="s">
        <v>4065</v>
      </c>
      <c r="L152" s="79"/>
      <c r="M152" s="79"/>
      <c r="N152" s="79"/>
    </row>
    <row r="153" spans="1:14" s="78" customFormat="1" ht="18">
      <c r="A153" s="74">
        <v>27</v>
      </c>
      <c r="B153" s="74" t="s">
        <v>1227</v>
      </c>
      <c r="C153" s="74" t="s">
        <v>4066</v>
      </c>
      <c r="D153" s="79" t="s">
        <v>4067</v>
      </c>
      <c r="E153" s="79" t="s">
        <v>3184</v>
      </c>
      <c r="F153" s="79" t="s">
        <v>4068</v>
      </c>
      <c r="G153" s="79" t="s">
        <v>4069</v>
      </c>
      <c r="H153" s="79" t="s">
        <v>4070</v>
      </c>
      <c r="I153" s="79" t="s">
        <v>1065</v>
      </c>
      <c r="J153" s="79" t="s">
        <v>4068</v>
      </c>
      <c r="K153" s="79" t="s">
        <v>4071</v>
      </c>
      <c r="L153" s="79"/>
      <c r="M153" s="79"/>
      <c r="N153" s="79"/>
    </row>
    <row r="154" spans="1:14" s="78" customFormat="1" ht="18">
      <c r="A154" s="74">
        <v>28</v>
      </c>
      <c r="B154" s="74" t="s">
        <v>1211</v>
      </c>
      <c r="C154" s="74" t="s">
        <v>4072</v>
      </c>
      <c r="D154" s="79" t="s">
        <v>4073</v>
      </c>
      <c r="E154" s="79" t="s">
        <v>3184</v>
      </c>
      <c r="F154" s="79" t="s">
        <v>4074</v>
      </c>
      <c r="G154" s="79" t="s">
        <v>4075</v>
      </c>
      <c r="H154" s="79">
        <v>0</v>
      </c>
      <c r="I154" s="79" t="s">
        <v>3916</v>
      </c>
      <c r="J154" s="79" t="s">
        <v>4074</v>
      </c>
      <c r="K154" s="79" t="s">
        <v>3272</v>
      </c>
      <c r="L154" s="79"/>
      <c r="M154" s="79"/>
      <c r="N154" s="79"/>
    </row>
    <row r="155" spans="1:14" s="78" customFormat="1" ht="18">
      <c r="A155" s="74">
        <v>30</v>
      </c>
      <c r="B155" s="74" t="s">
        <v>1182</v>
      </c>
      <c r="C155" s="74" t="s">
        <v>4076</v>
      </c>
      <c r="D155" s="79" t="s">
        <v>4019</v>
      </c>
      <c r="E155" s="79" t="s">
        <v>3184</v>
      </c>
      <c r="F155" s="79" t="s">
        <v>4077</v>
      </c>
      <c r="G155" s="79" t="s">
        <v>4078</v>
      </c>
      <c r="H155" s="79" t="s">
        <v>4079</v>
      </c>
      <c r="I155" s="79" t="s">
        <v>4080</v>
      </c>
      <c r="J155" s="79" t="s">
        <v>4077</v>
      </c>
      <c r="K155" s="79" t="s">
        <v>3231</v>
      </c>
      <c r="L155" s="79"/>
      <c r="M155" s="79"/>
      <c r="N155" s="79"/>
    </row>
    <row r="156" spans="1:14" s="78" customFormat="1" ht="18">
      <c r="A156" s="74">
        <v>31</v>
      </c>
      <c r="B156" s="74" t="s">
        <v>1169</v>
      </c>
      <c r="C156" s="74" t="s">
        <v>4081</v>
      </c>
      <c r="D156" s="79" t="s">
        <v>4082</v>
      </c>
      <c r="E156" s="79" t="s">
        <v>3184</v>
      </c>
      <c r="F156" s="79" t="s">
        <v>4083</v>
      </c>
      <c r="G156" s="79" t="s">
        <v>4084</v>
      </c>
      <c r="H156" s="79" t="s">
        <v>4085</v>
      </c>
      <c r="I156" s="79" t="s">
        <v>4086</v>
      </c>
      <c r="J156" s="79" t="s">
        <v>4083</v>
      </c>
      <c r="K156" s="79" t="s">
        <v>4087</v>
      </c>
      <c r="L156" s="79"/>
      <c r="M156" s="79"/>
      <c r="N156" s="79"/>
    </row>
    <row r="157" spans="1:14" s="78" customFormat="1" ht="18">
      <c r="A157" s="74">
        <v>33</v>
      </c>
      <c r="B157" s="74" t="s">
        <v>1195</v>
      </c>
      <c r="C157" s="74" t="s">
        <v>4088</v>
      </c>
      <c r="D157" s="79" t="s">
        <v>4089</v>
      </c>
      <c r="E157" s="79" t="s">
        <v>3184</v>
      </c>
      <c r="F157" s="79" t="s">
        <v>4090</v>
      </c>
      <c r="G157" s="79" t="s">
        <v>4091</v>
      </c>
      <c r="H157" s="79" t="s">
        <v>4090</v>
      </c>
      <c r="I157" s="79" t="s">
        <v>4092</v>
      </c>
      <c r="J157" s="79">
        <v>0</v>
      </c>
      <c r="K157" s="79" t="s">
        <v>3231</v>
      </c>
      <c r="L157" s="79"/>
      <c r="M157" s="79"/>
      <c r="N157" s="79"/>
    </row>
    <row r="158" spans="1:14" s="78" customFormat="1" ht="18">
      <c r="A158" s="74">
        <v>34</v>
      </c>
      <c r="B158" s="74" t="s">
        <v>4093</v>
      </c>
      <c r="C158" s="74" t="s">
        <v>4094</v>
      </c>
      <c r="D158" s="79" t="s">
        <v>3992</v>
      </c>
      <c r="E158" s="79" t="s">
        <v>3213</v>
      </c>
      <c r="F158" s="79" t="s">
        <v>4095</v>
      </c>
      <c r="G158" s="79" t="s">
        <v>4096</v>
      </c>
      <c r="H158" s="79" t="s">
        <v>4097</v>
      </c>
      <c r="I158" s="79" t="s">
        <v>4098</v>
      </c>
      <c r="J158" s="79" t="s">
        <v>4095</v>
      </c>
      <c r="K158" s="79" t="s">
        <v>4099</v>
      </c>
      <c r="L158" s="79"/>
      <c r="M158" s="79"/>
      <c r="N158" s="79"/>
    </row>
    <row r="159" spans="1:14" s="78" customFormat="1" ht="18">
      <c r="A159" s="74">
        <v>37</v>
      </c>
      <c r="B159" s="74" t="s">
        <v>525</v>
      </c>
      <c r="C159" s="74" t="s">
        <v>4100</v>
      </c>
      <c r="D159" s="79" t="s">
        <v>4101</v>
      </c>
      <c r="E159" s="79" t="s">
        <v>3213</v>
      </c>
      <c r="F159" s="79" t="s">
        <v>4102</v>
      </c>
      <c r="G159" s="79" t="s">
        <v>1006</v>
      </c>
      <c r="H159" s="79" t="s">
        <v>4103</v>
      </c>
      <c r="I159" s="79" t="s">
        <v>4104</v>
      </c>
      <c r="J159" s="79" t="s">
        <v>4102</v>
      </c>
      <c r="K159" s="79" t="s">
        <v>3231</v>
      </c>
      <c r="L159" s="79"/>
      <c r="M159" s="79"/>
      <c r="N159" s="79"/>
    </row>
    <row r="160" spans="1:14" s="78" customFormat="1" ht="18">
      <c r="A160" s="74">
        <v>40</v>
      </c>
      <c r="B160" s="74" t="s">
        <v>1161</v>
      </c>
      <c r="C160" s="74" t="s">
        <v>4105</v>
      </c>
      <c r="D160" s="79" t="s">
        <v>4106</v>
      </c>
      <c r="E160" s="79" t="s">
        <v>3184</v>
      </c>
      <c r="F160" s="79" t="s">
        <v>4107</v>
      </c>
      <c r="G160" s="79" t="s">
        <v>4108</v>
      </c>
      <c r="H160" s="79" t="s">
        <v>4109</v>
      </c>
      <c r="I160" s="79" t="s">
        <v>4110</v>
      </c>
      <c r="J160" s="79" t="s">
        <v>4107</v>
      </c>
      <c r="K160" s="79" t="s">
        <v>4111</v>
      </c>
      <c r="L160" s="79"/>
      <c r="M160" s="79"/>
      <c r="N160" s="79"/>
    </row>
    <row r="161" spans="1:14" s="78" customFormat="1" ht="18">
      <c r="A161" s="74">
        <v>41</v>
      </c>
      <c r="B161" s="74" t="s">
        <v>1219</v>
      </c>
      <c r="C161" s="74" t="s">
        <v>4112</v>
      </c>
      <c r="D161" s="79" t="s">
        <v>4082</v>
      </c>
      <c r="E161" s="79" t="s">
        <v>3213</v>
      </c>
      <c r="F161" s="79" t="s">
        <v>4113</v>
      </c>
      <c r="G161" s="79" t="s">
        <v>4114</v>
      </c>
      <c r="H161" s="79" t="s">
        <v>4115</v>
      </c>
      <c r="I161" s="79" t="s">
        <v>4116</v>
      </c>
      <c r="J161" s="79" t="s">
        <v>4113</v>
      </c>
      <c r="K161" s="79" t="s">
        <v>3217</v>
      </c>
      <c r="L161" s="79"/>
      <c r="M161" s="79"/>
      <c r="N161" s="79"/>
    </row>
    <row r="162" spans="1:14" s="78" customFormat="1" ht="18">
      <c r="A162" s="74">
        <v>42</v>
      </c>
      <c r="B162" s="74" t="s">
        <v>1186</v>
      </c>
      <c r="C162" s="74" t="s">
        <v>4117</v>
      </c>
      <c r="D162" s="79" t="s">
        <v>4118</v>
      </c>
      <c r="E162" s="79" t="s">
        <v>3184</v>
      </c>
      <c r="F162" s="79" t="s">
        <v>3317</v>
      </c>
      <c r="G162" s="79" t="s">
        <v>3314</v>
      </c>
      <c r="H162" s="79" t="s">
        <v>4119</v>
      </c>
      <c r="I162" s="79" t="s">
        <v>3316</v>
      </c>
      <c r="J162" s="79" t="s">
        <v>3317</v>
      </c>
      <c r="K162" s="79" t="s">
        <v>4120</v>
      </c>
      <c r="L162" s="79"/>
      <c r="M162" s="79"/>
      <c r="N162" s="79"/>
    </row>
    <row r="163" spans="1:14" s="78" customFormat="1" ht="18">
      <c r="A163" s="74">
        <v>43</v>
      </c>
      <c r="B163" s="74" t="s">
        <v>1197</v>
      </c>
      <c r="C163" s="74" t="s">
        <v>4121</v>
      </c>
      <c r="D163" s="79" t="s">
        <v>3926</v>
      </c>
      <c r="E163" s="79" t="s">
        <v>3184</v>
      </c>
      <c r="F163" s="79" t="s">
        <v>4122</v>
      </c>
      <c r="G163" s="79" t="s">
        <v>4123</v>
      </c>
      <c r="H163" s="79">
        <v>0</v>
      </c>
      <c r="I163" s="79" t="s">
        <v>4124</v>
      </c>
      <c r="J163" s="79">
        <v>0</v>
      </c>
      <c r="K163" s="79" t="s">
        <v>4125</v>
      </c>
      <c r="L163" s="79"/>
      <c r="M163" s="79"/>
      <c r="N163" s="79"/>
    </row>
    <row r="164" spans="1:14" s="78" customFormat="1" ht="18">
      <c r="A164" s="74">
        <v>44</v>
      </c>
      <c r="B164" s="74" t="s">
        <v>1199</v>
      </c>
      <c r="C164" s="74" t="s">
        <v>4126</v>
      </c>
      <c r="D164" s="79" t="s">
        <v>4127</v>
      </c>
      <c r="E164" s="79" t="s">
        <v>3184</v>
      </c>
      <c r="F164" s="79" t="s">
        <v>4128</v>
      </c>
      <c r="G164" s="79" t="s">
        <v>4129</v>
      </c>
      <c r="H164" s="79">
        <v>0</v>
      </c>
      <c r="I164" s="79" t="s">
        <v>4130</v>
      </c>
      <c r="J164" s="79" t="s">
        <v>4128</v>
      </c>
      <c r="K164" s="79" t="s">
        <v>3231</v>
      </c>
      <c r="L164" s="79"/>
      <c r="M164" s="79"/>
      <c r="N164" s="79"/>
    </row>
    <row r="165" spans="1:14" s="78" customFormat="1" ht="18">
      <c r="A165" s="74">
        <v>45</v>
      </c>
      <c r="B165" s="74" t="s">
        <v>1179</v>
      </c>
      <c r="C165" s="74" t="s">
        <v>4131</v>
      </c>
      <c r="D165" s="79" t="s">
        <v>4132</v>
      </c>
      <c r="E165" s="79" t="s">
        <v>3184</v>
      </c>
      <c r="F165" s="79" t="s">
        <v>4133</v>
      </c>
      <c r="G165" s="79" t="s">
        <v>4134</v>
      </c>
      <c r="H165" s="79">
        <v>0</v>
      </c>
      <c r="I165" s="79" t="s">
        <v>4135</v>
      </c>
      <c r="J165" s="79" t="s">
        <v>4133</v>
      </c>
      <c r="K165" s="79" t="s">
        <v>4136</v>
      </c>
      <c r="L165" s="79"/>
      <c r="M165" s="79"/>
      <c r="N165" s="79"/>
    </row>
    <row r="166" spans="1:14" s="78" customFormat="1" ht="18">
      <c r="A166" s="74">
        <v>46</v>
      </c>
      <c r="B166" s="74" t="s">
        <v>1221</v>
      </c>
      <c r="C166" s="74" t="s">
        <v>4137</v>
      </c>
      <c r="D166" s="79" t="s">
        <v>4138</v>
      </c>
      <c r="E166" s="79" t="s">
        <v>3213</v>
      </c>
      <c r="F166" s="79" t="s">
        <v>4139</v>
      </c>
      <c r="G166" s="79" t="s">
        <v>4140</v>
      </c>
      <c r="H166" s="79">
        <v>0</v>
      </c>
      <c r="I166" s="79" t="s">
        <v>4141</v>
      </c>
      <c r="J166" s="79">
        <v>0</v>
      </c>
      <c r="K166" s="79" t="s">
        <v>4142</v>
      </c>
      <c r="L166" s="79"/>
      <c r="M166" s="79"/>
      <c r="N166" s="79"/>
    </row>
    <row r="167" spans="1:14" s="78" customFormat="1" ht="18">
      <c r="A167" s="74">
        <v>47</v>
      </c>
      <c r="B167" s="74" t="s">
        <v>1191</v>
      </c>
      <c r="C167" s="74" t="s">
        <v>4143</v>
      </c>
      <c r="D167" s="79" t="s">
        <v>4144</v>
      </c>
      <c r="E167" s="79" t="s">
        <v>3184</v>
      </c>
      <c r="F167" s="79" t="s">
        <v>4145</v>
      </c>
      <c r="G167" s="79" t="s">
        <v>4146</v>
      </c>
      <c r="H167" s="79">
        <v>0</v>
      </c>
      <c r="I167" s="79" t="s">
        <v>4147</v>
      </c>
      <c r="J167" s="79">
        <v>0</v>
      </c>
      <c r="K167" s="79" t="s">
        <v>3469</v>
      </c>
      <c r="L167" s="79"/>
      <c r="M167" s="79"/>
      <c r="N167" s="79"/>
    </row>
    <row r="168" spans="1:14" s="78" customFormat="1" ht="18">
      <c r="A168" s="74">
        <v>49</v>
      </c>
      <c r="B168" s="74" t="s">
        <v>1158</v>
      </c>
      <c r="C168" s="74" t="s">
        <v>4148</v>
      </c>
      <c r="D168" s="79" t="s">
        <v>4149</v>
      </c>
      <c r="E168" s="79" t="s">
        <v>3184</v>
      </c>
      <c r="F168" s="79" t="s">
        <v>4150</v>
      </c>
      <c r="G168" s="79" t="s">
        <v>4151</v>
      </c>
      <c r="H168" s="79">
        <v>0</v>
      </c>
      <c r="I168" s="79" t="s">
        <v>4152</v>
      </c>
      <c r="J168" s="79">
        <v>0</v>
      </c>
      <c r="K168" s="79" t="s">
        <v>3231</v>
      </c>
      <c r="L168" s="79"/>
      <c r="M168" s="79"/>
      <c r="N168" s="79"/>
    </row>
    <row r="169" spans="1:14" s="78" customFormat="1" ht="18">
      <c r="A169" s="74">
        <v>50</v>
      </c>
      <c r="B169" s="74" t="s">
        <v>1173</v>
      </c>
      <c r="C169" s="74" t="s">
        <v>4153</v>
      </c>
      <c r="D169" s="79" t="s">
        <v>4154</v>
      </c>
      <c r="E169" s="79" t="s">
        <v>3213</v>
      </c>
      <c r="F169" s="79" t="s">
        <v>4155</v>
      </c>
      <c r="G169" s="79" t="s">
        <v>4156</v>
      </c>
      <c r="H169" s="79" t="s">
        <v>4157</v>
      </c>
      <c r="I169" s="79" t="s">
        <v>4158</v>
      </c>
      <c r="J169" s="79" t="s">
        <v>4155</v>
      </c>
      <c r="K169" s="79" t="s">
        <v>4159</v>
      </c>
      <c r="L169" s="79"/>
      <c r="M169" s="79"/>
      <c r="N169" s="79"/>
    </row>
    <row r="170" spans="1:14" s="78" customFormat="1" ht="18">
      <c r="A170" s="74">
        <v>51</v>
      </c>
      <c r="B170" s="74" t="s">
        <v>1167</v>
      </c>
      <c r="C170" s="74" t="s">
        <v>4160</v>
      </c>
      <c r="D170" s="79" t="s">
        <v>4161</v>
      </c>
      <c r="E170" s="79" t="s">
        <v>3184</v>
      </c>
      <c r="F170" s="79" t="s">
        <v>4162</v>
      </c>
      <c r="G170" s="79" t="s">
        <v>4163</v>
      </c>
      <c r="H170" s="79" t="s">
        <v>4164</v>
      </c>
      <c r="I170" s="79" t="s">
        <v>4165</v>
      </c>
      <c r="J170" s="79" t="s">
        <v>4162</v>
      </c>
      <c r="K170" s="79" t="s">
        <v>4166</v>
      </c>
      <c r="L170" s="79"/>
      <c r="M170" s="79"/>
      <c r="N170" s="79"/>
    </row>
    <row r="171" spans="1:14" s="78" customFormat="1" ht="18">
      <c r="A171" s="74">
        <v>52</v>
      </c>
      <c r="B171" s="74" t="s">
        <v>1188</v>
      </c>
      <c r="C171" s="74" t="s">
        <v>4167</v>
      </c>
      <c r="D171" s="79" t="s">
        <v>3823</v>
      </c>
      <c r="E171" s="79" t="s">
        <v>3213</v>
      </c>
      <c r="F171" s="79" t="s">
        <v>4168</v>
      </c>
      <c r="G171" s="79" t="s">
        <v>4169</v>
      </c>
      <c r="H171" s="79" t="s">
        <v>4170</v>
      </c>
      <c r="I171" s="79" t="s">
        <v>4171</v>
      </c>
      <c r="J171" s="79" t="s">
        <v>4168</v>
      </c>
      <c r="K171" s="79" t="s">
        <v>3231</v>
      </c>
      <c r="L171" s="79"/>
      <c r="M171" s="79"/>
      <c r="N171" s="79"/>
    </row>
    <row r="172" spans="1:14" s="78" customFormat="1" ht="18">
      <c r="A172" s="74">
        <v>54</v>
      </c>
      <c r="B172" s="74" t="s">
        <v>1209</v>
      </c>
      <c r="C172" s="74" t="s">
        <v>4172</v>
      </c>
      <c r="D172" s="79" t="s">
        <v>4173</v>
      </c>
      <c r="E172" s="79" t="s">
        <v>3184</v>
      </c>
      <c r="F172" s="79" t="s">
        <v>4174</v>
      </c>
      <c r="G172" s="79" t="s">
        <v>4151</v>
      </c>
      <c r="H172" s="79" t="s">
        <v>4175</v>
      </c>
      <c r="I172" s="79" t="s">
        <v>4176</v>
      </c>
      <c r="J172" s="79" t="s">
        <v>4174</v>
      </c>
      <c r="K172" s="79" t="s">
        <v>4177</v>
      </c>
      <c r="L172" s="79"/>
      <c r="M172" s="79"/>
      <c r="N172" s="79"/>
    </row>
    <row r="173" spans="1:14" s="78" customFormat="1" ht="18">
      <c r="A173" s="74">
        <v>55</v>
      </c>
      <c r="B173" s="74" t="s">
        <v>164</v>
      </c>
      <c r="C173" s="74" t="s">
        <v>4178</v>
      </c>
      <c r="D173" s="79" t="s">
        <v>4179</v>
      </c>
      <c r="E173" s="79" t="s">
        <v>3184</v>
      </c>
      <c r="F173" s="79" t="s">
        <v>4180</v>
      </c>
      <c r="G173" s="79" t="s">
        <v>1326</v>
      </c>
      <c r="H173" s="79" t="s">
        <v>4181</v>
      </c>
      <c r="I173" s="79" t="s">
        <v>4182</v>
      </c>
      <c r="J173" s="79" t="s">
        <v>4180</v>
      </c>
      <c r="K173" s="79" t="s">
        <v>4183</v>
      </c>
      <c r="L173" s="79"/>
      <c r="M173" s="79"/>
      <c r="N173" s="79"/>
    </row>
    <row r="174" spans="1:14" s="78" customFormat="1" ht="18">
      <c r="A174" s="74">
        <v>1</v>
      </c>
      <c r="B174" s="74" t="s">
        <v>1267</v>
      </c>
      <c r="C174" s="74" t="s">
        <v>4184</v>
      </c>
      <c r="D174" s="79" t="s">
        <v>4185</v>
      </c>
      <c r="E174" s="79" t="s">
        <v>3184</v>
      </c>
      <c r="F174" s="79" t="s">
        <v>4186</v>
      </c>
      <c r="G174" s="79" t="s">
        <v>4187</v>
      </c>
      <c r="H174" s="79" t="s">
        <v>4188</v>
      </c>
      <c r="I174" s="79" t="s">
        <v>4189</v>
      </c>
      <c r="J174" s="79" t="s">
        <v>4186</v>
      </c>
      <c r="K174" s="79" t="s">
        <v>3610</v>
      </c>
      <c r="L174" s="79"/>
      <c r="M174" s="79"/>
      <c r="N174" s="79"/>
    </row>
    <row r="175" spans="1:14" s="78" customFormat="1" ht="18">
      <c r="A175" s="74">
        <v>2</v>
      </c>
      <c r="B175" s="74" t="s">
        <v>1269</v>
      </c>
      <c r="C175" s="74" t="s">
        <v>4190</v>
      </c>
      <c r="D175" s="79" t="s">
        <v>4185</v>
      </c>
      <c r="E175" s="79" t="s">
        <v>3184</v>
      </c>
      <c r="F175" s="79" t="s">
        <v>4186</v>
      </c>
      <c r="G175" s="79" t="s">
        <v>4187</v>
      </c>
      <c r="H175" s="79" t="s">
        <v>4188</v>
      </c>
      <c r="I175" s="79" t="s">
        <v>4189</v>
      </c>
      <c r="J175" s="79" t="s">
        <v>4186</v>
      </c>
      <c r="K175" s="79" t="s">
        <v>3610</v>
      </c>
      <c r="L175" s="79"/>
      <c r="M175" s="79"/>
      <c r="N175" s="79"/>
    </row>
    <row r="176" spans="1:14" s="78" customFormat="1" ht="18">
      <c r="A176" s="74">
        <v>3</v>
      </c>
      <c r="B176" s="74" t="s">
        <v>4191</v>
      </c>
      <c r="C176" s="74" t="s">
        <v>4192</v>
      </c>
      <c r="D176" s="79" t="s">
        <v>4082</v>
      </c>
      <c r="E176" s="79" t="s">
        <v>3213</v>
      </c>
      <c r="F176" s="79" t="s">
        <v>4193</v>
      </c>
      <c r="G176" s="79" t="s">
        <v>4194</v>
      </c>
      <c r="H176" s="79" t="s">
        <v>4195</v>
      </c>
      <c r="I176" s="79" t="s">
        <v>4196</v>
      </c>
      <c r="J176" s="79" t="s">
        <v>4193</v>
      </c>
      <c r="K176" s="79" t="s">
        <v>4197</v>
      </c>
      <c r="L176" s="79"/>
      <c r="M176" s="79"/>
      <c r="N176" s="79"/>
    </row>
    <row r="177" spans="1:14" s="78" customFormat="1" ht="18">
      <c r="A177" s="74">
        <v>4</v>
      </c>
      <c r="B177" s="74" t="s">
        <v>1240</v>
      </c>
      <c r="C177" s="74" t="s">
        <v>4198</v>
      </c>
      <c r="D177" s="79" t="s">
        <v>4199</v>
      </c>
      <c r="E177" s="79" t="s">
        <v>3184</v>
      </c>
      <c r="F177" s="79" t="s">
        <v>4200</v>
      </c>
      <c r="G177" s="79" t="s">
        <v>4201</v>
      </c>
      <c r="H177" s="79" t="s">
        <v>4202</v>
      </c>
      <c r="I177" s="79" t="s">
        <v>4203</v>
      </c>
      <c r="J177" s="79" t="s">
        <v>4200</v>
      </c>
      <c r="K177" s="79" t="s">
        <v>4204</v>
      </c>
      <c r="L177" s="79"/>
      <c r="M177" s="79"/>
      <c r="N177" s="79"/>
    </row>
    <row r="178" spans="1:14" s="78" customFormat="1" ht="18">
      <c r="A178" s="74">
        <v>5</v>
      </c>
      <c r="B178" s="74" t="s">
        <v>1271</v>
      </c>
      <c r="C178" s="74" t="s">
        <v>4205</v>
      </c>
      <c r="D178" s="79" t="s">
        <v>4206</v>
      </c>
      <c r="E178" s="79" t="s">
        <v>3184</v>
      </c>
      <c r="F178" s="79" t="s">
        <v>4207</v>
      </c>
      <c r="G178" s="79" t="s">
        <v>4208</v>
      </c>
      <c r="H178" s="79" t="s">
        <v>4209</v>
      </c>
      <c r="I178" s="79" t="s">
        <v>4210</v>
      </c>
      <c r="J178" s="79" t="s">
        <v>4207</v>
      </c>
      <c r="K178" s="79" t="s">
        <v>4211</v>
      </c>
      <c r="L178" s="79"/>
      <c r="M178" s="79"/>
      <c r="N178" s="79"/>
    </row>
    <row r="179" spans="1:14" s="78" customFormat="1" ht="18">
      <c r="A179" s="74">
        <v>6</v>
      </c>
      <c r="B179" s="74" t="s">
        <v>1273</v>
      </c>
      <c r="C179" s="74" t="s">
        <v>4212</v>
      </c>
      <c r="D179" s="79" t="s">
        <v>4213</v>
      </c>
      <c r="E179" s="79" t="s">
        <v>3184</v>
      </c>
      <c r="F179" s="79" t="s">
        <v>4214</v>
      </c>
      <c r="G179" s="79" t="s">
        <v>4215</v>
      </c>
      <c r="H179" s="79" t="s">
        <v>4216</v>
      </c>
      <c r="I179" s="79" t="s">
        <v>4217</v>
      </c>
      <c r="J179" s="79" t="s">
        <v>4214</v>
      </c>
      <c r="K179" s="79" t="s">
        <v>3401</v>
      </c>
      <c r="L179" s="79"/>
      <c r="M179" s="79"/>
      <c r="N179" s="79"/>
    </row>
    <row r="180" spans="1:14" s="78" customFormat="1" ht="18">
      <c r="A180" s="74">
        <v>7</v>
      </c>
      <c r="B180" s="74" t="s">
        <v>1242</v>
      </c>
      <c r="C180" s="74" t="s">
        <v>4218</v>
      </c>
      <c r="D180" s="79" t="s">
        <v>4219</v>
      </c>
      <c r="E180" s="79" t="s">
        <v>3184</v>
      </c>
      <c r="F180" s="79" t="s">
        <v>4220</v>
      </c>
      <c r="G180" s="79" t="s">
        <v>4221</v>
      </c>
      <c r="H180" s="79" t="s">
        <v>4220</v>
      </c>
      <c r="I180" s="79" t="s">
        <v>4222</v>
      </c>
      <c r="J180" s="79" t="s">
        <v>4223</v>
      </c>
      <c r="K180" s="79" t="s">
        <v>3891</v>
      </c>
      <c r="L180" s="79"/>
      <c r="M180" s="79"/>
      <c r="N180" s="79"/>
    </row>
    <row r="181" spans="1:14" s="78" customFormat="1" ht="18">
      <c r="A181" s="74">
        <v>8</v>
      </c>
      <c r="B181" s="74" t="s">
        <v>1254</v>
      </c>
      <c r="C181" s="74" t="s">
        <v>4224</v>
      </c>
      <c r="D181" s="79" t="s">
        <v>4225</v>
      </c>
      <c r="E181" s="79" t="s">
        <v>3184</v>
      </c>
      <c r="F181" s="79" t="s">
        <v>4226</v>
      </c>
      <c r="G181" s="79" t="s">
        <v>4227</v>
      </c>
      <c r="H181" s="79" t="s">
        <v>4228</v>
      </c>
      <c r="I181" s="79" t="s">
        <v>4229</v>
      </c>
      <c r="J181" s="79" t="s">
        <v>4226</v>
      </c>
      <c r="K181" s="79" t="s">
        <v>3266</v>
      </c>
      <c r="L181" s="79"/>
      <c r="M181" s="79"/>
      <c r="N181" s="79"/>
    </row>
    <row r="182" spans="1:14" s="78" customFormat="1" ht="18">
      <c r="A182" s="74">
        <v>10</v>
      </c>
      <c r="B182" s="74" t="s">
        <v>1261</v>
      </c>
      <c r="C182" s="74" t="s">
        <v>4230</v>
      </c>
      <c r="D182" s="79" t="s">
        <v>4231</v>
      </c>
      <c r="E182" s="79" t="s">
        <v>3184</v>
      </c>
      <c r="F182" s="79" t="s">
        <v>4232</v>
      </c>
      <c r="G182" s="79" t="s">
        <v>4233</v>
      </c>
      <c r="H182" s="79">
        <v>0</v>
      </c>
      <c r="I182" s="79" t="s">
        <v>4234</v>
      </c>
      <c r="J182" s="79">
        <v>0</v>
      </c>
      <c r="K182" s="79" t="s">
        <v>4235</v>
      </c>
      <c r="L182" s="79"/>
      <c r="M182" s="79"/>
      <c r="N182" s="79"/>
    </row>
    <row r="183" spans="1:14" s="78" customFormat="1" ht="18">
      <c r="A183" s="74">
        <v>11</v>
      </c>
      <c r="B183" s="74" t="s">
        <v>1277</v>
      </c>
      <c r="C183" s="74" t="s">
        <v>4236</v>
      </c>
      <c r="D183" s="79" t="s">
        <v>4237</v>
      </c>
      <c r="E183" s="79" t="s">
        <v>3184</v>
      </c>
      <c r="F183" s="79" t="s">
        <v>4238</v>
      </c>
      <c r="G183" s="79" t="s">
        <v>4239</v>
      </c>
      <c r="H183" s="79" t="s">
        <v>4240</v>
      </c>
      <c r="I183" s="79" t="s">
        <v>4241</v>
      </c>
      <c r="J183" s="79" t="s">
        <v>4238</v>
      </c>
      <c r="K183" s="79" t="s">
        <v>3618</v>
      </c>
      <c r="L183" s="79"/>
      <c r="M183" s="79"/>
      <c r="N183" s="79"/>
    </row>
    <row r="184" spans="1:14" s="78" customFormat="1" ht="18">
      <c r="A184" s="74">
        <v>12</v>
      </c>
      <c r="B184" s="74" t="s">
        <v>1275</v>
      </c>
      <c r="C184" s="74" t="s">
        <v>4242</v>
      </c>
      <c r="D184" s="79" t="s">
        <v>3853</v>
      </c>
      <c r="E184" s="79" t="s">
        <v>3184</v>
      </c>
      <c r="F184" s="79" t="s">
        <v>4243</v>
      </c>
      <c r="G184" s="79" t="s">
        <v>4244</v>
      </c>
      <c r="H184" s="79" t="s">
        <v>4245</v>
      </c>
      <c r="I184" s="79" t="s">
        <v>4246</v>
      </c>
      <c r="J184" s="79" t="s">
        <v>4243</v>
      </c>
      <c r="K184" s="79" t="s">
        <v>3231</v>
      </c>
      <c r="L184" s="79"/>
      <c r="M184" s="79"/>
      <c r="N184" s="79"/>
    </row>
    <row r="185" spans="1:14" s="78" customFormat="1" ht="18">
      <c r="A185" s="74">
        <v>13</v>
      </c>
      <c r="B185" s="74" t="s">
        <v>1301</v>
      </c>
      <c r="C185" s="74" t="s">
        <v>4247</v>
      </c>
      <c r="D185" s="79" t="s">
        <v>4248</v>
      </c>
      <c r="E185" s="79" t="s">
        <v>3184</v>
      </c>
      <c r="F185" s="79" t="s">
        <v>4249</v>
      </c>
      <c r="G185" s="79" t="s">
        <v>4250</v>
      </c>
      <c r="H185" s="79" t="s">
        <v>4251</v>
      </c>
      <c r="I185" s="79" t="s">
        <v>4252</v>
      </c>
      <c r="J185" s="79" t="s">
        <v>4249</v>
      </c>
      <c r="K185" s="79" t="s">
        <v>4253</v>
      </c>
      <c r="L185" s="79"/>
      <c r="M185" s="79"/>
      <c r="N185" s="79"/>
    </row>
    <row r="186" spans="1:14" s="78" customFormat="1" ht="18">
      <c r="A186" s="74">
        <v>14</v>
      </c>
      <c r="B186" s="74" t="s">
        <v>1279</v>
      </c>
      <c r="C186" s="74" t="s">
        <v>4254</v>
      </c>
      <c r="D186" s="79" t="s">
        <v>4255</v>
      </c>
      <c r="E186" s="79" t="s">
        <v>3184</v>
      </c>
      <c r="F186" s="79" t="s">
        <v>4256</v>
      </c>
      <c r="G186" s="79" t="s">
        <v>4257</v>
      </c>
      <c r="H186" s="79" t="s">
        <v>4256</v>
      </c>
      <c r="I186" s="79" t="s">
        <v>4258</v>
      </c>
      <c r="J186" s="79" t="s">
        <v>4259</v>
      </c>
      <c r="K186" s="79" t="s">
        <v>4260</v>
      </c>
      <c r="L186" s="79"/>
      <c r="M186" s="79"/>
      <c r="N186" s="79"/>
    </row>
    <row r="187" spans="1:14" s="78" customFormat="1" ht="18">
      <c r="A187" s="74">
        <v>15</v>
      </c>
      <c r="B187" s="74" t="s">
        <v>1281</v>
      </c>
      <c r="C187" s="74" t="s">
        <v>4261</v>
      </c>
      <c r="D187" s="79" t="s">
        <v>4127</v>
      </c>
      <c r="E187" s="79" t="s">
        <v>3184</v>
      </c>
      <c r="F187" s="79" t="s">
        <v>4262</v>
      </c>
      <c r="G187" s="79" t="s">
        <v>4263</v>
      </c>
      <c r="H187" s="79" t="s">
        <v>4264</v>
      </c>
      <c r="I187" s="79" t="s">
        <v>4265</v>
      </c>
      <c r="J187" s="79" t="s">
        <v>4262</v>
      </c>
      <c r="K187" s="79" t="s">
        <v>3290</v>
      </c>
      <c r="L187" s="79"/>
      <c r="M187" s="79"/>
      <c r="N187" s="79"/>
    </row>
    <row r="188" spans="1:14" s="78" customFormat="1" ht="18">
      <c r="A188" s="74">
        <v>16</v>
      </c>
      <c r="B188" s="74" t="s">
        <v>1293</v>
      </c>
      <c r="C188" s="74" t="s">
        <v>4266</v>
      </c>
      <c r="D188" s="79" t="s">
        <v>4206</v>
      </c>
      <c r="E188" s="79" t="s">
        <v>3213</v>
      </c>
      <c r="F188" s="79" t="s">
        <v>4267</v>
      </c>
      <c r="G188" s="79" t="s">
        <v>4268</v>
      </c>
      <c r="H188" s="79" t="s">
        <v>4269</v>
      </c>
      <c r="I188" s="79" t="s">
        <v>4270</v>
      </c>
      <c r="J188" s="79" t="s">
        <v>4267</v>
      </c>
      <c r="K188" s="79" t="s">
        <v>4271</v>
      </c>
      <c r="L188" s="79"/>
      <c r="M188" s="79"/>
      <c r="N188" s="79"/>
    </row>
    <row r="189" spans="1:14" s="78" customFormat="1" ht="18">
      <c r="A189" s="74">
        <v>17</v>
      </c>
      <c r="B189" s="74" t="s">
        <v>1244</v>
      </c>
      <c r="C189" s="74" t="s">
        <v>4272</v>
      </c>
      <c r="D189" s="79" t="s">
        <v>4273</v>
      </c>
      <c r="E189" s="79" t="s">
        <v>3213</v>
      </c>
      <c r="F189" s="79" t="s">
        <v>4274</v>
      </c>
      <c r="G189" s="79" t="s">
        <v>4275</v>
      </c>
      <c r="H189" s="79" t="s">
        <v>4276</v>
      </c>
      <c r="I189" s="79" t="s">
        <v>4277</v>
      </c>
      <c r="J189" s="79" t="s">
        <v>4274</v>
      </c>
      <c r="K189" s="79" t="s">
        <v>3231</v>
      </c>
      <c r="L189" s="79"/>
      <c r="M189" s="79"/>
      <c r="N189" s="79"/>
    </row>
    <row r="190" spans="1:14" s="78" customFormat="1" ht="18">
      <c r="A190" s="74">
        <v>18</v>
      </c>
      <c r="B190" s="74" t="s">
        <v>1248</v>
      </c>
      <c r="C190" s="74" t="s">
        <v>4278</v>
      </c>
      <c r="D190" s="79" t="s">
        <v>4279</v>
      </c>
      <c r="E190" s="79" t="s">
        <v>3184</v>
      </c>
      <c r="F190" s="79" t="s">
        <v>4280</v>
      </c>
      <c r="G190" s="79" t="s">
        <v>4281</v>
      </c>
      <c r="H190" s="79">
        <v>0</v>
      </c>
      <c r="I190" s="79" t="s">
        <v>4282</v>
      </c>
      <c r="J190" s="79" t="s">
        <v>4280</v>
      </c>
      <c r="K190" s="79" t="s">
        <v>3231</v>
      </c>
      <c r="L190" s="79"/>
      <c r="M190" s="79"/>
      <c r="N190" s="79"/>
    </row>
    <row r="191" spans="1:14" s="78" customFormat="1" ht="18">
      <c r="A191" s="74">
        <v>19</v>
      </c>
      <c r="B191" s="74" t="s">
        <v>1285</v>
      </c>
      <c r="C191" s="74" t="s">
        <v>4283</v>
      </c>
      <c r="D191" s="79" t="s">
        <v>4284</v>
      </c>
      <c r="E191" s="79" t="s">
        <v>3184</v>
      </c>
      <c r="F191" s="79" t="s">
        <v>4285</v>
      </c>
      <c r="G191" s="79" t="s">
        <v>4286</v>
      </c>
      <c r="H191" s="79" t="s">
        <v>4287</v>
      </c>
      <c r="I191" s="79" t="s">
        <v>4288</v>
      </c>
      <c r="J191" s="79" t="s">
        <v>4285</v>
      </c>
      <c r="K191" s="79" t="s">
        <v>4289</v>
      </c>
      <c r="L191" s="79"/>
      <c r="M191" s="79"/>
      <c r="N191" s="79"/>
    </row>
    <row r="192" spans="1:14" s="78" customFormat="1" ht="18">
      <c r="A192" s="74">
        <v>20</v>
      </c>
      <c r="B192" s="74" t="s">
        <v>1287</v>
      </c>
      <c r="C192" s="74" t="s">
        <v>4290</v>
      </c>
      <c r="D192" s="79" t="s">
        <v>4291</v>
      </c>
      <c r="E192" s="79" t="s">
        <v>3184</v>
      </c>
      <c r="F192" s="79" t="s">
        <v>4292</v>
      </c>
      <c r="G192" s="79" t="s">
        <v>4293</v>
      </c>
      <c r="H192" s="79" t="s">
        <v>4294</v>
      </c>
      <c r="I192" s="79" t="s">
        <v>4295</v>
      </c>
      <c r="J192" s="79" t="s">
        <v>4292</v>
      </c>
      <c r="K192" s="79" t="s">
        <v>3877</v>
      </c>
      <c r="L192" s="79"/>
      <c r="M192" s="79"/>
      <c r="N192" s="79"/>
    </row>
    <row r="193" spans="1:14" s="78" customFormat="1" ht="18">
      <c r="A193" s="74">
        <v>21</v>
      </c>
      <c r="B193" s="74" t="s">
        <v>1297</v>
      </c>
      <c r="C193" s="74" t="s">
        <v>4296</v>
      </c>
      <c r="D193" s="79" t="s">
        <v>4297</v>
      </c>
      <c r="E193" s="79" t="s">
        <v>3184</v>
      </c>
      <c r="F193" s="79" t="s">
        <v>4298</v>
      </c>
      <c r="G193" s="79" t="s">
        <v>4299</v>
      </c>
      <c r="H193" s="79" t="s">
        <v>4300</v>
      </c>
      <c r="I193" s="79" t="s">
        <v>4301</v>
      </c>
      <c r="J193" s="79" t="s">
        <v>4298</v>
      </c>
      <c r="K193" s="79" t="s">
        <v>4302</v>
      </c>
      <c r="L193" s="79"/>
      <c r="M193" s="79"/>
      <c r="N193" s="79"/>
    </row>
    <row r="194" spans="1:14" s="78" customFormat="1" ht="18">
      <c r="A194" s="74">
        <v>22</v>
      </c>
      <c r="B194" s="74" t="s">
        <v>1295</v>
      </c>
      <c r="C194" s="74" t="s">
        <v>4303</v>
      </c>
      <c r="D194" s="79" t="s">
        <v>4304</v>
      </c>
      <c r="E194" s="79" t="s">
        <v>3184</v>
      </c>
      <c r="F194" s="79" t="s">
        <v>4305</v>
      </c>
      <c r="G194" s="79" t="s">
        <v>4306</v>
      </c>
      <c r="H194" s="79">
        <v>0</v>
      </c>
      <c r="I194" s="79" t="s">
        <v>4307</v>
      </c>
      <c r="J194" s="79">
        <v>0</v>
      </c>
      <c r="K194" s="79" t="s">
        <v>4308</v>
      </c>
      <c r="L194" s="79"/>
      <c r="M194" s="79"/>
      <c r="N194" s="79"/>
    </row>
    <row r="195" spans="1:14" s="78" customFormat="1" ht="18">
      <c r="A195" s="74">
        <v>23</v>
      </c>
      <c r="B195" s="74" t="s">
        <v>1238</v>
      </c>
      <c r="C195" s="74" t="s">
        <v>4309</v>
      </c>
      <c r="D195" s="79" t="s">
        <v>4310</v>
      </c>
      <c r="E195" s="79" t="s">
        <v>3184</v>
      </c>
      <c r="F195" s="79" t="s">
        <v>4311</v>
      </c>
      <c r="G195" s="79" t="s">
        <v>4312</v>
      </c>
      <c r="H195" s="79">
        <v>0</v>
      </c>
      <c r="I195" s="79" t="s">
        <v>4313</v>
      </c>
      <c r="J195" s="79">
        <v>0</v>
      </c>
      <c r="K195" s="79" t="s">
        <v>3610</v>
      </c>
      <c r="L195" s="79"/>
      <c r="M195" s="79"/>
      <c r="N195" s="79"/>
    </row>
    <row r="196" spans="1:14" s="78" customFormat="1" ht="18">
      <c r="A196" s="74">
        <v>24</v>
      </c>
      <c r="B196" s="74" t="s">
        <v>1234</v>
      </c>
      <c r="C196" s="74" t="s">
        <v>4314</v>
      </c>
      <c r="D196" s="79" t="s">
        <v>4315</v>
      </c>
      <c r="E196" s="79" t="s">
        <v>3213</v>
      </c>
      <c r="F196" s="79" t="s">
        <v>4316</v>
      </c>
      <c r="G196" s="79" t="s">
        <v>4317</v>
      </c>
      <c r="H196" s="79" t="s">
        <v>4318</v>
      </c>
      <c r="I196" s="79" t="s">
        <v>4319</v>
      </c>
      <c r="J196" s="79" t="s">
        <v>4316</v>
      </c>
      <c r="K196" s="79" t="s">
        <v>4320</v>
      </c>
      <c r="L196" s="79"/>
      <c r="M196" s="79"/>
      <c r="N196" s="79"/>
    </row>
    <row r="197" spans="1:14" s="78" customFormat="1" ht="18">
      <c r="A197" s="74">
        <v>25</v>
      </c>
      <c r="B197" s="74" t="s">
        <v>1250</v>
      </c>
      <c r="C197" s="74" t="s">
        <v>4321</v>
      </c>
      <c r="D197" s="79" t="s">
        <v>4322</v>
      </c>
      <c r="E197" s="79" t="s">
        <v>3213</v>
      </c>
      <c r="F197" s="79" t="s">
        <v>4323</v>
      </c>
      <c r="G197" s="79" t="s">
        <v>4324</v>
      </c>
      <c r="H197" s="79" t="s">
        <v>4323</v>
      </c>
      <c r="I197" s="79" t="s">
        <v>4325</v>
      </c>
      <c r="J197" s="79" t="s">
        <v>4326</v>
      </c>
      <c r="K197" s="79" t="s">
        <v>3965</v>
      </c>
      <c r="L197" s="79"/>
      <c r="M197" s="79"/>
      <c r="N197" s="79"/>
    </row>
    <row r="198" spans="1:14" s="78" customFormat="1" ht="18">
      <c r="A198" s="74">
        <v>26</v>
      </c>
      <c r="B198" s="74" t="s">
        <v>1303</v>
      </c>
      <c r="C198" s="74" t="s">
        <v>4327</v>
      </c>
      <c r="D198" s="79" t="s">
        <v>4328</v>
      </c>
      <c r="E198" s="79" t="s">
        <v>3213</v>
      </c>
      <c r="F198" s="79" t="s">
        <v>4329</v>
      </c>
      <c r="G198" s="79" t="s">
        <v>4330</v>
      </c>
      <c r="H198" s="79" t="s">
        <v>4331</v>
      </c>
      <c r="I198" s="79" t="s">
        <v>4332</v>
      </c>
      <c r="J198" s="79" t="s">
        <v>4329</v>
      </c>
      <c r="K198" s="79" t="s">
        <v>4333</v>
      </c>
      <c r="L198" s="79"/>
      <c r="M198" s="79"/>
      <c r="N198" s="79"/>
    </row>
    <row r="199" spans="1:14" s="78" customFormat="1" ht="18">
      <c r="A199" s="74">
        <v>27</v>
      </c>
      <c r="B199" s="74" t="s">
        <v>1256</v>
      </c>
      <c r="C199" s="74" t="s">
        <v>4334</v>
      </c>
      <c r="D199" s="79" t="s">
        <v>4335</v>
      </c>
      <c r="E199" s="79" t="s">
        <v>3184</v>
      </c>
      <c r="F199" s="79" t="s">
        <v>4336</v>
      </c>
      <c r="G199" s="79" t="s">
        <v>4337</v>
      </c>
      <c r="H199" s="79" t="s">
        <v>4336</v>
      </c>
      <c r="I199" s="79" t="s">
        <v>4338</v>
      </c>
      <c r="J199" s="79" t="s">
        <v>4339</v>
      </c>
      <c r="K199" s="79" t="s">
        <v>3266</v>
      </c>
      <c r="L199" s="79"/>
      <c r="M199" s="79"/>
      <c r="N199" s="79"/>
    </row>
    <row r="200" spans="1:14" s="78" customFormat="1" ht="18">
      <c r="A200" s="74">
        <v>28</v>
      </c>
      <c r="B200" s="74" t="s">
        <v>1263</v>
      </c>
      <c r="C200" s="74" t="s">
        <v>4340</v>
      </c>
      <c r="D200" s="79" t="s">
        <v>4341</v>
      </c>
      <c r="E200" s="79" t="s">
        <v>3213</v>
      </c>
      <c r="F200" s="79" t="s">
        <v>4342</v>
      </c>
      <c r="G200" s="79" t="s">
        <v>4343</v>
      </c>
      <c r="H200" s="79">
        <v>0</v>
      </c>
      <c r="I200" s="79" t="s">
        <v>4344</v>
      </c>
      <c r="J200" s="79">
        <v>0</v>
      </c>
      <c r="K200" s="79" t="s">
        <v>4345</v>
      </c>
      <c r="L200" s="79"/>
      <c r="M200" s="79"/>
      <c r="N200" s="79"/>
    </row>
    <row r="201" spans="1:14" s="78" customFormat="1" ht="18">
      <c r="A201" s="74">
        <v>29</v>
      </c>
      <c r="B201" s="74" t="s">
        <v>1289</v>
      </c>
      <c r="C201" s="74" t="s">
        <v>4346</v>
      </c>
      <c r="D201" s="79" t="s">
        <v>4341</v>
      </c>
      <c r="E201" s="79" t="s">
        <v>3184</v>
      </c>
      <c r="F201" s="79" t="s">
        <v>4347</v>
      </c>
      <c r="G201" s="79" t="s">
        <v>4348</v>
      </c>
      <c r="H201" s="79" t="s">
        <v>4347</v>
      </c>
      <c r="I201" s="79" t="s">
        <v>4349</v>
      </c>
      <c r="J201" s="79" t="s">
        <v>4350</v>
      </c>
      <c r="K201" s="79" t="s">
        <v>4351</v>
      </c>
      <c r="L201" s="79"/>
      <c r="M201" s="79"/>
      <c r="N201" s="79"/>
    </row>
    <row r="202" spans="1:14" s="78" customFormat="1" ht="18">
      <c r="A202" s="74">
        <v>30</v>
      </c>
      <c r="B202" s="74" t="s">
        <v>507</v>
      </c>
      <c r="C202" s="74" t="s">
        <v>4352</v>
      </c>
      <c r="D202" s="79" t="s">
        <v>4353</v>
      </c>
      <c r="E202" s="79" t="s">
        <v>3184</v>
      </c>
      <c r="F202" s="79" t="s">
        <v>4354</v>
      </c>
      <c r="G202" s="79" t="s">
        <v>4093</v>
      </c>
      <c r="H202" s="79" t="s">
        <v>4355</v>
      </c>
      <c r="I202" s="79" t="s">
        <v>4356</v>
      </c>
      <c r="J202" s="79" t="s">
        <v>4354</v>
      </c>
      <c r="K202" s="79" t="s">
        <v>4357</v>
      </c>
      <c r="L202" s="79"/>
      <c r="M202" s="79"/>
      <c r="N202" s="79"/>
    </row>
    <row r="203" spans="1:14" s="78" customFormat="1" ht="18">
      <c r="A203" s="74">
        <v>31</v>
      </c>
      <c r="B203" s="74" t="s">
        <v>1259</v>
      </c>
      <c r="C203" s="74" t="s">
        <v>4358</v>
      </c>
      <c r="D203" s="79" t="s">
        <v>4144</v>
      </c>
      <c r="E203" s="79" t="s">
        <v>3184</v>
      </c>
      <c r="F203" s="79" t="s">
        <v>4359</v>
      </c>
      <c r="G203" s="79" t="s">
        <v>4360</v>
      </c>
      <c r="H203" s="79" t="s">
        <v>4359</v>
      </c>
      <c r="I203" s="79" t="s">
        <v>4361</v>
      </c>
      <c r="J203" s="79" t="s">
        <v>4362</v>
      </c>
      <c r="K203" s="79" t="s">
        <v>4363</v>
      </c>
      <c r="L203" s="79"/>
      <c r="M203" s="79"/>
      <c r="N203" s="79"/>
    </row>
    <row r="204" spans="1:14" s="78" customFormat="1" ht="18">
      <c r="A204" s="74">
        <v>34</v>
      </c>
      <c r="B204" s="74" t="s">
        <v>1231</v>
      </c>
      <c r="C204" s="74" t="s">
        <v>4364</v>
      </c>
      <c r="D204" s="79" t="s">
        <v>4365</v>
      </c>
      <c r="E204" s="79" t="s">
        <v>3213</v>
      </c>
      <c r="F204" s="79" t="s">
        <v>4366</v>
      </c>
      <c r="G204" s="79" t="s">
        <v>4367</v>
      </c>
      <c r="H204" s="79" t="s">
        <v>4368</v>
      </c>
      <c r="I204" s="79" t="s">
        <v>4369</v>
      </c>
      <c r="J204" s="79">
        <v>0</v>
      </c>
      <c r="K204" s="79" t="s">
        <v>4370</v>
      </c>
      <c r="L204" s="79"/>
      <c r="M204" s="79"/>
      <c r="N204" s="79"/>
    </row>
    <row r="205" spans="1:14" s="78" customFormat="1" ht="18">
      <c r="A205" s="74">
        <v>35</v>
      </c>
      <c r="B205" s="74" t="s">
        <v>1246</v>
      </c>
      <c r="C205" s="74" t="s">
        <v>4371</v>
      </c>
      <c r="D205" s="79" t="s">
        <v>4225</v>
      </c>
      <c r="E205" s="79" t="s">
        <v>3184</v>
      </c>
      <c r="F205" s="79" t="s">
        <v>4372</v>
      </c>
      <c r="G205" s="79" t="s">
        <v>4373</v>
      </c>
      <c r="H205" s="79" t="s">
        <v>4372</v>
      </c>
      <c r="I205" s="79" t="s">
        <v>4374</v>
      </c>
      <c r="J205" s="79">
        <v>0</v>
      </c>
      <c r="K205" s="79" t="s">
        <v>4375</v>
      </c>
      <c r="L205" s="79"/>
      <c r="M205" s="79"/>
      <c r="N205" s="79"/>
    </row>
    <row r="206" spans="1:14" s="78" customFormat="1" ht="18">
      <c r="A206" s="74">
        <v>37</v>
      </c>
      <c r="B206" s="74" t="s">
        <v>1265</v>
      </c>
      <c r="C206" s="74" t="s">
        <v>4376</v>
      </c>
      <c r="D206" s="79" t="s">
        <v>4377</v>
      </c>
      <c r="E206" s="79" t="s">
        <v>3213</v>
      </c>
      <c r="F206" s="79" t="s">
        <v>4378</v>
      </c>
      <c r="G206" s="79" t="s">
        <v>4379</v>
      </c>
      <c r="H206" s="79" t="s">
        <v>4380</v>
      </c>
      <c r="I206" s="79" t="s">
        <v>4381</v>
      </c>
      <c r="J206" s="79" t="s">
        <v>4378</v>
      </c>
      <c r="K206" s="79" t="s">
        <v>4382</v>
      </c>
      <c r="L206" s="79"/>
      <c r="M206" s="79"/>
      <c r="N206" s="79"/>
    </row>
    <row r="207" spans="1:14" s="78" customFormat="1" ht="18">
      <c r="A207" s="74">
        <v>38</v>
      </c>
      <c r="B207" s="74" t="s">
        <v>1283</v>
      </c>
      <c r="C207" s="74" t="s">
        <v>4383</v>
      </c>
      <c r="D207" s="79" t="s">
        <v>4384</v>
      </c>
      <c r="E207" s="79" t="s">
        <v>3184</v>
      </c>
      <c r="F207" s="79" t="s">
        <v>4385</v>
      </c>
      <c r="G207" s="79" t="s">
        <v>4386</v>
      </c>
      <c r="H207" s="79">
        <v>0</v>
      </c>
      <c r="I207" s="79" t="s">
        <v>4387</v>
      </c>
      <c r="J207" s="79" t="s">
        <v>4385</v>
      </c>
      <c r="K207" s="79" t="s">
        <v>4388</v>
      </c>
      <c r="L207" s="79"/>
      <c r="M207" s="79"/>
      <c r="N207" s="79"/>
    </row>
    <row r="208" spans="1:14" s="78" customFormat="1" ht="18">
      <c r="A208" s="74">
        <v>39</v>
      </c>
      <c r="B208" s="74" t="s">
        <v>1236</v>
      </c>
      <c r="C208" s="74" t="s">
        <v>4389</v>
      </c>
      <c r="D208" s="79" t="s">
        <v>4225</v>
      </c>
      <c r="E208" s="79" t="s">
        <v>3213</v>
      </c>
      <c r="F208" s="79" t="s">
        <v>4390</v>
      </c>
      <c r="G208" s="79" t="s">
        <v>4391</v>
      </c>
      <c r="H208" s="79" t="s">
        <v>4392</v>
      </c>
      <c r="I208" s="79" t="s">
        <v>4393</v>
      </c>
      <c r="J208" s="79" t="s">
        <v>4390</v>
      </c>
      <c r="K208" s="79" t="s">
        <v>3231</v>
      </c>
      <c r="L208" s="79"/>
      <c r="M208" s="79"/>
      <c r="N208" s="79"/>
    </row>
    <row r="209" spans="1:14" s="78" customFormat="1" ht="18">
      <c r="A209" s="74">
        <v>40</v>
      </c>
      <c r="B209" s="74" t="s">
        <v>4394</v>
      </c>
      <c r="C209" s="74" t="s">
        <v>4395</v>
      </c>
      <c r="D209" s="79" t="s">
        <v>4396</v>
      </c>
      <c r="E209" s="79" t="s">
        <v>3184</v>
      </c>
      <c r="F209" s="79" t="s">
        <v>4397</v>
      </c>
      <c r="G209" s="79" t="s">
        <v>4398</v>
      </c>
      <c r="H209" s="79">
        <v>0</v>
      </c>
      <c r="I209" s="79" t="s">
        <v>4399</v>
      </c>
      <c r="J209" s="79">
        <v>0</v>
      </c>
      <c r="K209" s="79" t="s">
        <v>4400</v>
      </c>
      <c r="L209" s="79"/>
      <c r="M209" s="79"/>
      <c r="N209" s="79"/>
    </row>
    <row r="210" spans="1:14" s="78" customFormat="1" ht="18">
      <c r="A210" s="74">
        <v>1</v>
      </c>
      <c r="B210" s="74" t="s">
        <v>1343</v>
      </c>
      <c r="C210" s="74" t="s">
        <v>4401</v>
      </c>
      <c r="D210" s="79" t="s">
        <v>3900</v>
      </c>
      <c r="E210" s="79" t="s">
        <v>3184</v>
      </c>
      <c r="F210" s="79" t="s">
        <v>4402</v>
      </c>
      <c r="G210" s="79" t="s">
        <v>4403</v>
      </c>
      <c r="H210" s="79" t="s">
        <v>4404</v>
      </c>
      <c r="I210" s="79" t="s">
        <v>4405</v>
      </c>
      <c r="J210" s="79" t="s">
        <v>4402</v>
      </c>
      <c r="K210" s="79" t="s">
        <v>4406</v>
      </c>
      <c r="L210" s="79"/>
      <c r="M210" s="79"/>
      <c r="N210" s="79"/>
    </row>
    <row r="211" spans="1:14" s="78" customFormat="1" ht="18">
      <c r="A211" s="74">
        <v>2</v>
      </c>
      <c r="B211" s="74" t="s">
        <v>1345</v>
      </c>
      <c r="C211" s="74" t="s">
        <v>4407</v>
      </c>
      <c r="D211" s="79" t="s">
        <v>4408</v>
      </c>
      <c r="E211" s="79" t="s">
        <v>3184</v>
      </c>
      <c r="F211" s="79" t="s">
        <v>4409</v>
      </c>
      <c r="G211" s="79" t="s">
        <v>4410</v>
      </c>
      <c r="H211" s="79" t="s">
        <v>4411</v>
      </c>
      <c r="I211" s="79" t="s">
        <v>4412</v>
      </c>
      <c r="J211" s="79" t="s">
        <v>4409</v>
      </c>
      <c r="K211" s="79" t="s">
        <v>4413</v>
      </c>
      <c r="L211" s="79"/>
      <c r="M211" s="79"/>
      <c r="N211" s="79"/>
    </row>
    <row r="212" spans="1:14" s="78" customFormat="1" ht="18">
      <c r="A212" s="74">
        <v>3</v>
      </c>
      <c r="B212" s="74" t="s">
        <v>1310</v>
      </c>
      <c r="C212" s="74" t="s">
        <v>4414</v>
      </c>
      <c r="D212" s="79" t="s">
        <v>4415</v>
      </c>
      <c r="E212" s="79" t="s">
        <v>3213</v>
      </c>
      <c r="F212" s="79" t="s">
        <v>4416</v>
      </c>
      <c r="G212" s="79" t="s">
        <v>4417</v>
      </c>
      <c r="H212" s="79" t="s">
        <v>4418</v>
      </c>
      <c r="I212" s="79" t="s">
        <v>4419</v>
      </c>
      <c r="J212" s="79" t="s">
        <v>4416</v>
      </c>
      <c r="K212" s="79" t="s">
        <v>4420</v>
      </c>
      <c r="L212" s="79"/>
      <c r="M212" s="79"/>
      <c r="N212" s="79"/>
    </row>
    <row r="213" spans="1:14" s="78" customFormat="1" ht="18">
      <c r="A213" s="74">
        <v>4</v>
      </c>
      <c r="B213" s="74" t="s">
        <v>1305</v>
      </c>
      <c r="C213" s="74" t="s">
        <v>4421</v>
      </c>
      <c r="D213" s="79" t="s">
        <v>4044</v>
      </c>
      <c r="E213" s="79" t="s">
        <v>3184</v>
      </c>
      <c r="F213" s="79" t="s">
        <v>4422</v>
      </c>
      <c r="G213" s="79" t="s">
        <v>3502</v>
      </c>
      <c r="H213" s="79" t="s">
        <v>4423</v>
      </c>
      <c r="I213" s="79" t="s">
        <v>4424</v>
      </c>
      <c r="J213" s="79" t="s">
        <v>4422</v>
      </c>
      <c r="K213" s="79" t="s">
        <v>4425</v>
      </c>
      <c r="L213" s="79"/>
      <c r="M213" s="79"/>
      <c r="N213" s="79"/>
    </row>
    <row r="214" spans="1:14" s="78" customFormat="1" ht="18">
      <c r="A214" s="74">
        <v>5</v>
      </c>
      <c r="B214" s="74" t="s">
        <v>1326</v>
      </c>
      <c r="C214" s="74" t="s">
        <v>4426</v>
      </c>
      <c r="D214" s="79" t="s">
        <v>4427</v>
      </c>
      <c r="E214" s="79" t="s">
        <v>3184</v>
      </c>
      <c r="F214" s="79" t="s">
        <v>4428</v>
      </c>
      <c r="G214" s="79" t="s">
        <v>4429</v>
      </c>
      <c r="H214" s="79" t="s">
        <v>4430</v>
      </c>
      <c r="I214" s="79" t="s">
        <v>4431</v>
      </c>
      <c r="J214" s="79" t="s">
        <v>4428</v>
      </c>
      <c r="K214" s="79" t="s">
        <v>4432</v>
      </c>
      <c r="L214" s="79"/>
      <c r="M214" s="79"/>
      <c r="N214" s="79"/>
    </row>
    <row r="215" spans="1:14" s="78" customFormat="1" ht="18">
      <c r="A215" s="74">
        <v>6</v>
      </c>
      <c r="B215" s="74" t="s">
        <v>285</v>
      </c>
      <c r="C215" s="74" t="s">
        <v>4433</v>
      </c>
      <c r="D215" s="79" t="s">
        <v>4434</v>
      </c>
      <c r="E215" s="79" t="s">
        <v>3184</v>
      </c>
      <c r="F215" s="79" t="s">
        <v>4435</v>
      </c>
      <c r="G215" s="79" t="s">
        <v>4436</v>
      </c>
      <c r="H215" s="79">
        <v>0</v>
      </c>
      <c r="I215" s="79" t="s">
        <v>4437</v>
      </c>
      <c r="J215" s="79">
        <v>0</v>
      </c>
      <c r="K215" s="79" t="s">
        <v>4438</v>
      </c>
      <c r="L215" s="79"/>
      <c r="M215" s="79"/>
      <c r="N215" s="79"/>
    </row>
    <row r="216" spans="1:14" s="78" customFormat="1" ht="18">
      <c r="A216" s="74">
        <v>7</v>
      </c>
      <c r="B216" s="74" t="s">
        <v>1330</v>
      </c>
      <c r="C216" s="74" t="s">
        <v>4439</v>
      </c>
      <c r="D216" s="79" t="s">
        <v>4440</v>
      </c>
      <c r="E216" s="79" t="s">
        <v>3184</v>
      </c>
      <c r="F216" s="79" t="s">
        <v>4441</v>
      </c>
      <c r="G216" s="79" t="s">
        <v>4442</v>
      </c>
      <c r="H216" s="79">
        <v>0</v>
      </c>
      <c r="I216" s="79" t="s">
        <v>4443</v>
      </c>
      <c r="J216" s="79">
        <v>0</v>
      </c>
      <c r="K216" s="79" t="s">
        <v>3610</v>
      </c>
      <c r="L216" s="79"/>
      <c r="M216" s="79"/>
      <c r="N216" s="79"/>
    </row>
    <row r="217" spans="1:14" s="78" customFormat="1" ht="18">
      <c r="A217" s="74">
        <v>8</v>
      </c>
      <c r="B217" s="74" t="s">
        <v>1314</v>
      </c>
      <c r="C217" s="74" t="s">
        <v>4444</v>
      </c>
      <c r="D217" s="79" t="s">
        <v>4445</v>
      </c>
      <c r="E217" s="79" t="s">
        <v>3184</v>
      </c>
      <c r="F217" s="79" t="s">
        <v>4446</v>
      </c>
      <c r="G217" s="79" t="s">
        <v>4447</v>
      </c>
      <c r="H217" s="79">
        <v>0</v>
      </c>
      <c r="I217" s="79" t="s">
        <v>4448</v>
      </c>
      <c r="J217" s="79" t="s">
        <v>4446</v>
      </c>
      <c r="K217" s="79" t="s">
        <v>4449</v>
      </c>
      <c r="L217" s="79"/>
      <c r="M217" s="79"/>
      <c r="N217" s="79"/>
    </row>
    <row r="218" spans="1:14" s="78" customFormat="1" ht="18">
      <c r="A218" s="74">
        <v>9</v>
      </c>
      <c r="B218" s="74" t="s">
        <v>4450</v>
      </c>
      <c r="C218" s="74" t="s">
        <v>4451</v>
      </c>
      <c r="D218" s="79" t="s">
        <v>4452</v>
      </c>
      <c r="E218" s="79" t="s">
        <v>3184</v>
      </c>
      <c r="F218" s="79" t="s">
        <v>4453</v>
      </c>
      <c r="G218" s="79" t="s">
        <v>4454</v>
      </c>
      <c r="H218" s="79" t="s">
        <v>4455</v>
      </c>
      <c r="I218" s="79" t="s">
        <v>4456</v>
      </c>
      <c r="J218" s="79" t="s">
        <v>4453</v>
      </c>
      <c r="K218" s="79" t="s">
        <v>3610</v>
      </c>
      <c r="L218" s="79"/>
      <c r="M218" s="79"/>
      <c r="N218" s="79"/>
    </row>
    <row r="219" spans="1:14" s="78" customFormat="1" ht="18">
      <c r="A219" s="74">
        <v>10</v>
      </c>
      <c r="B219" s="74" t="s">
        <v>1316</v>
      </c>
      <c r="C219" s="74" t="s">
        <v>4457</v>
      </c>
      <c r="D219" s="79" t="s">
        <v>4273</v>
      </c>
      <c r="E219" s="79" t="s">
        <v>3184</v>
      </c>
      <c r="F219" s="79" t="s">
        <v>4458</v>
      </c>
      <c r="G219" s="79" t="s">
        <v>4459</v>
      </c>
      <c r="H219" s="79" t="s">
        <v>4460</v>
      </c>
      <c r="I219" s="79" t="s">
        <v>4461</v>
      </c>
      <c r="J219" s="79" t="s">
        <v>4458</v>
      </c>
      <c r="K219" s="79" t="s">
        <v>4462</v>
      </c>
      <c r="L219" s="79"/>
      <c r="M219" s="79"/>
      <c r="N219" s="79"/>
    </row>
    <row r="220" spans="1:14" s="78" customFormat="1" ht="18">
      <c r="A220" s="74">
        <v>11</v>
      </c>
      <c r="B220" s="74" t="s">
        <v>1335</v>
      </c>
      <c r="C220" s="74" t="s">
        <v>4463</v>
      </c>
      <c r="D220" s="79" t="s">
        <v>4464</v>
      </c>
      <c r="E220" s="79" t="s">
        <v>3184</v>
      </c>
      <c r="F220" s="79" t="s">
        <v>4465</v>
      </c>
      <c r="G220" s="79" t="s">
        <v>915</v>
      </c>
      <c r="H220" s="79">
        <v>0</v>
      </c>
      <c r="I220" s="79" t="s">
        <v>4466</v>
      </c>
      <c r="J220" s="79">
        <v>0</v>
      </c>
      <c r="K220" s="79" t="s">
        <v>4467</v>
      </c>
      <c r="L220" s="79"/>
      <c r="M220" s="79"/>
      <c r="N220" s="79"/>
    </row>
    <row r="221" spans="1:14" s="78" customFormat="1" ht="18">
      <c r="A221" s="74">
        <v>12</v>
      </c>
      <c r="B221" s="74" t="s">
        <v>1318</v>
      </c>
      <c r="C221" s="74" t="s">
        <v>4468</v>
      </c>
      <c r="D221" s="79" t="s">
        <v>4185</v>
      </c>
      <c r="E221" s="79" t="s">
        <v>3184</v>
      </c>
      <c r="F221" s="79" t="s">
        <v>4469</v>
      </c>
      <c r="G221" s="79" t="s">
        <v>4470</v>
      </c>
      <c r="H221" s="79" t="s">
        <v>4471</v>
      </c>
      <c r="I221" s="79" t="s">
        <v>4472</v>
      </c>
      <c r="J221" s="79" t="s">
        <v>4469</v>
      </c>
      <c r="K221" s="79" t="s">
        <v>4473</v>
      </c>
      <c r="L221" s="79"/>
      <c r="M221" s="79"/>
      <c r="N221" s="79"/>
    </row>
    <row r="222" spans="1:14" s="78" customFormat="1" ht="18">
      <c r="A222" s="74">
        <v>13</v>
      </c>
      <c r="B222" s="74" t="s">
        <v>371</v>
      </c>
      <c r="C222" s="74" t="s">
        <v>4474</v>
      </c>
      <c r="D222" s="79" t="s">
        <v>4475</v>
      </c>
      <c r="E222" s="79" t="s">
        <v>3184</v>
      </c>
      <c r="F222" s="79" t="s">
        <v>4476</v>
      </c>
      <c r="G222" s="79" t="s">
        <v>4477</v>
      </c>
      <c r="H222" s="79" t="s">
        <v>4478</v>
      </c>
      <c r="I222" s="79" t="s">
        <v>4479</v>
      </c>
      <c r="J222" s="79" t="s">
        <v>4476</v>
      </c>
      <c r="K222" s="79" t="s">
        <v>4480</v>
      </c>
      <c r="L222" s="79"/>
      <c r="M222" s="79"/>
      <c r="N222" s="79"/>
    </row>
    <row r="223" spans="1:14" s="78" customFormat="1" ht="18">
      <c r="A223" s="74">
        <v>14</v>
      </c>
      <c r="B223" s="74" t="s">
        <v>1320</v>
      </c>
      <c r="C223" s="74" t="s">
        <v>4481</v>
      </c>
      <c r="D223" s="79" t="s">
        <v>4482</v>
      </c>
      <c r="E223" s="79" t="s">
        <v>3184</v>
      </c>
      <c r="F223" s="79" t="s">
        <v>4483</v>
      </c>
      <c r="G223" s="79" t="s">
        <v>4484</v>
      </c>
      <c r="H223" s="79" t="s">
        <v>4485</v>
      </c>
      <c r="I223" s="79" t="s">
        <v>4486</v>
      </c>
      <c r="J223" s="79" t="s">
        <v>4483</v>
      </c>
      <c r="K223" s="79" t="s">
        <v>4487</v>
      </c>
      <c r="L223" s="79"/>
      <c r="M223" s="79"/>
      <c r="N223" s="79"/>
    </row>
    <row r="224" spans="1:14" s="78" customFormat="1" ht="18">
      <c r="A224" s="74">
        <v>15</v>
      </c>
      <c r="B224" s="74" t="s">
        <v>1333</v>
      </c>
      <c r="C224" s="74" t="s">
        <v>4488</v>
      </c>
      <c r="D224" s="79" t="s">
        <v>4489</v>
      </c>
      <c r="E224" s="79" t="s">
        <v>3184</v>
      </c>
      <c r="F224" s="79" t="s">
        <v>4490</v>
      </c>
      <c r="G224" s="79" t="s">
        <v>4491</v>
      </c>
      <c r="H224" s="79" t="s">
        <v>4492</v>
      </c>
      <c r="I224" s="79" t="s">
        <v>3224</v>
      </c>
      <c r="J224" s="79" t="s">
        <v>4490</v>
      </c>
      <c r="K224" s="79" t="s">
        <v>4493</v>
      </c>
      <c r="L224" s="79"/>
      <c r="M224" s="79"/>
      <c r="N224" s="79"/>
    </row>
    <row r="225" spans="1:14" s="78" customFormat="1" ht="18">
      <c r="A225" s="74">
        <v>16</v>
      </c>
      <c r="B225" s="74" t="s">
        <v>1339</v>
      </c>
      <c r="C225" s="74" t="s">
        <v>4494</v>
      </c>
      <c r="D225" s="79" t="s">
        <v>4495</v>
      </c>
      <c r="E225" s="79" t="s">
        <v>3184</v>
      </c>
      <c r="F225" s="79" t="s">
        <v>4496</v>
      </c>
      <c r="G225" s="79" t="s">
        <v>4497</v>
      </c>
      <c r="H225" s="79" t="s">
        <v>4498</v>
      </c>
      <c r="I225" s="79" t="s">
        <v>4499</v>
      </c>
      <c r="J225" s="79" t="s">
        <v>4500</v>
      </c>
      <c r="K225" s="79" t="s">
        <v>4501</v>
      </c>
      <c r="L225" s="79"/>
      <c r="M225" s="79"/>
      <c r="N225" s="79"/>
    </row>
    <row r="226" spans="1:14" s="78" customFormat="1" ht="18">
      <c r="A226" s="74">
        <v>17</v>
      </c>
      <c r="B226" s="74" t="s">
        <v>1324</v>
      </c>
      <c r="C226" s="74" t="s">
        <v>4502</v>
      </c>
      <c r="D226" s="79" t="s">
        <v>4503</v>
      </c>
      <c r="E226" s="79" t="s">
        <v>3184</v>
      </c>
      <c r="F226" s="79" t="s">
        <v>4504</v>
      </c>
      <c r="G226" s="79" t="s">
        <v>4505</v>
      </c>
      <c r="H226" s="79" t="s">
        <v>4506</v>
      </c>
      <c r="I226" s="79" t="s">
        <v>4507</v>
      </c>
      <c r="J226" s="79" t="s">
        <v>4506</v>
      </c>
      <c r="K226" s="79" t="s">
        <v>4508</v>
      </c>
      <c r="L226" s="79"/>
      <c r="M226" s="79"/>
      <c r="N226" s="79"/>
    </row>
    <row r="227" spans="1:14" s="78" customFormat="1" ht="18">
      <c r="A227" s="74">
        <v>18</v>
      </c>
      <c r="B227" s="74" t="s">
        <v>1341</v>
      </c>
      <c r="C227" s="74" t="s">
        <v>4509</v>
      </c>
      <c r="D227" s="79" t="s">
        <v>4510</v>
      </c>
      <c r="E227" s="79" t="s">
        <v>3184</v>
      </c>
      <c r="F227" s="79" t="s">
        <v>4511</v>
      </c>
      <c r="G227" s="79" t="s">
        <v>4512</v>
      </c>
      <c r="H227" s="79">
        <v>0</v>
      </c>
      <c r="I227" s="79" t="s">
        <v>4513</v>
      </c>
      <c r="J227" s="79" t="s">
        <v>4514</v>
      </c>
      <c r="K227" s="79" t="s">
        <v>4345</v>
      </c>
      <c r="L227" s="79"/>
      <c r="M227" s="79"/>
      <c r="N227" s="79"/>
    </row>
    <row r="228" spans="1:14" s="78" customFormat="1" ht="18">
      <c r="A228" s="74">
        <v>19</v>
      </c>
      <c r="B228" s="74" t="s">
        <v>1308</v>
      </c>
      <c r="C228" s="74" t="s">
        <v>4515</v>
      </c>
      <c r="D228" s="79" t="s">
        <v>4516</v>
      </c>
      <c r="E228" s="79" t="s">
        <v>3184</v>
      </c>
      <c r="F228" s="79" t="s">
        <v>4517</v>
      </c>
      <c r="G228" s="79" t="s">
        <v>4518</v>
      </c>
      <c r="H228" s="79" t="s">
        <v>4519</v>
      </c>
      <c r="I228" s="79" t="s">
        <v>4520</v>
      </c>
      <c r="J228" s="79" t="s">
        <v>4517</v>
      </c>
      <c r="K228" s="79" t="s">
        <v>4099</v>
      </c>
      <c r="L228" s="79"/>
      <c r="M228" s="79"/>
      <c r="N228" s="79"/>
    </row>
    <row r="229" spans="1:14" s="78" customFormat="1" ht="18">
      <c r="A229" s="74">
        <v>20</v>
      </c>
      <c r="B229" s="74" t="s">
        <v>1312</v>
      </c>
      <c r="C229" s="74" t="s">
        <v>4521</v>
      </c>
      <c r="D229" s="79" t="s">
        <v>4522</v>
      </c>
      <c r="E229" s="79" t="s">
        <v>3184</v>
      </c>
      <c r="F229" s="79" t="s">
        <v>4523</v>
      </c>
      <c r="G229" s="79" t="s">
        <v>4524</v>
      </c>
      <c r="H229" s="79" t="s">
        <v>4523</v>
      </c>
      <c r="I229" s="79" t="s">
        <v>4525</v>
      </c>
      <c r="J229" s="79" t="s">
        <v>4526</v>
      </c>
      <c r="K229" s="79" t="s">
        <v>4527</v>
      </c>
      <c r="L229" s="79"/>
      <c r="M229" s="79"/>
      <c r="N229" s="79"/>
    </row>
    <row r="230" spans="1:14" s="78" customFormat="1" ht="18">
      <c r="A230" s="74">
        <v>21</v>
      </c>
      <c r="B230" s="74" t="s">
        <v>1322</v>
      </c>
      <c r="C230" s="74" t="s">
        <v>4528</v>
      </c>
      <c r="D230" s="79" t="s">
        <v>3919</v>
      </c>
      <c r="E230" s="79" t="s">
        <v>3184</v>
      </c>
      <c r="F230" s="79" t="s">
        <v>4529</v>
      </c>
      <c r="G230" s="79" t="s">
        <v>4530</v>
      </c>
      <c r="H230" s="79" t="s">
        <v>4529</v>
      </c>
      <c r="I230" s="79" t="s">
        <v>4531</v>
      </c>
      <c r="J230" s="79" t="s">
        <v>4532</v>
      </c>
      <c r="K230" s="79" t="s">
        <v>4071</v>
      </c>
      <c r="L230" s="79"/>
      <c r="M230" s="79"/>
      <c r="N230" s="79"/>
    </row>
    <row r="231" spans="1:14" s="78" customFormat="1" ht="18">
      <c r="A231" s="74">
        <v>22</v>
      </c>
      <c r="B231" s="74" t="s">
        <v>4533</v>
      </c>
      <c r="C231" s="74" t="s">
        <v>4534</v>
      </c>
      <c r="D231" s="79" t="e">
        <v>#N/A</v>
      </c>
      <c r="E231" s="79" t="e">
        <v>#N/A</v>
      </c>
      <c r="F231" s="79" t="e">
        <v>#N/A</v>
      </c>
      <c r="G231" s="79" t="e">
        <v>#N/A</v>
      </c>
      <c r="H231" s="79" t="e">
        <v>#N/A</v>
      </c>
      <c r="I231" s="79" t="e">
        <v>#N/A</v>
      </c>
      <c r="J231" s="79" t="e">
        <v>#N/A</v>
      </c>
      <c r="K231" s="79" t="e">
        <v>#N/A</v>
      </c>
      <c r="L231" s="79"/>
      <c r="M231" s="79"/>
      <c r="N231" s="79"/>
    </row>
    <row r="232" spans="1:14" s="78" customFormat="1" ht="18">
      <c r="A232" s="74">
        <v>23</v>
      </c>
      <c r="B232" s="74" t="s">
        <v>4535</v>
      </c>
      <c r="C232" s="74" t="s">
        <v>4536</v>
      </c>
      <c r="D232" s="79" t="e">
        <v>#N/A</v>
      </c>
      <c r="E232" s="79" t="e">
        <v>#N/A</v>
      </c>
      <c r="F232" s="79" t="e">
        <v>#N/A</v>
      </c>
      <c r="G232" s="79" t="e">
        <v>#N/A</v>
      </c>
      <c r="H232" s="79" t="e">
        <v>#N/A</v>
      </c>
      <c r="I232" s="79" t="e">
        <v>#N/A</v>
      </c>
      <c r="J232" s="79" t="e">
        <v>#N/A</v>
      </c>
      <c r="K232" s="79" t="e">
        <v>#N/A</v>
      </c>
      <c r="L232" s="79"/>
      <c r="M232" s="79"/>
      <c r="N232" s="79"/>
    </row>
    <row r="233" spans="1:14" s="78" customFormat="1" ht="18">
      <c r="A233" s="74">
        <v>1</v>
      </c>
      <c r="B233" s="74" t="s">
        <v>1374</v>
      </c>
      <c r="C233" s="74" t="s">
        <v>4537</v>
      </c>
      <c r="D233" s="79" t="s">
        <v>4538</v>
      </c>
      <c r="E233" s="79" t="s">
        <v>3184</v>
      </c>
      <c r="F233" s="79" t="s">
        <v>4539</v>
      </c>
      <c r="G233" s="79" t="s">
        <v>4540</v>
      </c>
      <c r="H233" s="79">
        <v>0</v>
      </c>
      <c r="I233" s="79" t="s">
        <v>4541</v>
      </c>
      <c r="J233" s="79" t="s">
        <v>4539</v>
      </c>
      <c r="K233" s="79" t="s">
        <v>4542</v>
      </c>
      <c r="L233" s="79"/>
      <c r="M233" s="79"/>
      <c r="N233" s="79"/>
    </row>
    <row r="234" spans="1:14" s="78" customFormat="1" ht="18">
      <c r="A234" s="74">
        <v>2</v>
      </c>
      <c r="B234" s="74" t="s">
        <v>1366</v>
      </c>
      <c r="C234" s="74" t="s">
        <v>4543</v>
      </c>
      <c r="D234" s="79" t="s">
        <v>4544</v>
      </c>
      <c r="E234" s="79" t="s">
        <v>3184</v>
      </c>
      <c r="F234" s="79" t="s">
        <v>4545</v>
      </c>
      <c r="G234" s="79" t="s">
        <v>4546</v>
      </c>
      <c r="H234" s="79" t="s">
        <v>4547</v>
      </c>
      <c r="I234" s="79" t="s">
        <v>3930</v>
      </c>
      <c r="J234" s="79" t="s">
        <v>4545</v>
      </c>
      <c r="K234" s="79" t="s">
        <v>3456</v>
      </c>
      <c r="L234" s="79"/>
      <c r="M234" s="79"/>
      <c r="N234" s="79"/>
    </row>
    <row r="235" spans="1:14" s="78" customFormat="1" ht="18">
      <c r="A235" s="74">
        <v>3</v>
      </c>
      <c r="B235" s="74" t="s">
        <v>1376</v>
      </c>
      <c r="C235" s="74" t="s">
        <v>4548</v>
      </c>
      <c r="D235" s="79" t="s">
        <v>3985</v>
      </c>
      <c r="E235" s="79" t="s">
        <v>3184</v>
      </c>
      <c r="F235" s="79" t="s">
        <v>4549</v>
      </c>
      <c r="G235" s="79" t="s">
        <v>4550</v>
      </c>
      <c r="H235" s="79" t="s">
        <v>4551</v>
      </c>
      <c r="I235" s="79" t="s">
        <v>4552</v>
      </c>
      <c r="J235" s="79" t="s">
        <v>4549</v>
      </c>
      <c r="K235" s="79" t="s">
        <v>4553</v>
      </c>
      <c r="L235" s="79"/>
      <c r="M235" s="79"/>
      <c r="N235" s="79"/>
    </row>
    <row r="236" spans="1:14" s="78" customFormat="1" ht="18">
      <c r="A236" s="74">
        <v>4</v>
      </c>
      <c r="B236" s="74" t="s">
        <v>4554</v>
      </c>
      <c r="C236" s="74" t="s">
        <v>4555</v>
      </c>
      <c r="D236" s="79" t="s">
        <v>4556</v>
      </c>
      <c r="E236" s="79" t="s">
        <v>3213</v>
      </c>
      <c r="F236" s="79" t="s">
        <v>4557</v>
      </c>
      <c r="G236" s="79" t="s">
        <v>4558</v>
      </c>
      <c r="H236" s="79" t="s">
        <v>4559</v>
      </c>
      <c r="I236" s="79" t="s">
        <v>4560</v>
      </c>
      <c r="J236" s="79" t="s">
        <v>4557</v>
      </c>
      <c r="K236" s="79" t="s">
        <v>4561</v>
      </c>
      <c r="L236" s="79"/>
      <c r="M236" s="79"/>
      <c r="N236" s="79"/>
    </row>
    <row r="237" spans="1:14" s="78" customFormat="1" ht="18">
      <c r="A237" s="74">
        <v>6</v>
      </c>
      <c r="B237" s="74" t="s">
        <v>1396</v>
      </c>
      <c r="C237" s="74" t="s">
        <v>4562</v>
      </c>
      <c r="D237" s="79" t="s">
        <v>3867</v>
      </c>
      <c r="E237" s="79" t="s">
        <v>3184</v>
      </c>
      <c r="F237" s="79" t="s">
        <v>4563</v>
      </c>
      <c r="G237" s="79" t="s">
        <v>4564</v>
      </c>
      <c r="H237" s="79" t="s">
        <v>4565</v>
      </c>
      <c r="I237" s="79" t="s">
        <v>4566</v>
      </c>
      <c r="J237" s="79" t="s">
        <v>4563</v>
      </c>
      <c r="K237" s="79" t="s">
        <v>3231</v>
      </c>
      <c r="L237" s="79"/>
      <c r="M237" s="79"/>
      <c r="N237" s="79"/>
    </row>
    <row r="238" spans="1:14" s="78" customFormat="1" ht="18">
      <c r="A238" s="74">
        <v>7</v>
      </c>
      <c r="B238" s="74" t="s">
        <v>1364</v>
      </c>
      <c r="C238" s="74" t="s">
        <v>4567</v>
      </c>
      <c r="D238" s="79" t="s">
        <v>4568</v>
      </c>
      <c r="E238" s="79" t="s">
        <v>3213</v>
      </c>
      <c r="F238" s="79" t="s">
        <v>4569</v>
      </c>
      <c r="G238" s="79" t="s">
        <v>4570</v>
      </c>
      <c r="H238" s="79" t="s">
        <v>4571</v>
      </c>
      <c r="I238" s="79" t="s">
        <v>4572</v>
      </c>
      <c r="J238" s="79" t="s">
        <v>4569</v>
      </c>
      <c r="K238" s="79" t="s">
        <v>4573</v>
      </c>
      <c r="L238" s="79"/>
      <c r="M238" s="79"/>
      <c r="N238" s="79"/>
    </row>
    <row r="239" spans="1:14" s="78" customFormat="1" ht="18">
      <c r="A239" s="74">
        <v>8</v>
      </c>
      <c r="B239" s="74" t="s">
        <v>1405</v>
      </c>
      <c r="C239" s="74" t="s">
        <v>4574</v>
      </c>
      <c r="D239" s="79" t="s">
        <v>4575</v>
      </c>
      <c r="E239" s="79" t="s">
        <v>3184</v>
      </c>
      <c r="F239" s="79" t="s">
        <v>4576</v>
      </c>
      <c r="G239" s="79" t="s">
        <v>4577</v>
      </c>
      <c r="H239" s="79" t="s">
        <v>4578</v>
      </c>
      <c r="I239" s="79" t="s">
        <v>4579</v>
      </c>
      <c r="J239" s="79" t="s">
        <v>4576</v>
      </c>
      <c r="K239" s="79" t="s">
        <v>3643</v>
      </c>
      <c r="L239" s="79"/>
      <c r="M239" s="79"/>
      <c r="N239" s="79"/>
    </row>
    <row r="240" spans="1:14" s="78" customFormat="1" ht="18">
      <c r="A240" s="74">
        <v>9</v>
      </c>
      <c r="B240" s="74" t="s">
        <v>1382</v>
      </c>
      <c r="C240" s="74" t="s">
        <v>4580</v>
      </c>
      <c r="D240" s="79" t="s">
        <v>4581</v>
      </c>
      <c r="E240" s="79" t="s">
        <v>3213</v>
      </c>
      <c r="F240" s="79" t="s">
        <v>4582</v>
      </c>
      <c r="G240" s="79" t="s">
        <v>4583</v>
      </c>
      <c r="H240" s="79" t="s">
        <v>4584</v>
      </c>
      <c r="I240" s="79" t="s">
        <v>4585</v>
      </c>
      <c r="J240" s="79" t="s">
        <v>4582</v>
      </c>
      <c r="K240" s="79" t="s">
        <v>3231</v>
      </c>
      <c r="L240" s="79"/>
      <c r="M240" s="79"/>
      <c r="N240" s="79"/>
    </row>
    <row r="241" spans="1:14" s="78" customFormat="1" ht="18">
      <c r="A241" s="74">
        <v>10</v>
      </c>
      <c r="B241" s="74" t="s">
        <v>1386</v>
      </c>
      <c r="C241" s="74" t="s">
        <v>4586</v>
      </c>
      <c r="D241" s="79" t="s">
        <v>4384</v>
      </c>
      <c r="E241" s="79" t="s">
        <v>3184</v>
      </c>
      <c r="F241" s="79" t="s">
        <v>4587</v>
      </c>
      <c r="G241" s="79" t="s">
        <v>4588</v>
      </c>
      <c r="H241" s="79" t="s">
        <v>4589</v>
      </c>
      <c r="I241" s="79" t="s">
        <v>4590</v>
      </c>
      <c r="J241" s="79" t="s">
        <v>4587</v>
      </c>
      <c r="K241" s="79" t="s">
        <v>4591</v>
      </c>
      <c r="L241" s="79"/>
      <c r="M241" s="79"/>
      <c r="N241" s="79"/>
    </row>
    <row r="242" spans="1:14" s="78" customFormat="1" ht="18">
      <c r="A242" s="74">
        <v>11</v>
      </c>
      <c r="B242" s="74" t="s">
        <v>1409</v>
      </c>
      <c r="C242" s="74" t="s">
        <v>4592</v>
      </c>
      <c r="D242" s="79" t="s">
        <v>4593</v>
      </c>
      <c r="E242" s="79" t="s">
        <v>3213</v>
      </c>
      <c r="F242" s="79" t="s">
        <v>4594</v>
      </c>
      <c r="G242" s="79" t="s">
        <v>4595</v>
      </c>
      <c r="H242" s="79" t="s">
        <v>4596</v>
      </c>
      <c r="I242" s="79" t="s">
        <v>4597</v>
      </c>
      <c r="J242" s="79" t="s">
        <v>4594</v>
      </c>
      <c r="K242" s="79" t="s">
        <v>4598</v>
      </c>
      <c r="L242" s="79"/>
      <c r="M242" s="79"/>
      <c r="N242" s="79"/>
    </row>
    <row r="243" spans="1:14" s="78" customFormat="1" ht="18">
      <c r="A243" s="74">
        <v>12</v>
      </c>
      <c r="B243" s="74" t="s">
        <v>1384</v>
      </c>
      <c r="C243" s="74" t="s">
        <v>4599</v>
      </c>
      <c r="D243" s="79" t="s">
        <v>4581</v>
      </c>
      <c r="E243" s="79" t="s">
        <v>3184</v>
      </c>
      <c r="F243" s="79" t="s">
        <v>4600</v>
      </c>
      <c r="G243" s="79" t="s">
        <v>4601</v>
      </c>
      <c r="H243" s="79" t="s">
        <v>4602</v>
      </c>
      <c r="I243" s="79" t="s">
        <v>4603</v>
      </c>
      <c r="J243" s="79" t="s">
        <v>4600</v>
      </c>
      <c r="K243" s="79" t="s">
        <v>4604</v>
      </c>
      <c r="L243" s="79"/>
      <c r="M243" s="79"/>
      <c r="N243" s="79"/>
    </row>
    <row r="244" spans="1:14" s="78" customFormat="1" ht="18">
      <c r="A244" s="74">
        <v>13</v>
      </c>
      <c r="B244" s="74" t="s">
        <v>1401</v>
      </c>
      <c r="C244" s="74" t="s">
        <v>4605</v>
      </c>
      <c r="D244" s="79" t="s">
        <v>4606</v>
      </c>
      <c r="E244" s="79" t="s">
        <v>3184</v>
      </c>
      <c r="F244" s="79" t="s">
        <v>4607</v>
      </c>
      <c r="G244" s="79" t="s">
        <v>4608</v>
      </c>
      <c r="H244" s="79">
        <v>0</v>
      </c>
      <c r="I244" s="79" t="s">
        <v>4609</v>
      </c>
      <c r="J244" s="79">
        <v>0</v>
      </c>
      <c r="K244" s="79" t="s">
        <v>3432</v>
      </c>
      <c r="L244" s="79"/>
      <c r="M244" s="79"/>
      <c r="N244" s="79"/>
    </row>
    <row r="245" spans="1:14" s="78" customFormat="1" ht="18">
      <c r="A245" s="74">
        <v>14</v>
      </c>
      <c r="B245" s="74" t="s">
        <v>1411</v>
      </c>
      <c r="C245" s="74" t="s">
        <v>4610</v>
      </c>
      <c r="D245" s="79" t="s">
        <v>4297</v>
      </c>
      <c r="E245" s="79" t="s">
        <v>3213</v>
      </c>
      <c r="F245" s="79" t="s">
        <v>4611</v>
      </c>
      <c r="G245" s="79" t="s">
        <v>4612</v>
      </c>
      <c r="H245" s="79" t="s">
        <v>4613</v>
      </c>
      <c r="I245" s="79" t="s">
        <v>4614</v>
      </c>
      <c r="J245" s="79" t="s">
        <v>4611</v>
      </c>
      <c r="K245" s="79" t="s">
        <v>3231</v>
      </c>
      <c r="L245" s="79"/>
      <c r="M245" s="79"/>
      <c r="N245" s="79"/>
    </row>
    <row r="246" spans="1:14" s="78" customFormat="1" ht="18">
      <c r="A246" s="74">
        <v>15</v>
      </c>
      <c r="B246" s="74" t="s">
        <v>1390</v>
      </c>
      <c r="C246" s="74" t="s">
        <v>4615</v>
      </c>
      <c r="D246" s="79" t="s">
        <v>4616</v>
      </c>
      <c r="E246" s="79" t="s">
        <v>3213</v>
      </c>
      <c r="F246" s="79" t="s">
        <v>4617</v>
      </c>
      <c r="G246" s="79" t="s">
        <v>4618</v>
      </c>
      <c r="H246" s="79">
        <v>0</v>
      </c>
      <c r="I246" s="79" t="s">
        <v>4619</v>
      </c>
      <c r="J246" s="79">
        <v>0</v>
      </c>
      <c r="K246" s="79" t="s">
        <v>3231</v>
      </c>
      <c r="L246" s="79"/>
      <c r="M246" s="79"/>
      <c r="N246" s="79"/>
    </row>
    <row r="247" spans="1:14" s="78" customFormat="1" ht="18">
      <c r="A247" s="74">
        <v>16</v>
      </c>
      <c r="B247" s="74" t="s">
        <v>1392</v>
      </c>
      <c r="C247" s="74" t="s">
        <v>4620</v>
      </c>
      <c r="D247" s="79" t="s">
        <v>4621</v>
      </c>
      <c r="E247" s="79" t="s">
        <v>3213</v>
      </c>
      <c r="F247" s="79" t="s">
        <v>4622</v>
      </c>
      <c r="G247" s="79" t="s">
        <v>4623</v>
      </c>
      <c r="H247" s="79" t="s">
        <v>4624</v>
      </c>
      <c r="I247" s="79" t="s">
        <v>4625</v>
      </c>
      <c r="J247" s="79" t="s">
        <v>4622</v>
      </c>
      <c r="K247" s="79" t="s">
        <v>3231</v>
      </c>
      <c r="L247" s="79"/>
      <c r="M247" s="79"/>
      <c r="N247" s="79"/>
    </row>
    <row r="248" spans="1:14" s="78" customFormat="1" ht="18">
      <c r="A248" s="74">
        <v>17</v>
      </c>
      <c r="B248" s="74" t="s">
        <v>1403</v>
      </c>
      <c r="C248" s="74" t="s">
        <v>4626</v>
      </c>
      <c r="D248" s="79" t="s">
        <v>4627</v>
      </c>
      <c r="E248" s="79" t="s">
        <v>3184</v>
      </c>
      <c r="F248" s="79" t="s">
        <v>4628</v>
      </c>
      <c r="G248" s="79" t="s">
        <v>4629</v>
      </c>
      <c r="H248" s="79" t="s">
        <v>4630</v>
      </c>
      <c r="I248" s="79" t="s">
        <v>4631</v>
      </c>
      <c r="J248" s="79" t="s">
        <v>4628</v>
      </c>
      <c r="K248" s="79" t="s">
        <v>4632</v>
      </c>
      <c r="L248" s="79"/>
      <c r="M248" s="79"/>
      <c r="N248" s="79"/>
    </row>
    <row r="249" spans="1:14" s="78" customFormat="1" ht="18">
      <c r="A249" s="74">
        <v>18</v>
      </c>
      <c r="B249" s="74" t="s">
        <v>1388</v>
      </c>
      <c r="C249" s="74" t="s">
        <v>4633</v>
      </c>
      <c r="D249" s="79" t="s">
        <v>4634</v>
      </c>
      <c r="E249" s="79" t="s">
        <v>3184</v>
      </c>
      <c r="F249" s="79" t="s">
        <v>4635</v>
      </c>
      <c r="G249" s="79" t="s">
        <v>4636</v>
      </c>
      <c r="H249" s="79" t="s">
        <v>4635</v>
      </c>
      <c r="I249" s="79" t="s">
        <v>4637</v>
      </c>
      <c r="J249" s="79" t="s">
        <v>4638</v>
      </c>
      <c r="K249" s="79" t="s">
        <v>4561</v>
      </c>
      <c r="L249" s="79"/>
      <c r="M249" s="79"/>
      <c r="N249" s="79"/>
    </row>
    <row r="250" spans="1:14" s="78" customFormat="1" ht="18">
      <c r="A250" s="74">
        <v>19</v>
      </c>
      <c r="B250" s="74" t="s">
        <v>1362</v>
      </c>
      <c r="C250" s="74" t="s">
        <v>4639</v>
      </c>
      <c r="D250" s="79" t="s">
        <v>3979</v>
      </c>
      <c r="E250" s="79" t="s">
        <v>3184</v>
      </c>
      <c r="F250" s="79" t="s">
        <v>4640</v>
      </c>
      <c r="G250" s="79" t="s">
        <v>4641</v>
      </c>
      <c r="H250" s="79" t="s">
        <v>4642</v>
      </c>
      <c r="I250" s="79" t="s">
        <v>4643</v>
      </c>
      <c r="J250" s="79" t="s">
        <v>4640</v>
      </c>
      <c r="K250" s="79" t="s">
        <v>4561</v>
      </c>
      <c r="L250" s="79"/>
      <c r="M250" s="79"/>
      <c r="N250" s="79"/>
    </row>
    <row r="251" spans="1:14" s="78" customFormat="1" ht="18">
      <c r="A251" s="74">
        <v>20</v>
      </c>
      <c r="B251" s="74" t="s">
        <v>1380</v>
      </c>
      <c r="C251" s="74" t="s">
        <v>4644</v>
      </c>
      <c r="D251" s="79" t="s">
        <v>4645</v>
      </c>
      <c r="E251" s="79" t="s">
        <v>3184</v>
      </c>
      <c r="F251" s="79" t="s">
        <v>4646</v>
      </c>
      <c r="G251" s="79" t="s">
        <v>4647</v>
      </c>
      <c r="H251" s="79" t="s">
        <v>4648</v>
      </c>
      <c r="I251" s="79" t="s">
        <v>628</v>
      </c>
      <c r="J251" s="79" t="s">
        <v>4646</v>
      </c>
      <c r="K251" s="79" t="s">
        <v>4649</v>
      </c>
      <c r="L251" s="79"/>
      <c r="M251" s="79"/>
      <c r="N251" s="79"/>
    </row>
    <row r="252" spans="1:14" s="78" customFormat="1" ht="18">
      <c r="A252" s="74">
        <v>23</v>
      </c>
      <c r="B252" s="74" t="s">
        <v>1372</v>
      </c>
      <c r="C252" s="74" t="s">
        <v>4650</v>
      </c>
      <c r="D252" s="79" t="s">
        <v>4651</v>
      </c>
      <c r="E252" s="79" t="s">
        <v>3184</v>
      </c>
      <c r="F252" s="79" t="s">
        <v>4652</v>
      </c>
      <c r="G252" s="79" t="s">
        <v>4653</v>
      </c>
      <c r="H252" s="79" t="s">
        <v>4654</v>
      </c>
      <c r="I252" s="79" t="s">
        <v>4655</v>
      </c>
      <c r="J252" s="79" t="s">
        <v>4652</v>
      </c>
      <c r="K252" s="79" t="s">
        <v>4656</v>
      </c>
      <c r="L252" s="79"/>
      <c r="M252" s="79"/>
      <c r="N252" s="79"/>
    </row>
    <row r="253" spans="1:14" s="78" customFormat="1" ht="18">
      <c r="A253" s="74">
        <v>24</v>
      </c>
      <c r="B253" s="74" t="s">
        <v>1378</v>
      </c>
      <c r="C253" s="74" t="s">
        <v>4657</v>
      </c>
      <c r="D253" s="79" t="s">
        <v>4658</v>
      </c>
      <c r="E253" s="79" t="s">
        <v>3184</v>
      </c>
      <c r="F253" s="79" t="s">
        <v>4659</v>
      </c>
      <c r="G253" s="79" t="s">
        <v>4660</v>
      </c>
      <c r="H253" s="79">
        <v>0</v>
      </c>
      <c r="I253" s="79" t="s">
        <v>4661</v>
      </c>
      <c r="J253" s="79" t="s">
        <v>4659</v>
      </c>
      <c r="K253" s="79" t="s">
        <v>4662</v>
      </c>
      <c r="L253" s="79"/>
      <c r="M253" s="79"/>
      <c r="N253" s="79"/>
    </row>
    <row r="254" spans="1:14" s="78" customFormat="1" ht="18">
      <c r="A254" s="74">
        <v>25</v>
      </c>
      <c r="B254" s="74" t="s">
        <v>1352</v>
      </c>
      <c r="C254" s="74" t="s">
        <v>4663</v>
      </c>
      <c r="D254" s="79" t="s">
        <v>4664</v>
      </c>
      <c r="E254" s="79" t="s">
        <v>3213</v>
      </c>
      <c r="F254" s="79" t="s">
        <v>4665</v>
      </c>
      <c r="G254" s="79" t="s">
        <v>4666</v>
      </c>
      <c r="H254" s="79" t="s">
        <v>4667</v>
      </c>
      <c r="I254" s="79" t="s">
        <v>4313</v>
      </c>
      <c r="J254" s="79" t="s">
        <v>4665</v>
      </c>
      <c r="K254" s="79" t="s">
        <v>3231</v>
      </c>
      <c r="L254" s="79"/>
      <c r="M254" s="79"/>
      <c r="N254" s="79"/>
    </row>
    <row r="255" spans="1:14" s="78" customFormat="1" ht="18">
      <c r="A255" s="74">
        <v>26</v>
      </c>
      <c r="B255" s="74" t="s">
        <v>1347</v>
      </c>
      <c r="C255" s="74" t="s">
        <v>4668</v>
      </c>
      <c r="D255" s="79" t="s">
        <v>4669</v>
      </c>
      <c r="E255" s="79" t="s">
        <v>3213</v>
      </c>
      <c r="F255" s="79" t="s">
        <v>4670</v>
      </c>
      <c r="G255" s="79" t="s">
        <v>4671</v>
      </c>
      <c r="H255" s="79" t="s">
        <v>4672</v>
      </c>
      <c r="I255" s="79" t="s">
        <v>4196</v>
      </c>
      <c r="J255" s="79" t="s">
        <v>4670</v>
      </c>
      <c r="K255" s="79" t="s">
        <v>4673</v>
      </c>
      <c r="L255" s="79"/>
      <c r="M255" s="79"/>
      <c r="N255" s="79"/>
    </row>
    <row r="256" spans="1:14" s="78" customFormat="1" ht="18">
      <c r="A256" s="74">
        <v>27</v>
      </c>
      <c r="B256" s="74" t="s">
        <v>1399</v>
      </c>
      <c r="C256" s="74" t="s">
        <v>4674</v>
      </c>
      <c r="D256" s="79" t="s">
        <v>4675</v>
      </c>
      <c r="E256" s="79" t="s">
        <v>3184</v>
      </c>
      <c r="F256" s="79" t="s">
        <v>4676</v>
      </c>
      <c r="G256" s="79" t="s">
        <v>4677</v>
      </c>
      <c r="H256" s="79">
        <v>0</v>
      </c>
      <c r="I256" s="79" t="s">
        <v>4678</v>
      </c>
      <c r="J256" s="79">
        <v>0</v>
      </c>
      <c r="K256" s="79" t="s">
        <v>4679</v>
      </c>
      <c r="L256" s="79"/>
      <c r="M256" s="79"/>
      <c r="N256" s="79"/>
    </row>
    <row r="257" spans="1:14" s="78" customFormat="1" ht="18">
      <c r="A257" s="74">
        <v>28</v>
      </c>
      <c r="B257" s="74" t="s">
        <v>1394</v>
      </c>
      <c r="C257" s="74" t="s">
        <v>4680</v>
      </c>
      <c r="D257" s="79" t="s">
        <v>4681</v>
      </c>
      <c r="E257" s="79" t="s">
        <v>3213</v>
      </c>
      <c r="F257" s="79" t="s">
        <v>4682</v>
      </c>
      <c r="G257" s="79" t="s">
        <v>4683</v>
      </c>
      <c r="H257" s="79" t="s">
        <v>4684</v>
      </c>
      <c r="I257" s="79" t="s">
        <v>4685</v>
      </c>
      <c r="J257" s="79" t="s">
        <v>4682</v>
      </c>
      <c r="K257" s="79" t="s">
        <v>3231</v>
      </c>
      <c r="L257" s="79"/>
      <c r="M257" s="79"/>
      <c r="N257" s="79"/>
    </row>
    <row r="258" spans="1:14" s="78" customFormat="1" ht="18">
      <c r="A258" s="74">
        <v>29</v>
      </c>
      <c r="B258" s="74" t="s">
        <v>1368</v>
      </c>
      <c r="C258" s="74" t="s">
        <v>4686</v>
      </c>
      <c r="D258" s="79" t="s">
        <v>4687</v>
      </c>
      <c r="E258" s="79" t="s">
        <v>3213</v>
      </c>
      <c r="F258" s="79" t="s">
        <v>4688</v>
      </c>
      <c r="G258" s="79" t="s">
        <v>4689</v>
      </c>
      <c r="H258" s="79" t="s">
        <v>4690</v>
      </c>
      <c r="I258" s="79" t="s">
        <v>4691</v>
      </c>
      <c r="J258" s="79" t="s">
        <v>4688</v>
      </c>
      <c r="K258" s="79" t="s">
        <v>4561</v>
      </c>
      <c r="L258" s="79"/>
      <c r="M258" s="79"/>
      <c r="N258" s="79"/>
    </row>
    <row r="259" spans="1:14" s="78" customFormat="1" ht="18">
      <c r="A259" s="74">
        <v>31</v>
      </c>
      <c r="B259" s="74" t="s">
        <v>4692</v>
      </c>
      <c r="C259" s="74" t="s">
        <v>4693</v>
      </c>
      <c r="D259" s="79" t="s">
        <v>4694</v>
      </c>
      <c r="E259" s="79" t="s">
        <v>3184</v>
      </c>
      <c r="F259" s="79" t="s">
        <v>4695</v>
      </c>
      <c r="G259" s="79" t="s">
        <v>1407</v>
      </c>
      <c r="H259" s="79" t="s">
        <v>4696</v>
      </c>
      <c r="I259" s="79" t="s">
        <v>4697</v>
      </c>
      <c r="J259" s="79" t="s">
        <v>4695</v>
      </c>
      <c r="K259" s="79" t="s">
        <v>4333</v>
      </c>
      <c r="L259" s="79"/>
      <c r="M259" s="79"/>
      <c r="N259" s="79"/>
    </row>
    <row r="260" spans="1:14" s="78" customFormat="1" ht="18">
      <c r="A260" s="74">
        <v>33</v>
      </c>
      <c r="B260" s="74" t="s">
        <v>1350</v>
      </c>
      <c r="C260" s="74" t="s">
        <v>4698</v>
      </c>
      <c r="D260" s="79" t="s">
        <v>4699</v>
      </c>
      <c r="E260" s="79" t="s">
        <v>3213</v>
      </c>
      <c r="F260" s="79" t="s">
        <v>4700</v>
      </c>
      <c r="G260" s="79" t="s">
        <v>4701</v>
      </c>
      <c r="H260" s="79" t="s">
        <v>4700</v>
      </c>
      <c r="I260" s="79" t="s">
        <v>4691</v>
      </c>
      <c r="J260" s="79" t="s">
        <v>4702</v>
      </c>
      <c r="K260" s="79" t="s">
        <v>3231</v>
      </c>
      <c r="L260" s="79"/>
      <c r="M260" s="79"/>
      <c r="N260" s="79"/>
    </row>
    <row r="261" spans="1:14" s="78" customFormat="1" ht="18">
      <c r="A261" s="74">
        <v>34</v>
      </c>
      <c r="B261" s="74" t="s">
        <v>4703</v>
      </c>
      <c r="C261" s="74" t="s">
        <v>4704</v>
      </c>
      <c r="D261" s="79" t="s">
        <v>4237</v>
      </c>
      <c r="E261" s="79" t="s">
        <v>3213</v>
      </c>
      <c r="F261" s="79" t="s">
        <v>4705</v>
      </c>
      <c r="G261" s="79" t="s">
        <v>4706</v>
      </c>
      <c r="H261" s="79" t="s">
        <v>4705</v>
      </c>
      <c r="I261" s="79" t="s">
        <v>3419</v>
      </c>
      <c r="J261" s="79" t="s">
        <v>4707</v>
      </c>
      <c r="K261" s="79" t="s">
        <v>3272</v>
      </c>
      <c r="L261" s="79"/>
      <c r="M261" s="79"/>
      <c r="N261" s="79"/>
    </row>
    <row r="262" spans="1:14" s="78" customFormat="1" ht="18">
      <c r="A262" s="74">
        <v>35</v>
      </c>
      <c r="B262" s="74" t="s">
        <v>1407</v>
      </c>
      <c r="C262" s="74" t="s">
        <v>4708</v>
      </c>
      <c r="D262" s="79" t="s">
        <v>4709</v>
      </c>
      <c r="E262" s="79" t="s">
        <v>3184</v>
      </c>
      <c r="F262" s="79" t="s">
        <v>4710</v>
      </c>
      <c r="G262" s="79" t="s">
        <v>4711</v>
      </c>
      <c r="H262" s="79" t="s">
        <v>4712</v>
      </c>
      <c r="I262" s="79" t="s">
        <v>4713</v>
      </c>
      <c r="J262" s="79" t="s">
        <v>4710</v>
      </c>
      <c r="K262" s="79" t="s">
        <v>4714</v>
      </c>
      <c r="L262" s="79"/>
      <c r="M262" s="79"/>
      <c r="N262" s="79"/>
    </row>
    <row r="263" spans="1:14" s="78" customFormat="1" ht="18">
      <c r="A263" s="74">
        <v>40</v>
      </c>
      <c r="B263" s="74" t="s">
        <v>1356</v>
      </c>
      <c r="C263" s="74" t="s">
        <v>4715</v>
      </c>
      <c r="D263" s="79" t="s">
        <v>4716</v>
      </c>
      <c r="E263" s="79" t="s">
        <v>3184</v>
      </c>
      <c r="F263" s="79" t="s">
        <v>4717</v>
      </c>
      <c r="G263" s="79" t="s">
        <v>3644</v>
      </c>
      <c r="H263" s="79" t="s">
        <v>4718</v>
      </c>
      <c r="I263" s="79" t="s">
        <v>4719</v>
      </c>
      <c r="J263" s="79" t="s">
        <v>4717</v>
      </c>
      <c r="K263" s="79" t="s">
        <v>3909</v>
      </c>
      <c r="L263" s="79"/>
      <c r="M263" s="79"/>
      <c r="N263" s="79"/>
    </row>
    <row r="264" spans="1:14" s="78" customFormat="1" ht="18">
      <c r="A264" s="74">
        <v>41</v>
      </c>
      <c r="B264" s="74" t="s">
        <v>4720</v>
      </c>
      <c r="C264" s="74" t="s">
        <v>4721</v>
      </c>
      <c r="D264" s="79" t="s">
        <v>4722</v>
      </c>
      <c r="E264" s="79" t="s">
        <v>3184</v>
      </c>
      <c r="F264" s="79" t="s">
        <v>4723</v>
      </c>
      <c r="G264" s="79" t="s">
        <v>4724</v>
      </c>
      <c r="H264" s="79">
        <v>0</v>
      </c>
      <c r="I264" s="79" t="s">
        <v>628</v>
      </c>
      <c r="J264" s="79" t="s">
        <v>4723</v>
      </c>
      <c r="K264" s="79" t="s">
        <v>4493</v>
      </c>
      <c r="L264" s="79"/>
      <c r="M264" s="79"/>
      <c r="N264" s="79"/>
    </row>
    <row r="265" spans="1:14" s="78" customFormat="1" ht="18">
      <c r="A265" s="74">
        <v>42</v>
      </c>
      <c r="B265" s="74" t="s">
        <v>1370</v>
      </c>
      <c r="C265" s="74" t="s">
        <v>4725</v>
      </c>
      <c r="D265" s="79" t="s">
        <v>4231</v>
      </c>
      <c r="E265" s="79" t="s">
        <v>3184</v>
      </c>
      <c r="F265" s="79" t="s">
        <v>4726</v>
      </c>
      <c r="G265" s="79" t="s">
        <v>4727</v>
      </c>
      <c r="H265" s="79" t="s">
        <v>4728</v>
      </c>
      <c r="I265" s="79" t="s">
        <v>4729</v>
      </c>
      <c r="J265" s="79" t="s">
        <v>4726</v>
      </c>
      <c r="K265" s="79" t="s">
        <v>4065</v>
      </c>
      <c r="L265" s="79"/>
      <c r="M265" s="79"/>
      <c r="N265" s="79"/>
    </row>
    <row r="266" spans="1:14" s="78" customFormat="1" ht="18">
      <c r="A266" s="74">
        <v>44</v>
      </c>
      <c r="B266" s="74" t="s">
        <v>1354</v>
      </c>
      <c r="C266" s="74" t="s">
        <v>4730</v>
      </c>
      <c r="D266" s="79" t="s">
        <v>4731</v>
      </c>
      <c r="E266" s="79" t="s">
        <v>3184</v>
      </c>
      <c r="F266" s="79" t="s">
        <v>4732</v>
      </c>
      <c r="G266" s="79" t="s">
        <v>4733</v>
      </c>
      <c r="H266" s="79">
        <v>0</v>
      </c>
      <c r="I266" s="79" t="s">
        <v>4734</v>
      </c>
      <c r="J266" s="79">
        <v>0</v>
      </c>
      <c r="K266" s="79" t="s">
        <v>3858</v>
      </c>
      <c r="L266" s="79"/>
      <c r="M266" s="79"/>
      <c r="N266" s="79"/>
    </row>
    <row r="267" spans="1:14" s="78" customFormat="1" ht="18">
      <c r="A267" s="74">
        <v>46</v>
      </c>
      <c r="B267" s="74" t="s">
        <v>1358</v>
      </c>
      <c r="C267" s="74" t="s">
        <v>4735</v>
      </c>
      <c r="D267" s="79" t="s">
        <v>4736</v>
      </c>
      <c r="E267" s="79" t="s">
        <v>3213</v>
      </c>
      <c r="F267" s="79" t="s">
        <v>4737</v>
      </c>
      <c r="G267" s="79" t="s">
        <v>4738</v>
      </c>
      <c r="H267" s="79" t="s">
        <v>4739</v>
      </c>
      <c r="I267" s="79" t="s">
        <v>4313</v>
      </c>
      <c r="J267" s="79" t="s">
        <v>4737</v>
      </c>
      <c r="K267" s="79" t="s">
        <v>4053</v>
      </c>
      <c r="L267" s="79"/>
      <c r="M267" s="79"/>
      <c r="N267" s="79"/>
    </row>
    <row r="268" spans="1:14" s="78" customFormat="1" ht="18">
      <c r="A268" s="74">
        <v>47</v>
      </c>
      <c r="B268" s="74" t="s">
        <v>4740</v>
      </c>
      <c r="C268" s="74" t="s">
        <v>4741</v>
      </c>
      <c r="D268" s="79" t="s">
        <v>4742</v>
      </c>
      <c r="E268" s="79" t="s">
        <v>3184</v>
      </c>
      <c r="F268" s="79" t="s">
        <v>4743</v>
      </c>
      <c r="G268" s="79" t="s">
        <v>4744</v>
      </c>
      <c r="H268" s="79" t="s">
        <v>4745</v>
      </c>
      <c r="I268" s="79" t="s">
        <v>4746</v>
      </c>
      <c r="J268" s="79" t="s">
        <v>4743</v>
      </c>
      <c r="K268" s="79" t="s">
        <v>3217</v>
      </c>
      <c r="L268" s="79"/>
      <c r="M268" s="79"/>
      <c r="N268" s="79"/>
    </row>
    <row r="269" spans="1:14" s="78" customFormat="1" ht="18">
      <c r="A269" s="74">
        <v>48</v>
      </c>
      <c r="B269" s="74" t="s">
        <v>1360</v>
      </c>
      <c r="C269" s="74" t="s">
        <v>4747</v>
      </c>
      <c r="D269" s="79" t="s">
        <v>3992</v>
      </c>
      <c r="E269" s="79" t="s">
        <v>3184</v>
      </c>
      <c r="F269" s="79" t="s">
        <v>4748</v>
      </c>
      <c r="G269" s="79" t="s">
        <v>4749</v>
      </c>
      <c r="H269" s="79">
        <v>0</v>
      </c>
      <c r="I269" s="79" t="s">
        <v>4750</v>
      </c>
      <c r="J269" s="79" t="s">
        <v>4748</v>
      </c>
      <c r="K269" s="79" t="s">
        <v>4751</v>
      </c>
      <c r="L269" s="79"/>
      <c r="M269" s="79"/>
      <c r="N269" s="79"/>
    </row>
    <row r="270" spans="1:14" s="78" customFormat="1" ht="18">
      <c r="A270" s="74">
        <v>49</v>
      </c>
      <c r="B270" s="74" t="s">
        <v>483</v>
      </c>
      <c r="C270" s="74" t="s">
        <v>4752</v>
      </c>
      <c r="D270" s="79" t="s">
        <v>4753</v>
      </c>
      <c r="E270" s="79" t="s">
        <v>3184</v>
      </c>
      <c r="F270" s="79" t="s">
        <v>4754</v>
      </c>
      <c r="G270" s="79" t="s">
        <v>4755</v>
      </c>
      <c r="H270" s="79" t="s">
        <v>4754</v>
      </c>
      <c r="I270" s="79" t="s">
        <v>4756</v>
      </c>
      <c r="J270" s="79" t="s">
        <v>4757</v>
      </c>
      <c r="K270" s="79" t="s">
        <v>4758</v>
      </c>
      <c r="L270" s="79"/>
      <c r="M270" s="79"/>
      <c r="N270" s="79"/>
    </row>
    <row r="271" spans="1:14" s="78" customFormat="1" ht="18">
      <c r="A271" s="74">
        <v>50</v>
      </c>
      <c r="B271" s="74" t="s">
        <v>1503</v>
      </c>
      <c r="C271" s="74" t="s">
        <v>4759</v>
      </c>
      <c r="D271" s="79" t="e">
        <v>#N/A</v>
      </c>
      <c r="E271" s="79" t="e">
        <v>#N/A</v>
      </c>
      <c r="F271" s="79" t="e">
        <v>#N/A</v>
      </c>
      <c r="G271" s="79" t="e">
        <v>#N/A</v>
      </c>
      <c r="H271" s="79" t="e">
        <v>#N/A</v>
      </c>
      <c r="I271" s="79" t="e">
        <v>#N/A</v>
      </c>
      <c r="J271" s="79" t="e">
        <v>#N/A</v>
      </c>
      <c r="K271" s="79" t="e">
        <v>#N/A</v>
      </c>
      <c r="L271" s="79"/>
      <c r="M271" s="79"/>
      <c r="N271" s="79"/>
    </row>
    <row r="272" spans="1:14" s="78" customFormat="1" ht="18">
      <c r="A272" s="74">
        <v>51</v>
      </c>
      <c r="B272" s="74" t="s">
        <v>4760</v>
      </c>
      <c r="C272" s="74" t="s">
        <v>4761</v>
      </c>
      <c r="D272" s="79" t="e">
        <v>#N/A</v>
      </c>
      <c r="E272" s="79" t="e">
        <v>#N/A</v>
      </c>
      <c r="F272" s="79" t="e">
        <v>#N/A</v>
      </c>
      <c r="G272" s="79" t="e">
        <v>#N/A</v>
      </c>
      <c r="H272" s="79" t="e">
        <v>#N/A</v>
      </c>
      <c r="I272" s="79" t="e">
        <v>#N/A</v>
      </c>
      <c r="J272" s="79" t="e">
        <v>#N/A</v>
      </c>
      <c r="K272" s="79" t="e">
        <v>#N/A</v>
      </c>
      <c r="L272" s="79"/>
      <c r="M272" s="79"/>
      <c r="N272" s="79"/>
    </row>
    <row r="273" spans="1:14" s="78" customFormat="1" ht="18">
      <c r="A273" s="74">
        <v>52</v>
      </c>
      <c r="B273" s="74" t="s">
        <v>4762</v>
      </c>
      <c r="C273" s="74" t="s">
        <v>4763</v>
      </c>
      <c r="D273" s="79" t="e">
        <v>#N/A</v>
      </c>
      <c r="E273" s="79" t="e">
        <v>#N/A</v>
      </c>
      <c r="F273" s="79" t="e">
        <v>#N/A</v>
      </c>
      <c r="G273" s="79" t="e">
        <v>#N/A</v>
      </c>
      <c r="H273" s="79" t="e">
        <v>#N/A</v>
      </c>
      <c r="I273" s="79" t="e">
        <v>#N/A</v>
      </c>
      <c r="J273" s="79" t="e">
        <v>#N/A</v>
      </c>
      <c r="K273" s="79" t="e">
        <v>#N/A</v>
      </c>
      <c r="L273" s="79"/>
      <c r="M273" s="79"/>
      <c r="N273" s="79"/>
    </row>
    <row r="274" spans="1:14" s="78" customFormat="1" ht="18">
      <c r="A274" s="74">
        <v>1</v>
      </c>
      <c r="B274" s="74" t="s">
        <v>1472</v>
      </c>
      <c r="C274" s="74" t="s">
        <v>4764</v>
      </c>
      <c r="D274" s="79">
        <v>39498</v>
      </c>
      <c r="E274" s="79">
        <v>0</v>
      </c>
      <c r="F274" s="79">
        <v>333054583</v>
      </c>
      <c r="G274" s="79" t="s">
        <v>4765</v>
      </c>
      <c r="H274" s="79">
        <v>374365366</v>
      </c>
      <c r="I274" s="79" t="s">
        <v>4766</v>
      </c>
      <c r="J274" s="79">
        <v>976813597</v>
      </c>
      <c r="K274" s="79" t="s">
        <v>4767</v>
      </c>
      <c r="L274" s="79"/>
      <c r="M274" s="79"/>
      <c r="N274" s="79"/>
    </row>
    <row r="275" spans="1:14" s="78" customFormat="1" ht="18">
      <c r="A275" s="74">
        <v>2</v>
      </c>
      <c r="B275" s="74" t="s">
        <v>1487</v>
      </c>
      <c r="C275" s="74" t="s">
        <v>4768</v>
      </c>
      <c r="D275" s="79">
        <v>39759</v>
      </c>
      <c r="E275" s="79">
        <v>0</v>
      </c>
      <c r="F275" s="79">
        <v>337766268</v>
      </c>
      <c r="G275" s="79" t="s">
        <v>4769</v>
      </c>
      <c r="H275" s="79">
        <v>904267531</v>
      </c>
      <c r="I275" s="79" t="s">
        <v>4770</v>
      </c>
      <c r="J275" s="79">
        <v>988326680</v>
      </c>
      <c r="K275" s="79">
        <v>0</v>
      </c>
      <c r="L275" s="79"/>
      <c r="M275" s="79"/>
      <c r="N275" s="79"/>
    </row>
    <row r="276" spans="1:14" s="78" customFormat="1" ht="18">
      <c r="A276" s="74">
        <v>3</v>
      </c>
      <c r="B276" s="74" t="s">
        <v>1420</v>
      </c>
      <c r="C276" s="74" t="s">
        <v>4771</v>
      </c>
      <c r="D276" s="79">
        <v>39487</v>
      </c>
      <c r="E276" s="79">
        <v>0</v>
      </c>
      <c r="F276" s="79">
        <v>372903930</v>
      </c>
      <c r="G276" s="79" t="s">
        <v>4772</v>
      </c>
      <c r="H276" s="79">
        <v>942799411</v>
      </c>
      <c r="I276" s="79" t="s">
        <v>4773</v>
      </c>
      <c r="J276" s="79">
        <v>969084978</v>
      </c>
      <c r="K276" s="79">
        <v>0</v>
      </c>
      <c r="L276" s="79"/>
      <c r="M276" s="79"/>
      <c r="N276" s="79"/>
    </row>
    <row r="277" spans="1:14" s="78" customFormat="1" ht="18">
      <c r="A277" s="74">
        <v>4</v>
      </c>
      <c r="B277" s="74" t="s">
        <v>1464</v>
      </c>
      <c r="C277" s="74" t="s">
        <v>4774</v>
      </c>
      <c r="D277" s="79">
        <v>39670</v>
      </c>
      <c r="E277" s="79">
        <v>0</v>
      </c>
      <c r="F277" s="79">
        <v>984046033</v>
      </c>
      <c r="G277" s="79" t="s">
        <v>4775</v>
      </c>
      <c r="H277" s="79">
        <v>983417191</v>
      </c>
      <c r="I277" s="79" t="s">
        <v>4776</v>
      </c>
      <c r="J277" s="79">
        <v>986199882</v>
      </c>
      <c r="K277" s="79" t="s">
        <v>4777</v>
      </c>
      <c r="L277" s="79"/>
      <c r="M277" s="79"/>
      <c r="N277" s="79"/>
    </row>
    <row r="278" spans="1:14" s="78" customFormat="1" ht="18">
      <c r="A278" s="74">
        <v>5</v>
      </c>
      <c r="B278" s="74" t="s">
        <v>1466</v>
      </c>
      <c r="C278" s="74" t="s">
        <v>4778</v>
      </c>
      <c r="D278" s="79">
        <v>39696</v>
      </c>
      <c r="E278" s="79">
        <v>0</v>
      </c>
      <c r="F278" s="79">
        <v>969917475</v>
      </c>
      <c r="G278" s="79" t="s">
        <v>4779</v>
      </c>
      <c r="H278" s="79">
        <v>912386660</v>
      </c>
      <c r="I278" s="79" t="s">
        <v>4780</v>
      </c>
      <c r="J278" s="79">
        <v>855338412</v>
      </c>
      <c r="K278" s="79" t="s">
        <v>4781</v>
      </c>
      <c r="L278" s="79"/>
      <c r="M278" s="79"/>
      <c r="N278" s="79"/>
    </row>
    <row r="279" spans="1:14" s="78" customFormat="1" ht="18">
      <c r="A279" s="74">
        <v>6</v>
      </c>
      <c r="B279" s="74" t="s">
        <v>1454</v>
      </c>
      <c r="C279" s="74" t="s">
        <v>4782</v>
      </c>
      <c r="D279" s="79">
        <v>39550</v>
      </c>
      <c r="E279" s="79">
        <v>0</v>
      </c>
      <c r="F279" s="79">
        <v>978757345</v>
      </c>
      <c r="G279" s="79" t="s">
        <v>4783</v>
      </c>
      <c r="H279" s="79">
        <v>919957998</v>
      </c>
      <c r="I279" s="79" t="s">
        <v>4784</v>
      </c>
      <c r="J279" s="79">
        <v>984825805</v>
      </c>
      <c r="K279" s="79" t="s">
        <v>4785</v>
      </c>
      <c r="L279" s="79"/>
      <c r="M279" s="79"/>
      <c r="N279" s="79"/>
    </row>
    <row r="280" spans="1:14" s="78" customFormat="1" ht="18">
      <c r="A280" s="74">
        <v>7</v>
      </c>
      <c r="B280" s="74" t="s">
        <v>1422</v>
      </c>
      <c r="C280" s="74" t="s">
        <v>4786</v>
      </c>
      <c r="D280" s="79">
        <v>39451</v>
      </c>
      <c r="E280" s="79">
        <v>0</v>
      </c>
      <c r="F280" s="79">
        <v>985639669</v>
      </c>
      <c r="G280" s="79" t="s">
        <v>4787</v>
      </c>
      <c r="H280" s="79">
        <v>0</v>
      </c>
      <c r="I280" s="79" t="s">
        <v>4788</v>
      </c>
      <c r="J280" s="79">
        <v>986828189</v>
      </c>
      <c r="K280" s="79" t="s">
        <v>4789</v>
      </c>
      <c r="L280" s="79"/>
      <c r="M280" s="79"/>
      <c r="N280" s="79"/>
    </row>
    <row r="281" spans="1:14" s="78" customFormat="1" ht="18">
      <c r="A281" s="74">
        <v>8</v>
      </c>
      <c r="B281" s="74" t="s">
        <v>1430</v>
      </c>
      <c r="C281" s="74" t="s">
        <v>4790</v>
      </c>
      <c r="D281" s="79">
        <v>39681</v>
      </c>
      <c r="E281" s="79">
        <v>0</v>
      </c>
      <c r="F281" s="79">
        <v>332858316</v>
      </c>
      <c r="G281" s="79" t="s">
        <v>4791</v>
      </c>
      <c r="H281" s="79">
        <v>976926672</v>
      </c>
      <c r="I281" s="79" t="s">
        <v>4792</v>
      </c>
      <c r="J281" s="79">
        <v>352387872</v>
      </c>
      <c r="K281" s="79" t="s">
        <v>4793</v>
      </c>
      <c r="L281" s="79"/>
      <c r="M281" s="79"/>
      <c r="N281" s="79"/>
    </row>
    <row r="282" spans="1:14" s="78" customFormat="1" ht="18">
      <c r="A282" s="74">
        <v>9</v>
      </c>
      <c r="B282" s="74" t="s">
        <v>4794</v>
      </c>
      <c r="C282" s="74" t="s">
        <v>4795</v>
      </c>
      <c r="D282" s="79" t="e">
        <v>#N/A</v>
      </c>
      <c r="E282" s="79" t="e">
        <v>#N/A</v>
      </c>
      <c r="F282" s="79" t="e">
        <v>#N/A</v>
      </c>
      <c r="G282" s="79" t="e">
        <v>#N/A</v>
      </c>
      <c r="H282" s="79" t="e">
        <v>#N/A</v>
      </c>
      <c r="I282" s="79" t="e">
        <v>#N/A</v>
      </c>
      <c r="J282" s="79" t="e">
        <v>#N/A</v>
      </c>
      <c r="K282" s="79" t="e">
        <v>#N/A</v>
      </c>
      <c r="L282" s="79"/>
      <c r="M282" s="79"/>
      <c r="N282" s="79"/>
    </row>
    <row r="283" spans="1:14" s="78" customFormat="1" ht="18">
      <c r="A283" s="74">
        <v>10</v>
      </c>
      <c r="B283" s="74" t="s">
        <v>1440</v>
      </c>
      <c r="C283" s="74" t="s">
        <v>4796</v>
      </c>
      <c r="D283" s="79">
        <v>39692</v>
      </c>
      <c r="E283" s="79">
        <v>0</v>
      </c>
      <c r="F283" s="79">
        <v>988010908</v>
      </c>
      <c r="G283" s="79" t="s">
        <v>4797</v>
      </c>
      <c r="H283" s="79">
        <v>0</v>
      </c>
      <c r="I283" s="79" t="s">
        <v>4798</v>
      </c>
      <c r="J283" s="79">
        <v>988979559</v>
      </c>
      <c r="K283" s="79" t="s">
        <v>4799</v>
      </c>
      <c r="L283" s="79"/>
      <c r="M283" s="79"/>
      <c r="N283" s="79"/>
    </row>
    <row r="284" spans="1:14" s="78" customFormat="1" ht="18">
      <c r="A284" s="74">
        <v>11</v>
      </c>
      <c r="B284" s="74" t="s">
        <v>1415</v>
      </c>
      <c r="C284" s="74" t="s">
        <v>4800</v>
      </c>
      <c r="D284" s="79" t="e">
        <v>#N/A</v>
      </c>
      <c r="E284" s="79" t="e">
        <v>#N/A</v>
      </c>
      <c r="F284" s="79" t="e">
        <v>#N/A</v>
      </c>
      <c r="G284" s="79" t="e">
        <v>#N/A</v>
      </c>
      <c r="H284" s="79" t="e">
        <v>#N/A</v>
      </c>
      <c r="I284" s="79" t="e">
        <v>#N/A</v>
      </c>
      <c r="J284" s="79" t="e">
        <v>#N/A</v>
      </c>
      <c r="K284" s="79" t="e">
        <v>#N/A</v>
      </c>
      <c r="L284" s="79"/>
      <c r="M284" s="79"/>
      <c r="N284" s="79"/>
    </row>
    <row r="285" spans="1:14" s="78" customFormat="1" ht="18">
      <c r="A285" s="74">
        <v>12</v>
      </c>
      <c r="B285" s="74" t="s">
        <v>1434</v>
      </c>
      <c r="C285" s="74" t="s">
        <v>4801</v>
      </c>
      <c r="D285" s="79" t="e">
        <v>#N/A</v>
      </c>
      <c r="E285" s="79" t="e">
        <v>#N/A</v>
      </c>
      <c r="F285" s="79" t="e">
        <v>#N/A</v>
      </c>
      <c r="G285" s="79" t="e">
        <v>#N/A</v>
      </c>
      <c r="H285" s="79" t="e">
        <v>#N/A</v>
      </c>
      <c r="I285" s="79" t="e">
        <v>#N/A</v>
      </c>
      <c r="J285" s="79" t="e">
        <v>#N/A</v>
      </c>
      <c r="K285" s="79" t="e">
        <v>#N/A</v>
      </c>
      <c r="L285" s="79"/>
      <c r="M285" s="79"/>
      <c r="N285" s="79"/>
    </row>
    <row r="286" spans="1:14" s="78" customFormat="1" ht="18">
      <c r="A286" s="74">
        <v>13</v>
      </c>
      <c r="B286" s="74" t="s">
        <v>1417</v>
      </c>
      <c r="C286" s="74" t="s">
        <v>4802</v>
      </c>
      <c r="D286" s="79">
        <v>39673</v>
      </c>
      <c r="E286" s="79">
        <v>0</v>
      </c>
      <c r="F286" s="79">
        <v>369225180</v>
      </c>
      <c r="G286" s="79" t="s">
        <v>4803</v>
      </c>
      <c r="H286" s="79">
        <v>944266088</v>
      </c>
      <c r="I286" s="79" t="s">
        <v>4804</v>
      </c>
      <c r="J286" s="79">
        <v>947036273</v>
      </c>
      <c r="K286" s="79" t="s">
        <v>4805</v>
      </c>
      <c r="L286" s="79"/>
      <c r="M286" s="79"/>
      <c r="N286" s="79"/>
    </row>
    <row r="287" spans="1:14" s="78" customFormat="1" ht="18">
      <c r="A287" s="74">
        <v>15</v>
      </c>
      <c r="B287" s="74" t="s">
        <v>1436</v>
      </c>
      <c r="C287" s="74" t="s">
        <v>4806</v>
      </c>
      <c r="D287" s="79">
        <v>39654</v>
      </c>
      <c r="E287" s="79">
        <v>0</v>
      </c>
      <c r="F287" s="79">
        <v>346554281</v>
      </c>
      <c r="G287" s="79" t="s">
        <v>4807</v>
      </c>
      <c r="H287" s="79">
        <v>948760187</v>
      </c>
      <c r="I287" s="79" t="s">
        <v>4808</v>
      </c>
      <c r="J287" s="79">
        <v>378289770</v>
      </c>
      <c r="K287" s="79" t="s">
        <v>4809</v>
      </c>
      <c r="L287" s="79"/>
      <c r="M287" s="79"/>
      <c r="N287" s="79"/>
    </row>
    <row r="288" spans="1:14" s="78" customFormat="1" ht="18">
      <c r="A288" s="74">
        <v>16</v>
      </c>
      <c r="B288" s="74" t="s">
        <v>1489</v>
      </c>
      <c r="C288" s="74" t="s">
        <v>4810</v>
      </c>
      <c r="D288" s="79">
        <v>39679</v>
      </c>
      <c r="E288" s="79">
        <v>0</v>
      </c>
      <c r="F288" s="79">
        <v>976273835</v>
      </c>
      <c r="G288" s="79" t="s">
        <v>4811</v>
      </c>
      <c r="H288" s="79">
        <v>973563346</v>
      </c>
      <c r="I288" s="79" t="s">
        <v>4812</v>
      </c>
      <c r="J288" s="79">
        <v>853608958</v>
      </c>
      <c r="K288" s="79" t="s">
        <v>4813</v>
      </c>
      <c r="L288" s="79"/>
      <c r="M288" s="79"/>
      <c r="N288" s="79"/>
    </row>
    <row r="289" spans="1:14" s="78" customFormat="1" ht="18">
      <c r="A289" s="74">
        <v>17</v>
      </c>
      <c r="B289" s="74" t="s">
        <v>1470</v>
      </c>
      <c r="C289" s="74" t="s">
        <v>4814</v>
      </c>
      <c r="D289" s="79">
        <v>39796</v>
      </c>
      <c r="E289" s="79">
        <v>0</v>
      </c>
      <c r="F289" s="79">
        <v>387107028</v>
      </c>
      <c r="G289" s="79" t="s">
        <v>4815</v>
      </c>
      <c r="H289" s="79">
        <v>982926323</v>
      </c>
      <c r="I289" s="79" t="s">
        <v>4816</v>
      </c>
      <c r="J289" s="79">
        <v>966968064</v>
      </c>
      <c r="K289" s="79" t="s">
        <v>4817</v>
      </c>
      <c r="L289" s="79"/>
      <c r="M289" s="79"/>
      <c r="N289" s="79"/>
    </row>
    <row r="290" spans="1:14" s="78" customFormat="1" ht="18">
      <c r="A290" s="74">
        <v>18</v>
      </c>
      <c r="B290" s="74" t="s">
        <v>1442</v>
      </c>
      <c r="C290" s="74" t="s">
        <v>4818</v>
      </c>
      <c r="D290" s="79">
        <v>39735</v>
      </c>
      <c r="E290" s="79">
        <v>0</v>
      </c>
      <c r="F290" s="79">
        <v>949717972</v>
      </c>
      <c r="G290" s="79" t="s">
        <v>4819</v>
      </c>
      <c r="H290" s="79">
        <v>913321933</v>
      </c>
      <c r="I290" s="79" t="s">
        <v>4820</v>
      </c>
      <c r="J290" s="79">
        <v>904235569</v>
      </c>
      <c r="K290" s="79" t="s">
        <v>4821</v>
      </c>
      <c r="L290" s="79"/>
      <c r="M290" s="79"/>
      <c r="N290" s="79"/>
    </row>
    <row r="291" spans="1:14" s="78" customFormat="1" ht="18">
      <c r="A291" s="74">
        <v>19</v>
      </c>
      <c r="B291" s="74" t="s">
        <v>1479</v>
      </c>
      <c r="C291" s="74" t="s">
        <v>4822</v>
      </c>
      <c r="D291" s="79">
        <v>39784</v>
      </c>
      <c r="E291" s="79">
        <v>0</v>
      </c>
      <c r="F291" s="79">
        <v>377204525</v>
      </c>
      <c r="G291" s="79" t="s">
        <v>4823</v>
      </c>
      <c r="H291" s="79">
        <v>362555582</v>
      </c>
      <c r="I291" s="79" t="s">
        <v>4824</v>
      </c>
      <c r="J291" s="79">
        <v>987471927</v>
      </c>
      <c r="K291" s="79" t="s">
        <v>4825</v>
      </c>
      <c r="L291" s="79"/>
      <c r="M291" s="79"/>
      <c r="N291" s="79"/>
    </row>
    <row r="292" spans="1:14" s="78" customFormat="1" ht="18">
      <c r="A292" s="74">
        <v>20</v>
      </c>
      <c r="B292" s="74" t="s">
        <v>1424</v>
      </c>
      <c r="C292" s="74" t="s">
        <v>4826</v>
      </c>
      <c r="D292" s="79">
        <v>39622</v>
      </c>
      <c r="E292" s="79">
        <v>0</v>
      </c>
      <c r="F292" s="79">
        <v>782185621</v>
      </c>
      <c r="G292" s="79" t="s">
        <v>4827</v>
      </c>
      <c r="H292" s="79">
        <v>904427073</v>
      </c>
      <c r="I292" s="79" t="s">
        <v>4828</v>
      </c>
      <c r="J292" s="79">
        <v>904182876</v>
      </c>
      <c r="K292" s="79" t="s">
        <v>4829</v>
      </c>
      <c r="L292" s="79"/>
      <c r="M292" s="79"/>
      <c r="N292" s="79"/>
    </row>
    <row r="293" spans="1:14" s="78" customFormat="1" ht="18">
      <c r="A293" s="74">
        <v>21</v>
      </c>
      <c r="B293" s="74" t="s">
        <v>4830</v>
      </c>
      <c r="C293" s="74" t="s">
        <v>4831</v>
      </c>
      <c r="D293" s="79" t="e">
        <v>#N/A</v>
      </c>
      <c r="E293" s="79" t="e">
        <v>#N/A</v>
      </c>
      <c r="F293" s="79" t="e">
        <v>#N/A</v>
      </c>
      <c r="G293" s="79" t="e">
        <v>#N/A</v>
      </c>
      <c r="H293" s="79" t="e">
        <v>#N/A</v>
      </c>
      <c r="I293" s="79" t="e">
        <v>#N/A</v>
      </c>
      <c r="J293" s="79" t="e">
        <v>#N/A</v>
      </c>
      <c r="K293" s="79" t="e">
        <v>#N/A</v>
      </c>
      <c r="L293" s="79"/>
      <c r="M293" s="79"/>
      <c r="N293" s="79"/>
    </row>
    <row r="294" spans="1:14" s="78" customFormat="1" ht="18">
      <c r="A294" s="74">
        <v>22</v>
      </c>
      <c r="B294" s="74" t="s">
        <v>1485</v>
      </c>
      <c r="C294" s="74" t="s">
        <v>4832</v>
      </c>
      <c r="D294" s="79">
        <v>39806</v>
      </c>
      <c r="E294" s="79">
        <v>0</v>
      </c>
      <c r="F294" s="79">
        <v>776307872</v>
      </c>
      <c r="G294" s="79" t="s">
        <v>4833</v>
      </c>
      <c r="H294" s="79">
        <v>982332258</v>
      </c>
      <c r="I294" s="79" t="s">
        <v>4834</v>
      </c>
      <c r="J294" s="79">
        <v>983293334</v>
      </c>
      <c r="K294" s="79" t="s">
        <v>4835</v>
      </c>
      <c r="L294" s="79"/>
      <c r="M294" s="79"/>
      <c r="N294" s="79"/>
    </row>
    <row r="295" spans="1:14" s="78" customFormat="1" ht="18">
      <c r="A295" s="74">
        <v>23</v>
      </c>
      <c r="B295" s="74" t="s">
        <v>529</v>
      </c>
      <c r="C295" s="74" t="s">
        <v>4836</v>
      </c>
      <c r="D295" s="79">
        <v>39587</v>
      </c>
      <c r="E295" s="79">
        <v>0</v>
      </c>
      <c r="F295" s="79">
        <v>925885407</v>
      </c>
      <c r="G295" s="79" t="s">
        <v>4837</v>
      </c>
      <c r="H295" s="79">
        <v>912289997</v>
      </c>
      <c r="I295" s="79" t="s">
        <v>4838</v>
      </c>
      <c r="J295" s="79">
        <v>975996881</v>
      </c>
      <c r="K295" s="79" t="s">
        <v>4839</v>
      </c>
      <c r="L295" s="79"/>
      <c r="M295" s="79"/>
      <c r="N295" s="79"/>
    </row>
    <row r="296" spans="1:14" s="78" customFormat="1" ht="18">
      <c r="A296" s="74">
        <v>24</v>
      </c>
      <c r="B296" s="74" t="s">
        <v>1458</v>
      </c>
      <c r="C296" s="74" t="s">
        <v>4840</v>
      </c>
      <c r="D296" s="79">
        <v>39643</v>
      </c>
      <c r="E296" s="79">
        <v>0</v>
      </c>
      <c r="F296" s="79">
        <v>964594451</v>
      </c>
      <c r="G296" s="79" t="s">
        <v>4841</v>
      </c>
      <c r="H296" s="79">
        <v>974425378</v>
      </c>
      <c r="I296" s="79" t="s">
        <v>4842</v>
      </c>
      <c r="J296" s="79">
        <v>397635978</v>
      </c>
      <c r="K296" s="79" t="s">
        <v>4809</v>
      </c>
      <c r="L296" s="79"/>
      <c r="M296" s="79"/>
      <c r="N296" s="79"/>
    </row>
    <row r="297" spans="1:14" s="78" customFormat="1" ht="18">
      <c r="A297" s="74">
        <v>25</v>
      </c>
      <c r="B297" s="74" t="s">
        <v>4533</v>
      </c>
      <c r="C297" s="74" t="s">
        <v>4843</v>
      </c>
      <c r="D297" s="79">
        <v>39476</v>
      </c>
      <c r="E297" s="79">
        <v>0</v>
      </c>
      <c r="F297" s="79">
        <v>378485439</v>
      </c>
      <c r="G297" s="79" t="s">
        <v>4844</v>
      </c>
      <c r="H297" s="79">
        <v>386702010</v>
      </c>
      <c r="I297" s="79" t="s">
        <v>4845</v>
      </c>
      <c r="J297" s="79">
        <v>986746890</v>
      </c>
      <c r="K297" s="79" t="s">
        <v>4846</v>
      </c>
      <c r="L297" s="79"/>
      <c r="M297" s="79"/>
      <c r="N297" s="79"/>
    </row>
    <row r="298" spans="1:14" s="78" customFormat="1" ht="18">
      <c r="A298" s="74">
        <v>26</v>
      </c>
      <c r="B298" s="74" t="s">
        <v>70</v>
      </c>
      <c r="C298" s="74" t="s">
        <v>4847</v>
      </c>
      <c r="D298" s="79">
        <v>39494</v>
      </c>
      <c r="E298" s="79">
        <v>0</v>
      </c>
      <c r="F298" s="79">
        <v>334310208</v>
      </c>
      <c r="G298" s="79" t="s">
        <v>4848</v>
      </c>
      <c r="H298" s="79">
        <v>973223305</v>
      </c>
      <c r="I298" s="79" t="s">
        <v>4849</v>
      </c>
      <c r="J298" s="79">
        <v>989290578</v>
      </c>
      <c r="K298" s="79" t="s">
        <v>4850</v>
      </c>
      <c r="L298" s="79"/>
      <c r="M298" s="79"/>
      <c r="N298" s="79"/>
    </row>
    <row r="299" spans="1:14" s="78" customFormat="1" ht="18">
      <c r="A299" s="74">
        <v>27</v>
      </c>
      <c r="B299" s="74" t="s">
        <v>588</v>
      </c>
      <c r="C299" s="74" t="s">
        <v>4851</v>
      </c>
      <c r="D299" s="79">
        <v>39592</v>
      </c>
      <c r="E299" s="79">
        <v>0</v>
      </c>
      <c r="F299" s="79">
        <v>833240508</v>
      </c>
      <c r="G299" s="79" t="s">
        <v>4852</v>
      </c>
      <c r="H299" s="79">
        <v>915221883</v>
      </c>
      <c r="I299" s="79" t="s">
        <v>4853</v>
      </c>
      <c r="J299" s="79">
        <v>912877483</v>
      </c>
      <c r="K299" s="79" t="s">
        <v>4854</v>
      </c>
      <c r="L299" s="79"/>
      <c r="M299" s="79"/>
      <c r="N299" s="79"/>
    </row>
    <row r="300" spans="1:14" s="78" customFormat="1" ht="18">
      <c r="A300" s="74">
        <v>28</v>
      </c>
      <c r="B300" s="74" t="s">
        <v>1476</v>
      </c>
      <c r="C300" s="74" t="s">
        <v>4855</v>
      </c>
      <c r="D300" s="79">
        <v>0</v>
      </c>
      <c r="E300" s="79">
        <v>0</v>
      </c>
      <c r="F300" s="79">
        <v>0</v>
      </c>
      <c r="G300" s="79">
        <v>0</v>
      </c>
      <c r="H300" s="79">
        <v>0</v>
      </c>
      <c r="I300" s="79">
        <v>0</v>
      </c>
      <c r="J300" s="79">
        <v>0</v>
      </c>
      <c r="K300" s="79">
        <v>0</v>
      </c>
      <c r="L300" s="79"/>
      <c r="M300" s="79"/>
      <c r="N300" s="79"/>
    </row>
    <row r="301" spans="1:14" s="78" customFormat="1" ht="18">
      <c r="A301" s="74">
        <v>29</v>
      </c>
      <c r="B301" s="74" t="s">
        <v>1426</v>
      </c>
      <c r="C301" s="74" t="s">
        <v>4856</v>
      </c>
      <c r="D301" s="79">
        <v>0</v>
      </c>
      <c r="E301" s="79">
        <v>0</v>
      </c>
      <c r="F301" s="79">
        <v>0</v>
      </c>
      <c r="G301" s="79">
        <v>0</v>
      </c>
      <c r="H301" s="79">
        <v>0</v>
      </c>
      <c r="I301" s="79">
        <v>0</v>
      </c>
      <c r="J301" s="79">
        <v>0</v>
      </c>
      <c r="K301" s="79">
        <v>0</v>
      </c>
      <c r="L301" s="79"/>
      <c r="M301" s="79"/>
      <c r="N301" s="79"/>
    </row>
    <row r="302" spans="1:14" s="78" customFormat="1" ht="18">
      <c r="A302" s="74">
        <v>30</v>
      </c>
      <c r="B302" s="74" t="s">
        <v>1462</v>
      </c>
      <c r="C302" s="74" t="s">
        <v>4857</v>
      </c>
      <c r="D302" s="79">
        <v>0</v>
      </c>
      <c r="E302" s="79">
        <v>0</v>
      </c>
      <c r="F302" s="79">
        <v>0</v>
      </c>
      <c r="G302" s="79">
        <v>0</v>
      </c>
      <c r="H302" s="79">
        <v>0</v>
      </c>
      <c r="I302" s="79">
        <v>0</v>
      </c>
      <c r="J302" s="79">
        <v>0</v>
      </c>
      <c r="K302" s="79">
        <v>0</v>
      </c>
      <c r="L302" s="79"/>
      <c r="M302" s="79"/>
      <c r="N302" s="79"/>
    </row>
    <row r="303" spans="1:14" s="78" customFormat="1" ht="18">
      <c r="A303" s="74">
        <v>31</v>
      </c>
      <c r="B303" s="74" t="s">
        <v>1460</v>
      </c>
      <c r="C303" s="74" t="s">
        <v>4858</v>
      </c>
      <c r="D303" s="79">
        <v>0</v>
      </c>
      <c r="E303" s="79">
        <v>0</v>
      </c>
      <c r="F303" s="79">
        <v>0</v>
      </c>
      <c r="G303" s="79">
        <v>0</v>
      </c>
      <c r="H303" s="79">
        <v>0</v>
      </c>
      <c r="I303" s="79">
        <v>0</v>
      </c>
      <c r="J303" s="79">
        <v>0</v>
      </c>
      <c r="K303" s="79">
        <v>0</v>
      </c>
      <c r="L303" s="79"/>
      <c r="M303" s="79"/>
      <c r="N303" s="79"/>
    </row>
    <row r="304" spans="1:14" s="78" customFormat="1" ht="18">
      <c r="A304" s="74">
        <v>32</v>
      </c>
      <c r="B304" s="74" t="s">
        <v>1483</v>
      </c>
      <c r="C304" s="74" t="s">
        <v>4859</v>
      </c>
      <c r="D304" s="79">
        <v>0</v>
      </c>
      <c r="E304" s="79">
        <v>0</v>
      </c>
      <c r="F304" s="79">
        <v>0</v>
      </c>
      <c r="G304" s="79">
        <v>0</v>
      </c>
      <c r="H304" s="79">
        <v>0</v>
      </c>
      <c r="I304" s="79">
        <v>0</v>
      </c>
      <c r="J304" s="79">
        <v>0</v>
      </c>
      <c r="K304" s="79">
        <v>0</v>
      </c>
      <c r="L304" s="79"/>
      <c r="M304" s="79"/>
      <c r="N304" s="79"/>
    </row>
    <row r="305" spans="1:14" s="78" customFormat="1" ht="18">
      <c r="A305" s="74">
        <v>33</v>
      </c>
      <c r="B305" s="74" t="s">
        <v>170</v>
      </c>
      <c r="C305" s="74" t="s">
        <v>4860</v>
      </c>
      <c r="D305" s="79">
        <v>0</v>
      </c>
      <c r="E305" s="79">
        <v>0</v>
      </c>
      <c r="F305" s="79">
        <v>0</v>
      </c>
      <c r="G305" s="79">
        <v>0</v>
      </c>
      <c r="H305" s="79">
        <v>0</v>
      </c>
      <c r="I305" s="79">
        <v>0</v>
      </c>
      <c r="J305" s="79">
        <v>0</v>
      </c>
      <c r="K305" s="79">
        <v>0</v>
      </c>
      <c r="L305" s="79"/>
      <c r="M305" s="79"/>
      <c r="N305" s="79"/>
    </row>
    <row r="306" spans="1:14" s="78" customFormat="1" ht="18">
      <c r="A306" s="74">
        <v>34</v>
      </c>
      <c r="B306" s="74" t="s">
        <v>1468</v>
      </c>
      <c r="C306" s="74" t="s">
        <v>4861</v>
      </c>
      <c r="D306" s="79">
        <v>0</v>
      </c>
      <c r="E306" s="79">
        <v>0</v>
      </c>
      <c r="F306" s="79">
        <v>0</v>
      </c>
      <c r="G306" s="79">
        <v>0</v>
      </c>
      <c r="H306" s="79">
        <v>0</v>
      </c>
      <c r="I306" s="79">
        <v>0</v>
      </c>
      <c r="J306" s="79">
        <v>0</v>
      </c>
      <c r="K306" s="79">
        <v>0</v>
      </c>
      <c r="L306" s="79"/>
      <c r="M306" s="79"/>
      <c r="N306" s="79"/>
    </row>
    <row r="307" spans="1:14" s="78" customFormat="1" ht="18">
      <c r="A307" s="74">
        <v>35</v>
      </c>
      <c r="B307" s="74" t="s">
        <v>1428</v>
      </c>
      <c r="C307" s="74" t="s">
        <v>4862</v>
      </c>
      <c r="D307" s="79">
        <v>0</v>
      </c>
      <c r="E307" s="79">
        <v>0</v>
      </c>
      <c r="F307" s="79">
        <v>0</v>
      </c>
      <c r="G307" s="79">
        <v>0</v>
      </c>
      <c r="H307" s="79">
        <v>0</v>
      </c>
      <c r="I307" s="79">
        <v>0</v>
      </c>
      <c r="J307" s="79">
        <v>0</v>
      </c>
      <c r="K307" s="79">
        <v>0</v>
      </c>
      <c r="L307" s="79"/>
      <c r="M307" s="79"/>
      <c r="N307" s="79"/>
    </row>
    <row r="308" spans="1:14" s="78" customFormat="1" ht="18">
      <c r="A308" s="74">
        <v>36</v>
      </c>
      <c r="B308" s="74" t="s">
        <v>1452</v>
      </c>
      <c r="C308" s="74" t="s">
        <v>4863</v>
      </c>
      <c r="D308" s="79">
        <v>0</v>
      </c>
      <c r="E308" s="79">
        <v>0</v>
      </c>
      <c r="F308" s="79">
        <v>0</v>
      </c>
      <c r="G308" s="79">
        <v>0</v>
      </c>
      <c r="H308" s="79">
        <v>0</v>
      </c>
      <c r="I308" s="79">
        <v>0</v>
      </c>
      <c r="J308" s="79">
        <v>0</v>
      </c>
      <c r="K308" s="79">
        <v>0</v>
      </c>
      <c r="L308" s="79"/>
      <c r="M308" s="79"/>
      <c r="N308" s="79"/>
    </row>
    <row r="309" spans="1:14" s="78" customFormat="1" ht="18">
      <c r="A309" s="74">
        <v>37</v>
      </c>
      <c r="B309" s="74" t="s">
        <v>1450</v>
      </c>
      <c r="C309" s="74" t="s">
        <v>4864</v>
      </c>
      <c r="D309" s="79">
        <v>0</v>
      </c>
      <c r="E309" s="79">
        <v>0</v>
      </c>
      <c r="F309" s="79">
        <v>0</v>
      </c>
      <c r="G309" s="79">
        <v>0</v>
      </c>
      <c r="H309" s="79">
        <v>0</v>
      </c>
      <c r="I309" s="79">
        <v>0</v>
      </c>
      <c r="J309" s="79">
        <v>0</v>
      </c>
      <c r="K309" s="79">
        <v>0</v>
      </c>
      <c r="L309" s="79"/>
      <c r="M309" s="79"/>
      <c r="N309" s="79"/>
    </row>
    <row r="310" spans="1:14" s="78" customFormat="1" ht="18">
      <c r="A310" s="74">
        <v>38</v>
      </c>
      <c r="B310" s="74" t="s">
        <v>1438</v>
      </c>
      <c r="C310" s="74" t="s">
        <v>4865</v>
      </c>
      <c r="D310" s="79">
        <v>0</v>
      </c>
      <c r="E310" s="79">
        <v>0</v>
      </c>
      <c r="F310" s="79">
        <v>0</v>
      </c>
      <c r="G310" s="79">
        <v>0</v>
      </c>
      <c r="H310" s="79">
        <v>0</v>
      </c>
      <c r="I310" s="79">
        <v>0</v>
      </c>
      <c r="J310" s="79">
        <v>0</v>
      </c>
      <c r="K310" s="79">
        <v>0</v>
      </c>
      <c r="L310" s="79"/>
      <c r="M310" s="79"/>
      <c r="N310" s="79"/>
    </row>
    <row r="311" spans="1:14" s="78" customFormat="1" ht="18">
      <c r="A311" s="74">
        <v>39</v>
      </c>
      <c r="B311" s="74" t="s">
        <v>1456</v>
      </c>
      <c r="C311" s="74" t="s">
        <v>4866</v>
      </c>
      <c r="D311" s="79">
        <v>0</v>
      </c>
      <c r="E311" s="79">
        <v>0</v>
      </c>
      <c r="F311" s="79">
        <v>0</v>
      </c>
      <c r="G311" s="79">
        <v>0</v>
      </c>
      <c r="H311" s="79">
        <v>0</v>
      </c>
      <c r="I311" s="79">
        <v>0</v>
      </c>
      <c r="J311" s="79">
        <v>0</v>
      </c>
      <c r="K311" s="79">
        <v>0</v>
      </c>
      <c r="L311" s="79"/>
      <c r="M311" s="79"/>
      <c r="N311" s="79"/>
    </row>
    <row r="312" spans="1:14" s="78" customFormat="1" ht="18">
      <c r="A312" s="74">
        <v>40</v>
      </c>
      <c r="B312" s="74" t="s">
        <v>1432</v>
      </c>
      <c r="C312" s="74" t="s">
        <v>4867</v>
      </c>
      <c r="D312" s="79">
        <v>0</v>
      </c>
      <c r="E312" s="79">
        <v>0</v>
      </c>
      <c r="F312" s="79">
        <v>0</v>
      </c>
      <c r="G312" s="79">
        <v>0</v>
      </c>
      <c r="H312" s="79">
        <v>0</v>
      </c>
      <c r="I312" s="79">
        <v>0</v>
      </c>
      <c r="J312" s="79">
        <v>0</v>
      </c>
      <c r="K312" s="79">
        <v>0</v>
      </c>
      <c r="L312" s="79"/>
      <c r="M312" s="79"/>
      <c r="N312" s="79"/>
    </row>
    <row r="313" spans="1:14" s="78" customFormat="1" ht="18">
      <c r="A313" s="74">
        <v>41</v>
      </c>
      <c r="B313" s="74" t="s">
        <v>1444</v>
      </c>
      <c r="C313" s="74" t="s">
        <v>4868</v>
      </c>
      <c r="D313" s="79">
        <v>0</v>
      </c>
      <c r="E313" s="79">
        <v>0</v>
      </c>
      <c r="F313" s="79">
        <v>0</v>
      </c>
      <c r="G313" s="79">
        <v>0</v>
      </c>
      <c r="H313" s="79">
        <v>0</v>
      </c>
      <c r="I313" s="79">
        <v>0</v>
      </c>
      <c r="J313" s="79">
        <v>0</v>
      </c>
      <c r="K313" s="79">
        <v>0</v>
      </c>
      <c r="L313" s="79"/>
      <c r="M313" s="79"/>
      <c r="N313" s="79"/>
    </row>
    <row r="314" spans="1:14" s="78" customFormat="1" ht="18">
      <c r="A314" s="74">
        <v>42</v>
      </c>
      <c r="B314" s="74" t="s">
        <v>329</v>
      </c>
      <c r="C314" s="74" t="s">
        <v>4869</v>
      </c>
      <c r="D314" s="79">
        <v>0</v>
      </c>
      <c r="E314" s="79">
        <v>0</v>
      </c>
      <c r="F314" s="79">
        <v>0</v>
      </c>
      <c r="G314" s="79">
        <v>0</v>
      </c>
      <c r="H314" s="79">
        <v>0</v>
      </c>
      <c r="I314" s="79">
        <v>0</v>
      </c>
      <c r="J314" s="79">
        <v>0</v>
      </c>
      <c r="K314" s="79">
        <v>0</v>
      </c>
      <c r="L314" s="79"/>
      <c r="M314" s="79"/>
      <c r="N314" s="79"/>
    </row>
    <row r="315" spans="1:14" s="78" customFormat="1" ht="18">
      <c r="A315" s="74">
        <v>43</v>
      </c>
      <c r="B315" s="74" t="s">
        <v>1448</v>
      </c>
      <c r="C315" s="74" t="s">
        <v>4870</v>
      </c>
      <c r="D315" s="79">
        <v>0</v>
      </c>
      <c r="E315" s="79">
        <v>0</v>
      </c>
      <c r="F315" s="79">
        <v>0</v>
      </c>
      <c r="G315" s="79">
        <v>0</v>
      </c>
      <c r="H315" s="79">
        <v>0</v>
      </c>
      <c r="I315" s="79">
        <v>0</v>
      </c>
      <c r="J315" s="79">
        <v>0</v>
      </c>
      <c r="K315" s="79">
        <v>0</v>
      </c>
      <c r="L315" s="79"/>
      <c r="M315" s="79"/>
      <c r="N315" s="79"/>
    </row>
    <row r="316" spans="1:14" s="78" customFormat="1" ht="18">
      <c r="A316" s="74">
        <v>44</v>
      </c>
      <c r="B316" s="74" t="s">
        <v>1481</v>
      </c>
      <c r="C316" s="74" t="s">
        <v>4871</v>
      </c>
      <c r="D316" s="79">
        <v>0</v>
      </c>
      <c r="E316" s="79">
        <v>0</v>
      </c>
      <c r="F316" s="79">
        <v>0</v>
      </c>
      <c r="G316" s="79">
        <v>0</v>
      </c>
      <c r="H316" s="79">
        <v>0</v>
      </c>
      <c r="I316" s="79">
        <v>0</v>
      </c>
      <c r="J316" s="79">
        <v>0</v>
      </c>
      <c r="K316" s="79">
        <v>0</v>
      </c>
      <c r="L316" s="79"/>
      <c r="M316" s="79"/>
      <c r="N316" s="79"/>
    </row>
    <row r="317" spans="1:14" s="78" customFormat="1" ht="18">
      <c r="A317" s="74">
        <v>3</v>
      </c>
      <c r="B317" s="74" t="s">
        <v>4872</v>
      </c>
      <c r="C317" s="74" t="s">
        <v>4873</v>
      </c>
      <c r="D317" s="79">
        <v>0</v>
      </c>
      <c r="E317" s="79">
        <v>0</v>
      </c>
      <c r="F317" s="79">
        <v>0</v>
      </c>
      <c r="G317" s="79">
        <v>0</v>
      </c>
      <c r="H317" s="79">
        <v>0</v>
      </c>
      <c r="I317" s="79">
        <v>0</v>
      </c>
      <c r="J317" s="79">
        <v>0</v>
      </c>
      <c r="K317" s="79">
        <v>0</v>
      </c>
      <c r="L317" s="79"/>
      <c r="M317" s="79"/>
      <c r="N317" s="79"/>
    </row>
    <row r="318" spans="1:14" s="78" customFormat="1" ht="18">
      <c r="A318" s="74">
        <v>4</v>
      </c>
      <c r="B318" s="74" t="s">
        <v>1553</v>
      </c>
      <c r="C318" s="74" t="s">
        <v>4874</v>
      </c>
      <c r="D318" s="79">
        <v>0</v>
      </c>
      <c r="E318" s="79">
        <v>0</v>
      </c>
      <c r="F318" s="79">
        <v>0</v>
      </c>
      <c r="G318" s="79">
        <v>0</v>
      </c>
      <c r="H318" s="79">
        <v>0</v>
      </c>
      <c r="I318" s="79">
        <v>0</v>
      </c>
      <c r="J318" s="79">
        <v>0</v>
      </c>
      <c r="K318" s="79">
        <v>0</v>
      </c>
      <c r="L318" s="79"/>
      <c r="M318" s="79"/>
      <c r="N318" s="79"/>
    </row>
    <row r="319" spans="1:14" s="78" customFormat="1" ht="18">
      <c r="A319" s="74">
        <v>1</v>
      </c>
      <c r="B319" s="74" t="s">
        <v>1555</v>
      </c>
      <c r="C319" s="74" t="s">
        <v>4875</v>
      </c>
      <c r="D319" s="79" t="s">
        <v>4876</v>
      </c>
      <c r="E319" s="79" t="s">
        <v>3184</v>
      </c>
      <c r="F319" s="79" t="s">
        <v>4877</v>
      </c>
      <c r="G319" s="79" t="s">
        <v>4878</v>
      </c>
      <c r="H319" s="79" t="s">
        <v>4877</v>
      </c>
      <c r="I319" s="79" t="s">
        <v>4879</v>
      </c>
      <c r="J319" s="79" t="s">
        <v>4877</v>
      </c>
      <c r="K319" s="79" t="s">
        <v>4880</v>
      </c>
      <c r="L319" s="79"/>
      <c r="M319" s="79"/>
      <c r="N319" s="79"/>
    </row>
    <row r="320" spans="1:14" s="78" customFormat="1" ht="18">
      <c r="A320" s="74">
        <v>2</v>
      </c>
      <c r="B320" s="74" t="s">
        <v>438</v>
      </c>
      <c r="C320" s="74" t="s">
        <v>4881</v>
      </c>
      <c r="D320" s="79" t="s">
        <v>4882</v>
      </c>
      <c r="E320" s="79" t="s">
        <v>3184</v>
      </c>
      <c r="F320" s="79" t="s">
        <v>4883</v>
      </c>
      <c r="G320" s="79" t="s">
        <v>4884</v>
      </c>
      <c r="H320" s="79" t="s">
        <v>4885</v>
      </c>
      <c r="I320" s="79" t="s">
        <v>4886</v>
      </c>
      <c r="J320" s="79" t="s">
        <v>4883</v>
      </c>
      <c r="K320" s="79" t="s">
        <v>3909</v>
      </c>
      <c r="L320" s="79"/>
      <c r="M320" s="79"/>
      <c r="N320" s="79"/>
    </row>
    <row r="321" spans="1:14" s="78" customFormat="1" ht="18">
      <c r="A321" s="74">
        <v>3</v>
      </c>
      <c r="B321" s="74" t="s">
        <v>1572</v>
      </c>
      <c r="C321" s="74" t="s">
        <v>4887</v>
      </c>
      <c r="D321" s="79" t="s">
        <v>4888</v>
      </c>
      <c r="E321" s="79" t="s">
        <v>3184</v>
      </c>
      <c r="F321" s="79" t="s">
        <v>4889</v>
      </c>
      <c r="G321" s="79" t="s">
        <v>4890</v>
      </c>
      <c r="H321" s="79" t="s">
        <v>4889</v>
      </c>
      <c r="I321" s="79" t="s">
        <v>4891</v>
      </c>
      <c r="J321" s="79" t="s">
        <v>4892</v>
      </c>
      <c r="K321" s="79" t="s">
        <v>3610</v>
      </c>
      <c r="L321" s="79"/>
      <c r="M321" s="79"/>
      <c r="N321" s="79"/>
    </row>
    <row r="322" spans="1:14" s="78" customFormat="1" ht="18">
      <c r="A322" s="74">
        <v>4</v>
      </c>
      <c r="B322" s="74" t="s">
        <v>1562</v>
      </c>
      <c r="C322" s="74" t="s">
        <v>4893</v>
      </c>
      <c r="D322" s="79" t="s">
        <v>4894</v>
      </c>
      <c r="E322" s="79" t="s">
        <v>3213</v>
      </c>
      <c r="F322" s="79" t="s">
        <v>4895</v>
      </c>
      <c r="G322" s="79" t="s">
        <v>4429</v>
      </c>
      <c r="H322" s="79" t="s">
        <v>4896</v>
      </c>
      <c r="I322" s="79" t="s">
        <v>4897</v>
      </c>
      <c r="J322" s="79" t="s">
        <v>4895</v>
      </c>
      <c r="K322" s="79" t="s">
        <v>4508</v>
      </c>
      <c r="L322" s="79"/>
      <c r="M322" s="79"/>
      <c r="N322" s="79"/>
    </row>
    <row r="323" spans="1:14" s="78" customFormat="1" ht="18">
      <c r="A323" s="74">
        <v>5</v>
      </c>
      <c r="B323" s="74" t="s">
        <v>1574</v>
      </c>
      <c r="C323" s="74" t="s">
        <v>4898</v>
      </c>
      <c r="D323" s="79" t="s">
        <v>4522</v>
      </c>
      <c r="E323" s="79" t="s">
        <v>3184</v>
      </c>
      <c r="F323" s="79" t="s">
        <v>4899</v>
      </c>
      <c r="G323" s="79" t="s">
        <v>4900</v>
      </c>
      <c r="H323" s="79" t="s">
        <v>4901</v>
      </c>
      <c r="I323" s="79" t="s">
        <v>4902</v>
      </c>
      <c r="J323" s="79" t="s">
        <v>4899</v>
      </c>
      <c r="K323" s="79" t="s">
        <v>4903</v>
      </c>
      <c r="L323" s="79"/>
      <c r="M323" s="79"/>
      <c r="N323" s="79"/>
    </row>
    <row r="324" spans="1:14" s="78" customFormat="1" ht="18">
      <c r="A324" s="74">
        <v>6</v>
      </c>
      <c r="B324" s="74" t="s">
        <v>612</v>
      </c>
      <c r="C324" s="74" t="s">
        <v>4904</v>
      </c>
      <c r="D324" s="79" t="s">
        <v>3829</v>
      </c>
      <c r="E324" s="79" t="s">
        <v>3213</v>
      </c>
      <c r="F324" s="79" t="s">
        <v>4905</v>
      </c>
      <c r="G324" s="79" t="s">
        <v>4906</v>
      </c>
      <c r="H324" s="79" t="s">
        <v>4907</v>
      </c>
      <c r="I324" s="79" t="s">
        <v>4908</v>
      </c>
      <c r="J324" s="79" t="s">
        <v>4909</v>
      </c>
      <c r="K324" s="79" t="s">
        <v>4467</v>
      </c>
      <c r="L324" s="79"/>
      <c r="M324" s="79"/>
      <c r="N324" s="79"/>
    </row>
    <row r="325" spans="1:14" s="78" customFormat="1" ht="18">
      <c r="A325" s="74">
        <v>7</v>
      </c>
      <c r="B325" s="74" t="s">
        <v>1576</v>
      </c>
      <c r="C325" s="74" t="s">
        <v>4910</v>
      </c>
      <c r="D325" s="79" t="s">
        <v>4911</v>
      </c>
      <c r="E325" s="79" t="s">
        <v>3184</v>
      </c>
      <c r="F325" s="79" t="s">
        <v>4912</v>
      </c>
      <c r="G325" s="79" t="s">
        <v>4913</v>
      </c>
      <c r="H325" s="79" t="s">
        <v>4912</v>
      </c>
      <c r="I325" s="79" t="s">
        <v>4914</v>
      </c>
      <c r="J325" s="79" t="s">
        <v>4915</v>
      </c>
      <c r="K325" s="79" t="s">
        <v>4916</v>
      </c>
      <c r="L325" s="79"/>
      <c r="M325" s="79"/>
      <c r="N325" s="79"/>
    </row>
    <row r="326" spans="1:14" s="78" customFormat="1" ht="18">
      <c r="A326" s="74">
        <v>8</v>
      </c>
      <c r="B326" s="74" t="s">
        <v>1565</v>
      </c>
      <c r="C326" s="74" t="s">
        <v>4917</v>
      </c>
      <c r="D326" s="79" t="s">
        <v>4918</v>
      </c>
      <c r="E326" s="79" t="s">
        <v>3213</v>
      </c>
      <c r="F326" s="79" t="s">
        <v>4919</v>
      </c>
      <c r="G326" s="79" t="s">
        <v>4920</v>
      </c>
      <c r="H326" s="79" t="s">
        <v>4921</v>
      </c>
      <c r="I326" s="79" t="s">
        <v>4922</v>
      </c>
      <c r="J326" s="79" t="s">
        <v>4919</v>
      </c>
      <c r="K326" s="79" t="s">
        <v>3231</v>
      </c>
      <c r="L326" s="79"/>
      <c r="M326" s="79"/>
      <c r="N326" s="79"/>
    </row>
    <row r="327" spans="1:14" s="78" customFormat="1" ht="18">
      <c r="A327" s="74">
        <v>2</v>
      </c>
      <c r="B327" s="74" t="s">
        <v>416</v>
      </c>
      <c r="C327" s="74" t="s">
        <v>4923</v>
      </c>
      <c r="D327" s="79" t="s">
        <v>4154</v>
      </c>
      <c r="E327" s="79" t="s">
        <v>3184</v>
      </c>
      <c r="F327" s="79" t="s">
        <v>4924</v>
      </c>
      <c r="G327" s="79" t="s">
        <v>4925</v>
      </c>
      <c r="H327" s="79" t="s">
        <v>4924</v>
      </c>
      <c r="I327" s="79" t="s">
        <v>3361</v>
      </c>
      <c r="J327" s="79" t="s">
        <v>4924</v>
      </c>
      <c r="K327" s="79" t="s">
        <v>3610</v>
      </c>
      <c r="L327" s="79"/>
      <c r="M327" s="79"/>
      <c r="N327" s="79"/>
    </row>
    <row r="328" spans="1:14" s="78" customFormat="1" ht="18">
      <c r="A328" s="74">
        <v>3</v>
      </c>
      <c r="B328" s="74" t="s">
        <v>944</v>
      </c>
      <c r="C328" s="74" t="s">
        <v>4926</v>
      </c>
      <c r="D328" s="79" t="s">
        <v>4927</v>
      </c>
      <c r="E328" s="79" t="s">
        <v>3184</v>
      </c>
      <c r="F328" s="79" t="s">
        <v>4928</v>
      </c>
      <c r="G328" s="79" t="s">
        <v>4929</v>
      </c>
      <c r="H328" s="79" t="s">
        <v>4928</v>
      </c>
      <c r="I328" s="79" t="s">
        <v>4930</v>
      </c>
      <c r="J328" s="79" t="s">
        <v>4931</v>
      </c>
      <c r="K328" s="79" t="s">
        <v>4932</v>
      </c>
      <c r="L328" s="79"/>
      <c r="M328" s="79"/>
      <c r="N328" s="79"/>
    </row>
    <row r="329" spans="1:14" s="78" customFormat="1" ht="18">
      <c r="A329" s="74">
        <v>1</v>
      </c>
      <c r="B329" s="74" t="s">
        <v>4933</v>
      </c>
      <c r="C329" s="74" t="s">
        <v>4934</v>
      </c>
      <c r="D329" s="79" t="s">
        <v>4935</v>
      </c>
      <c r="E329" s="79" t="s">
        <v>3213</v>
      </c>
      <c r="F329" s="79" t="s">
        <v>4936</v>
      </c>
      <c r="G329" s="79" t="s">
        <v>4937</v>
      </c>
      <c r="H329" s="79" t="s">
        <v>4936</v>
      </c>
      <c r="I329" s="79" t="s">
        <v>4938</v>
      </c>
      <c r="J329" s="79">
        <v>0</v>
      </c>
      <c r="K329" s="79" t="s">
        <v>3456</v>
      </c>
      <c r="L329" s="79"/>
      <c r="M329" s="79"/>
      <c r="N329" s="79"/>
    </row>
    <row r="330" spans="1:14" s="78" customFormat="1" ht="18">
      <c r="A330" s="74">
        <v>2</v>
      </c>
      <c r="B330" s="74" t="s">
        <v>321</v>
      </c>
      <c r="C330" s="74" t="s">
        <v>4939</v>
      </c>
      <c r="D330" s="79" t="s">
        <v>4940</v>
      </c>
      <c r="E330" s="79" t="s">
        <v>3184</v>
      </c>
      <c r="F330" s="79" t="s">
        <v>4941</v>
      </c>
      <c r="G330" s="79" t="s">
        <v>4942</v>
      </c>
      <c r="H330" s="79" t="s">
        <v>4941</v>
      </c>
      <c r="I330" s="79" t="s">
        <v>4943</v>
      </c>
      <c r="J330" s="79" t="s">
        <v>4944</v>
      </c>
      <c r="K330" s="79" t="s">
        <v>3272</v>
      </c>
      <c r="L330" s="79"/>
      <c r="M330" s="79"/>
      <c r="N330" s="79"/>
    </row>
    <row r="331" spans="1:14" s="78" customFormat="1" ht="18">
      <c r="A331" s="74">
        <v>3</v>
      </c>
      <c r="B331" s="74" t="s">
        <v>990</v>
      </c>
      <c r="C331" s="74" t="s">
        <v>4945</v>
      </c>
      <c r="D331" s="79" t="s">
        <v>4946</v>
      </c>
      <c r="E331" s="79" t="s">
        <v>3184</v>
      </c>
      <c r="F331" s="79" t="s">
        <v>4947</v>
      </c>
      <c r="G331" s="79" t="s">
        <v>270</v>
      </c>
      <c r="H331" s="79" t="s">
        <v>4948</v>
      </c>
      <c r="I331" s="79" t="s">
        <v>4313</v>
      </c>
      <c r="J331" s="79" t="s">
        <v>4949</v>
      </c>
      <c r="K331" s="79" t="s">
        <v>3381</v>
      </c>
      <c r="L331" s="79"/>
      <c r="M331" s="79"/>
      <c r="N331" s="79"/>
    </row>
    <row r="332" spans="1:14" s="78" customFormat="1" ht="18">
      <c r="A332" s="74">
        <v>4</v>
      </c>
      <c r="B332" s="74" t="s">
        <v>996</v>
      </c>
      <c r="C332" s="74" t="s">
        <v>4950</v>
      </c>
      <c r="D332" s="79" t="s">
        <v>4951</v>
      </c>
      <c r="E332" s="79" t="s">
        <v>3184</v>
      </c>
      <c r="F332" s="79" t="s">
        <v>4952</v>
      </c>
      <c r="G332" s="79" t="s">
        <v>4953</v>
      </c>
      <c r="H332" s="79">
        <v>0</v>
      </c>
      <c r="I332" s="79" t="s">
        <v>4954</v>
      </c>
      <c r="J332" s="79">
        <v>0</v>
      </c>
      <c r="K332" s="79" t="s">
        <v>3618</v>
      </c>
      <c r="L332" s="79"/>
      <c r="M332" s="79"/>
      <c r="N332" s="79"/>
    </row>
    <row r="333" spans="1:14" s="78" customFormat="1" ht="18">
      <c r="A333" s="74">
        <v>5</v>
      </c>
      <c r="B333" s="74" t="s">
        <v>955</v>
      </c>
      <c r="C333" s="74" t="s">
        <v>4955</v>
      </c>
      <c r="D333" s="79" t="s">
        <v>4581</v>
      </c>
      <c r="E333" s="79" t="s">
        <v>3213</v>
      </c>
      <c r="F333" s="79" t="s">
        <v>4956</v>
      </c>
      <c r="G333" s="79" t="s">
        <v>4957</v>
      </c>
      <c r="H333" s="79" t="s">
        <v>4958</v>
      </c>
      <c r="I333" s="79" t="s">
        <v>4959</v>
      </c>
      <c r="J333" s="79" t="s">
        <v>4956</v>
      </c>
      <c r="K333" s="79" t="s">
        <v>3231</v>
      </c>
      <c r="L333" s="79"/>
      <c r="M333" s="79"/>
      <c r="N333" s="79"/>
    </row>
    <row r="334" spans="1:14" s="78" customFormat="1" ht="18">
      <c r="A334" s="74">
        <v>6</v>
      </c>
      <c r="B334" s="74" t="s">
        <v>965</v>
      </c>
      <c r="C334" s="74" t="s">
        <v>4960</v>
      </c>
      <c r="D334" s="79" t="s">
        <v>4961</v>
      </c>
      <c r="E334" s="79" t="s">
        <v>3213</v>
      </c>
      <c r="F334" s="79" t="s">
        <v>4962</v>
      </c>
      <c r="G334" s="79" t="s">
        <v>4963</v>
      </c>
      <c r="H334" s="79" t="s">
        <v>4964</v>
      </c>
      <c r="I334" s="79" t="s">
        <v>4965</v>
      </c>
      <c r="J334" s="79" t="s">
        <v>4962</v>
      </c>
      <c r="K334" s="79" t="s">
        <v>4966</v>
      </c>
      <c r="L334" s="79"/>
      <c r="M334" s="79"/>
      <c r="N334" s="79"/>
    </row>
    <row r="335" spans="1:14" s="78" customFormat="1" ht="18">
      <c r="A335" s="74">
        <v>7</v>
      </c>
      <c r="B335" s="74" t="s">
        <v>967</v>
      </c>
      <c r="C335" s="74" t="s">
        <v>4967</v>
      </c>
      <c r="D335" s="79" t="s">
        <v>4968</v>
      </c>
      <c r="E335" s="79" t="s">
        <v>3213</v>
      </c>
      <c r="F335" s="79" t="s">
        <v>4969</v>
      </c>
      <c r="G335" s="79" t="s">
        <v>4970</v>
      </c>
      <c r="H335" s="79">
        <v>0</v>
      </c>
      <c r="I335" s="79" t="s">
        <v>4971</v>
      </c>
      <c r="J335" s="79">
        <v>0</v>
      </c>
      <c r="K335" s="79" t="s">
        <v>3231</v>
      </c>
      <c r="L335" s="79"/>
      <c r="M335" s="79"/>
      <c r="N335" s="79"/>
    </row>
    <row r="336" spans="1:14" s="78" customFormat="1" ht="18">
      <c r="A336" s="74">
        <v>8</v>
      </c>
      <c r="B336" s="74" t="s">
        <v>959</v>
      </c>
      <c r="C336" s="74" t="s">
        <v>4972</v>
      </c>
      <c r="D336" s="79" t="s">
        <v>4973</v>
      </c>
      <c r="E336" s="79" t="s">
        <v>3184</v>
      </c>
      <c r="F336" s="79" t="s">
        <v>4974</v>
      </c>
      <c r="G336" s="79" t="s">
        <v>4975</v>
      </c>
      <c r="H336" s="79" t="s">
        <v>4974</v>
      </c>
      <c r="I336" s="79" t="s">
        <v>4976</v>
      </c>
      <c r="J336" s="79" t="s">
        <v>4977</v>
      </c>
      <c r="K336" s="79" t="s">
        <v>4978</v>
      </c>
      <c r="L336" s="79"/>
      <c r="M336" s="79"/>
      <c r="N336" s="79"/>
    </row>
    <row r="337" spans="1:14" s="78" customFormat="1" ht="18">
      <c r="A337" s="74">
        <v>9</v>
      </c>
      <c r="B337" s="74" t="s">
        <v>1006</v>
      </c>
      <c r="C337" s="74" t="s">
        <v>4979</v>
      </c>
      <c r="D337" s="79" t="s">
        <v>3836</v>
      </c>
      <c r="E337" s="79" t="s">
        <v>3184</v>
      </c>
      <c r="F337" s="79" t="s">
        <v>4980</v>
      </c>
      <c r="G337" s="79" t="s">
        <v>4981</v>
      </c>
      <c r="H337" s="79" t="s">
        <v>4982</v>
      </c>
      <c r="I337" s="79" t="s">
        <v>4983</v>
      </c>
      <c r="J337" s="79" t="s">
        <v>4984</v>
      </c>
      <c r="K337" s="79" t="s">
        <v>4333</v>
      </c>
      <c r="L337" s="79"/>
      <c r="M337" s="79"/>
      <c r="N337" s="79"/>
    </row>
    <row r="338" spans="1:14" s="78" customFormat="1" ht="18">
      <c r="A338" s="74">
        <v>10</v>
      </c>
      <c r="B338" s="74" t="s">
        <v>949</v>
      </c>
      <c r="C338" s="74" t="s">
        <v>4985</v>
      </c>
      <c r="D338" s="79" t="s">
        <v>4986</v>
      </c>
      <c r="E338" s="79" t="s">
        <v>3184</v>
      </c>
      <c r="F338" s="79" t="s">
        <v>4987</v>
      </c>
      <c r="G338" s="79" t="s">
        <v>4988</v>
      </c>
      <c r="H338" s="79" t="s">
        <v>4989</v>
      </c>
      <c r="I338" s="79" t="s">
        <v>3680</v>
      </c>
      <c r="J338" s="79" t="s">
        <v>4987</v>
      </c>
      <c r="K338" s="79" t="s">
        <v>4990</v>
      </c>
      <c r="L338" s="79"/>
      <c r="M338" s="79"/>
      <c r="N338" s="79"/>
    </row>
    <row r="339" spans="1:14" s="78" customFormat="1" ht="18">
      <c r="A339" s="74">
        <v>11</v>
      </c>
      <c r="B339" s="74" t="s">
        <v>970</v>
      </c>
      <c r="C339" s="74" t="s">
        <v>4991</v>
      </c>
      <c r="D339" s="79" t="s">
        <v>4992</v>
      </c>
      <c r="E339" s="79" t="s">
        <v>3213</v>
      </c>
      <c r="F339" s="79" t="s">
        <v>4993</v>
      </c>
      <c r="G339" s="79" t="s">
        <v>4994</v>
      </c>
      <c r="H339" s="79">
        <v>0</v>
      </c>
      <c r="I339" s="79" t="s">
        <v>4995</v>
      </c>
      <c r="J339" s="79">
        <v>0</v>
      </c>
      <c r="K339" s="79" t="s">
        <v>4996</v>
      </c>
      <c r="L339" s="79"/>
      <c r="M339" s="79"/>
      <c r="N339" s="79"/>
    </row>
    <row r="340" spans="1:14" s="78" customFormat="1" ht="18">
      <c r="A340" s="74">
        <v>13</v>
      </c>
      <c r="B340" s="74" t="s">
        <v>998</v>
      </c>
      <c r="C340" s="74" t="s">
        <v>4997</v>
      </c>
      <c r="D340" s="79" t="s">
        <v>4998</v>
      </c>
      <c r="E340" s="79" t="s">
        <v>3184</v>
      </c>
      <c r="F340" s="79" t="s">
        <v>4999</v>
      </c>
      <c r="G340" s="79" t="s">
        <v>5000</v>
      </c>
      <c r="H340" s="79" t="s">
        <v>4999</v>
      </c>
      <c r="I340" s="79" t="s">
        <v>5001</v>
      </c>
      <c r="J340" s="79" t="s">
        <v>5002</v>
      </c>
      <c r="K340" s="79" t="s">
        <v>5003</v>
      </c>
      <c r="L340" s="79"/>
      <c r="M340" s="79"/>
      <c r="N340" s="79"/>
    </row>
    <row r="341" spans="1:14" s="78" customFormat="1" ht="18">
      <c r="A341" s="74">
        <v>15</v>
      </c>
      <c r="B341" s="74" t="s">
        <v>5004</v>
      </c>
      <c r="C341" s="74" t="s">
        <v>5005</v>
      </c>
      <c r="D341" s="79" t="s">
        <v>4106</v>
      </c>
      <c r="E341" s="79" t="s">
        <v>3184</v>
      </c>
      <c r="F341" s="79" t="s">
        <v>5006</v>
      </c>
      <c r="G341" s="79" t="s">
        <v>5007</v>
      </c>
      <c r="H341" s="79" t="s">
        <v>5006</v>
      </c>
      <c r="I341" s="79" t="s">
        <v>5008</v>
      </c>
      <c r="J341" s="79" t="s">
        <v>5009</v>
      </c>
      <c r="K341" s="79" t="s">
        <v>5010</v>
      </c>
      <c r="L341" s="79"/>
      <c r="M341" s="79"/>
      <c r="N341" s="79"/>
    </row>
    <row r="342" spans="1:14" s="78" customFormat="1" ht="18">
      <c r="A342" s="74">
        <v>16</v>
      </c>
      <c r="B342" s="74" t="s">
        <v>1000</v>
      </c>
      <c r="C342" s="74" t="s">
        <v>5011</v>
      </c>
      <c r="D342" s="79" t="s">
        <v>5012</v>
      </c>
      <c r="E342" s="79" t="s">
        <v>3184</v>
      </c>
      <c r="F342" s="79" t="s">
        <v>5013</v>
      </c>
      <c r="G342" s="79" t="s">
        <v>5014</v>
      </c>
      <c r="H342" s="79">
        <v>0</v>
      </c>
      <c r="I342" s="79" t="s">
        <v>5015</v>
      </c>
      <c r="J342" s="79">
        <v>0</v>
      </c>
      <c r="K342" s="79" t="s">
        <v>5016</v>
      </c>
      <c r="L342" s="79"/>
      <c r="M342" s="79"/>
      <c r="N342" s="79"/>
    </row>
    <row r="343" spans="1:14" s="78" customFormat="1" ht="18">
      <c r="A343" s="74">
        <v>17</v>
      </c>
      <c r="B343" s="74" t="s">
        <v>972</v>
      </c>
      <c r="C343" s="74" t="s">
        <v>5017</v>
      </c>
      <c r="D343" s="79" t="s">
        <v>5018</v>
      </c>
      <c r="E343" s="79" t="s">
        <v>3213</v>
      </c>
      <c r="F343" s="79" t="s">
        <v>5019</v>
      </c>
      <c r="G343" s="79" t="s">
        <v>915</v>
      </c>
      <c r="H343" s="79" t="s">
        <v>5020</v>
      </c>
      <c r="I343" s="79" t="s">
        <v>5021</v>
      </c>
      <c r="J343" s="79" t="s">
        <v>5019</v>
      </c>
      <c r="K343" s="79" t="s">
        <v>5022</v>
      </c>
      <c r="L343" s="79"/>
      <c r="M343" s="79"/>
      <c r="N343" s="79"/>
    </row>
    <row r="344" spans="1:14" s="78" customFormat="1" ht="18">
      <c r="A344" s="74">
        <v>18</v>
      </c>
      <c r="B344" s="74" t="s">
        <v>5023</v>
      </c>
      <c r="C344" s="74" t="s">
        <v>5024</v>
      </c>
      <c r="D344" s="79" t="s">
        <v>5025</v>
      </c>
      <c r="E344" s="79" t="s">
        <v>3213</v>
      </c>
      <c r="F344" s="79" t="s">
        <v>5026</v>
      </c>
      <c r="G344" s="79" t="s">
        <v>5027</v>
      </c>
      <c r="H344" s="79" t="s">
        <v>5026</v>
      </c>
      <c r="I344" s="79" t="s">
        <v>5028</v>
      </c>
      <c r="J344" s="79" t="s">
        <v>5029</v>
      </c>
      <c r="K344" s="79" t="s">
        <v>5030</v>
      </c>
      <c r="L344" s="79"/>
      <c r="M344" s="79"/>
      <c r="N344" s="79"/>
    </row>
    <row r="345" spans="1:14" s="78" customFormat="1" ht="18">
      <c r="A345" s="74">
        <v>19</v>
      </c>
      <c r="B345" s="74" t="s">
        <v>1002</v>
      </c>
      <c r="C345" s="74" t="s">
        <v>5031</v>
      </c>
      <c r="D345" s="79" t="s">
        <v>4544</v>
      </c>
      <c r="E345" s="79" t="s">
        <v>3213</v>
      </c>
      <c r="F345" s="79" t="s">
        <v>5032</v>
      </c>
      <c r="G345" s="79" t="s">
        <v>5033</v>
      </c>
      <c r="H345" s="79">
        <v>0</v>
      </c>
      <c r="I345" s="79" t="s">
        <v>5034</v>
      </c>
      <c r="J345" s="79" t="s">
        <v>5032</v>
      </c>
      <c r="K345" s="79" t="s">
        <v>4099</v>
      </c>
      <c r="L345" s="79"/>
      <c r="M345" s="79"/>
      <c r="N345" s="79"/>
    </row>
    <row r="346" spans="1:14" s="78" customFormat="1" ht="18">
      <c r="A346" s="74">
        <v>20</v>
      </c>
      <c r="B346" s="74" t="s">
        <v>5035</v>
      </c>
      <c r="C346" s="74" t="s">
        <v>5036</v>
      </c>
      <c r="D346" s="79" t="s">
        <v>5037</v>
      </c>
      <c r="E346" s="79" t="s">
        <v>3213</v>
      </c>
      <c r="F346" s="79" t="s">
        <v>5038</v>
      </c>
      <c r="G346" s="79" t="s">
        <v>5039</v>
      </c>
      <c r="H346" s="79">
        <v>0</v>
      </c>
      <c r="I346" s="79" t="s">
        <v>5040</v>
      </c>
      <c r="J346" s="79">
        <v>0</v>
      </c>
      <c r="K346" s="79" t="s">
        <v>4333</v>
      </c>
      <c r="L346" s="79"/>
      <c r="M346" s="79"/>
      <c r="N346" s="79"/>
    </row>
    <row r="347" spans="1:14" s="78" customFormat="1" ht="18">
      <c r="A347" s="74">
        <v>21</v>
      </c>
      <c r="B347" s="74" t="s">
        <v>951</v>
      </c>
      <c r="C347" s="74" t="s">
        <v>5041</v>
      </c>
      <c r="D347" s="79" t="s">
        <v>5042</v>
      </c>
      <c r="E347" s="79" t="s">
        <v>3213</v>
      </c>
      <c r="F347" s="79" t="s">
        <v>5043</v>
      </c>
      <c r="G347" s="79" t="s">
        <v>5044</v>
      </c>
      <c r="H347" s="79">
        <v>0</v>
      </c>
      <c r="I347" s="79" t="s">
        <v>5045</v>
      </c>
      <c r="J347" s="79">
        <v>0</v>
      </c>
      <c r="K347" s="79" t="s">
        <v>3432</v>
      </c>
      <c r="L347" s="79"/>
      <c r="M347" s="79"/>
      <c r="N347" s="79"/>
    </row>
    <row r="348" spans="1:14" s="78" customFormat="1" ht="18">
      <c r="A348" s="74">
        <v>22</v>
      </c>
      <c r="B348" s="74" t="s">
        <v>5046</v>
      </c>
      <c r="C348" s="74" t="s">
        <v>5047</v>
      </c>
      <c r="D348" s="79" t="s">
        <v>5048</v>
      </c>
      <c r="E348" s="79" t="s">
        <v>3213</v>
      </c>
      <c r="F348" s="79" t="s">
        <v>5049</v>
      </c>
      <c r="G348" s="79" t="s">
        <v>5050</v>
      </c>
      <c r="H348" s="79" t="s">
        <v>5051</v>
      </c>
      <c r="I348" s="79" t="s">
        <v>5052</v>
      </c>
      <c r="J348" s="79" t="s">
        <v>5049</v>
      </c>
      <c r="K348" s="79" t="s">
        <v>3272</v>
      </c>
      <c r="L348" s="79"/>
      <c r="M348" s="79"/>
      <c r="N348" s="79"/>
    </row>
    <row r="349" spans="1:14" s="78" customFormat="1" ht="18">
      <c r="A349" s="74">
        <v>23</v>
      </c>
      <c r="B349" s="74" t="s">
        <v>5053</v>
      </c>
      <c r="C349" s="74" t="s">
        <v>5054</v>
      </c>
      <c r="D349" s="79" t="s">
        <v>4055</v>
      </c>
      <c r="E349" s="79" t="s">
        <v>3213</v>
      </c>
      <c r="F349" s="79" t="s">
        <v>5055</v>
      </c>
      <c r="G349" s="79" t="s">
        <v>5056</v>
      </c>
      <c r="H349" s="79" t="s">
        <v>5057</v>
      </c>
      <c r="I349" s="79" t="s">
        <v>5058</v>
      </c>
      <c r="J349" s="79" t="s">
        <v>5055</v>
      </c>
      <c r="K349" s="79" t="s">
        <v>3231</v>
      </c>
      <c r="L349" s="79"/>
      <c r="M349" s="79"/>
      <c r="N349" s="79"/>
    </row>
    <row r="350" spans="1:14" s="78" customFormat="1" ht="18">
      <c r="A350" s="74">
        <v>24</v>
      </c>
      <c r="B350" s="74" t="s">
        <v>5059</v>
      </c>
      <c r="C350" s="74" t="s">
        <v>5060</v>
      </c>
      <c r="D350" s="79" t="s">
        <v>4089</v>
      </c>
      <c r="E350" s="79" t="s">
        <v>3213</v>
      </c>
      <c r="F350" s="79" t="s">
        <v>5061</v>
      </c>
      <c r="G350" s="79" t="s">
        <v>5062</v>
      </c>
      <c r="H350" s="79">
        <v>0</v>
      </c>
      <c r="I350" s="79" t="s">
        <v>5063</v>
      </c>
      <c r="J350" s="79">
        <v>0</v>
      </c>
      <c r="K350" s="79" t="s">
        <v>5064</v>
      </c>
      <c r="L350" s="79"/>
      <c r="M350" s="79"/>
      <c r="N350" s="79"/>
    </row>
    <row r="351" spans="1:14" s="78" customFormat="1" ht="18">
      <c r="A351" s="74">
        <v>25</v>
      </c>
      <c r="B351" s="74" t="s">
        <v>5065</v>
      </c>
      <c r="C351" s="74" t="s">
        <v>5066</v>
      </c>
      <c r="D351" s="79" t="s">
        <v>5067</v>
      </c>
      <c r="E351" s="79" t="s">
        <v>3213</v>
      </c>
      <c r="F351" s="79" t="s">
        <v>5068</v>
      </c>
      <c r="G351" s="79" t="s">
        <v>5069</v>
      </c>
      <c r="H351" s="79" t="s">
        <v>5070</v>
      </c>
      <c r="I351" s="79" t="s">
        <v>5071</v>
      </c>
      <c r="J351" s="79" t="s">
        <v>5068</v>
      </c>
      <c r="K351" s="79" t="s">
        <v>4053</v>
      </c>
      <c r="L351" s="79"/>
      <c r="M351" s="79"/>
      <c r="N351" s="79"/>
    </row>
    <row r="352" spans="1:14" s="78" customFormat="1" ht="18">
      <c r="A352" s="74">
        <v>26</v>
      </c>
      <c r="B352" s="74" t="s">
        <v>1004</v>
      </c>
      <c r="C352" s="74" t="s">
        <v>5072</v>
      </c>
      <c r="D352" s="79" t="s">
        <v>3919</v>
      </c>
      <c r="E352" s="79" t="s">
        <v>3213</v>
      </c>
      <c r="F352" s="79" t="s">
        <v>5073</v>
      </c>
      <c r="G352" s="79" t="s">
        <v>5074</v>
      </c>
      <c r="H352" s="79" t="s">
        <v>5075</v>
      </c>
      <c r="I352" s="79" t="s">
        <v>5076</v>
      </c>
      <c r="J352" s="79" t="s">
        <v>5073</v>
      </c>
      <c r="K352" s="79" t="s">
        <v>5077</v>
      </c>
      <c r="L352" s="79"/>
      <c r="M352" s="79"/>
      <c r="N352" s="79"/>
    </row>
    <row r="353" spans="1:14" s="78" customFormat="1" ht="18">
      <c r="A353" s="74">
        <v>27</v>
      </c>
      <c r="B353" s="74" t="s">
        <v>953</v>
      </c>
      <c r="C353" s="74" t="s">
        <v>5078</v>
      </c>
      <c r="D353" s="79" t="s">
        <v>5079</v>
      </c>
      <c r="E353" s="79" t="s">
        <v>3213</v>
      </c>
      <c r="F353" s="79" t="s">
        <v>5080</v>
      </c>
      <c r="G353" s="79" t="s">
        <v>5081</v>
      </c>
      <c r="H353" s="79">
        <v>0</v>
      </c>
      <c r="I353" s="79" t="s">
        <v>5082</v>
      </c>
      <c r="J353" s="79">
        <v>0</v>
      </c>
      <c r="K353" s="79" t="s">
        <v>3231</v>
      </c>
      <c r="L353" s="79"/>
      <c r="M353" s="79"/>
      <c r="N353" s="79"/>
    </row>
    <row r="354" spans="1:14" s="78" customFormat="1" ht="18">
      <c r="A354" s="74">
        <v>28</v>
      </c>
      <c r="B354" s="74" t="s">
        <v>957</v>
      </c>
      <c r="C354" s="74" t="s">
        <v>5083</v>
      </c>
      <c r="D354" s="79" t="s">
        <v>5084</v>
      </c>
      <c r="E354" s="79" t="s">
        <v>3213</v>
      </c>
      <c r="F354" s="79" t="s">
        <v>5085</v>
      </c>
      <c r="G354" s="79" t="s">
        <v>5086</v>
      </c>
      <c r="H354" s="79" t="s">
        <v>5087</v>
      </c>
      <c r="I354" s="79" t="s">
        <v>5088</v>
      </c>
      <c r="J354" s="79" t="s">
        <v>5085</v>
      </c>
      <c r="K354" s="79" t="s">
        <v>5089</v>
      </c>
      <c r="L354" s="79"/>
      <c r="M354" s="79"/>
      <c r="N354" s="79"/>
    </row>
    <row r="355" spans="1:14" s="78" customFormat="1" ht="18">
      <c r="A355" s="74">
        <v>1</v>
      </c>
      <c r="B355" s="74" t="s">
        <v>5090</v>
      </c>
      <c r="C355" s="74" t="s">
        <v>5091</v>
      </c>
      <c r="D355" s="79" t="s">
        <v>5092</v>
      </c>
      <c r="E355" s="79" t="s">
        <v>3184</v>
      </c>
      <c r="F355" s="79" t="s">
        <v>5093</v>
      </c>
      <c r="G355" s="79" t="s">
        <v>5094</v>
      </c>
      <c r="H355" s="79" t="s">
        <v>5095</v>
      </c>
      <c r="I355" s="79" t="s">
        <v>5096</v>
      </c>
      <c r="J355" s="79" t="s">
        <v>5093</v>
      </c>
      <c r="K355" s="79" t="s">
        <v>4561</v>
      </c>
      <c r="L355" s="79"/>
      <c r="M355" s="79"/>
      <c r="N355" s="79"/>
    </row>
    <row r="356" spans="1:14" s="78" customFormat="1" ht="18">
      <c r="A356" s="74">
        <v>2</v>
      </c>
      <c r="B356" s="74" t="s">
        <v>1008</v>
      </c>
      <c r="C356" s="74" t="s">
        <v>5097</v>
      </c>
      <c r="D356" s="79" t="s">
        <v>4992</v>
      </c>
      <c r="E356" s="79" t="s">
        <v>3213</v>
      </c>
      <c r="F356" s="79" t="s">
        <v>5098</v>
      </c>
      <c r="G356" s="79" t="s">
        <v>5099</v>
      </c>
      <c r="H356" s="79">
        <v>0</v>
      </c>
      <c r="I356" s="79" t="s">
        <v>3943</v>
      </c>
      <c r="J356" s="79" t="s">
        <v>5098</v>
      </c>
      <c r="K356" s="79" t="s">
        <v>4679</v>
      </c>
      <c r="L356" s="79"/>
      <c r="M356" s="79"/>
      <c r="N356" s="79"/>
    </row>
    <row r="357" spans="1:14" s="78" customFormat="1" ht="18">
      <c r="A357" s="74">
        <v>3</v>
      </c>
      <c r="B357" s="74" t="s">
        <v>1037</v>
      </c>
      <c r="C357" s="74" t="s">
        <v>5100</v>
      </c>
      <c r="D357" s="79" t="s">
        <v>3836</v>
      </c>
      <c r="E357" s="79" t="s">
        <v>3184</v>
      </c>
      <c r="F357" s="79" t="s">
        <v>5101</v>
      </c>
      <c r="G357" s="79" t="s">
        <v>5102</v>
      </c>
      <c r="H357" s="79">
        <v>0</v>
      </c>
      <c r="I357" s="79" t="s">
        <v>5103</v>
      </c>
      <c r="J357" s="79">
        <v>0</v>
      </c>
      <c r="K357" s="79" t="s">
        <v>3231</v>
      </c>
      <c r="L357" s="79"/>
      <c r="M357" s="79"/>
      <c r="N357" s="79"/>
    </row>
    <row r="358" spans="1:14" s="78" customFormat="1" ht="18">
      <c r="A358" s="74">
        <v>4</v>
      </c>
      <c r="B358" s="74" t="s">
        <v>1039</v>
      </c>
      <c r="C358" s="74" t="s">
        <v>5104</v>
      </c>
      <c r="D358" s="79" t="s">
        <v>5105</v>
      </c>
      <c r="E358" s="79" t="s">
        <v>3213</v>
      </c>
      <c r="F358" s="79" t="s">
        <v>5106</v>
      </c>
      <c r="G358" s="79" t="s">
        <v>5107</v>
      </c>
      <c r="H358" s="79" t="s">
        <v>5108</v>
      </c>
      <c r="I358" s="79" t="s">
        <v>5109</v>
      </c>
      <c r="J358" s="79" t="s">
        <v>5106</v>
      </c>
      <c r="K358" s="79" t="s">
        <v>3278</v>
      </c>
      <c r="L358" s="79"/>
      <c r="M358" s="79"/>
      <c r="N358" s="79"/>
    </row>
    <row r="359" spans="1:14" s="78" customFormat="1" ht="18">
      <c r="A359" s="74">
        <v>5</v>
      </c>
      <c r="B359" s="74" t="s">
        <v>5110</v>
      </c>
      <c r="C359" s="74" t="s">
        <v>5111</v>
      </c>
      <c r="D359" s="79" t="s">
        <v>5112</v>
      </c>
      <c r="E359" s="79" t="s">
        <v>3184</v>
      </c>
      <c r="F359" s="79" t="s">
        <v>5113</v>
      </c>
      <c r="G359" s="79" t="s">
        <v>5114</v>
      </c>
      <c r="H359" s="79" t="s">
        <v>5115</v>
      </c>
      <c r="I359" s="79" t="s">
        <v>5116</v>
      </c>
      <c r="J359" s="79" t="s">
        <v>5113</v>
      </c>
      <c r="K359" s="79" t="s">
        <v>3272</v>
      </c>
      <c r="L359" s="79"/>
      <c r="M359" s="79"/>
      <c r="N359" s="79"/>
    </row>
    <row r="360" spans="1:14" s="78" customFormat="1" ht="18">
      <c r="A360" s="74">
        <v>6</v>
      </c>
      <c r="B360" s="74" t="s">
        <v>5117</v>
      </c>
      <c r="C360" s="74" t="s">
        <v>5118</v>
      </c>
      <c r="D360" s="79" t="s">
        <v>3829</v>
      </c>
      <c r="E360" s="79" t="s">
        <v>3213</v>
      </c>
      <c r="F360" s="79" t="s">
        <v>5119</v>
      </c>
      <c r="G360" s="79" t="s">
        <v>5120</v>
      </c>
      <c r="H360" s="79" t="s">
        <v>5119</v>
      </c>
      <c r="I360" s="79" t="s">
        <v>5121</v>
      </c>
      <c r="J360" s="79" t="s">
        <v>5122</v>
      </c>
      <c r="K360" s="79" t="s">
        <v>5123</v>
      </c>
      <c r="L360" s="79"/>
      <c r="M360" s="79"/>
      <c r="N360" s="79"/>
    </row>
    <row r="361" spans="1:14" s="78" customFormat="1" ht="18">
      <c r="A361" s="74">
        <v>7</v>
      </c>
      <c r="B361" s="74" t="s">
        <v>1031</v>
      </c>
      <c r="C361" s="74" t="s">
        <v>5124</v>
      </c>
      <c r="D361" s="79" t="s">
        <v>5125</v>
      </c>
      <c r="E361" s="79" t="s">
        <v>3184</v>
      </c>
      <c r="F361" s="79" t="s">
        <v>5126</v>
      </c>
      <c r="G361" s="79" t="s">
        <v>5127</v>
      </c>
      <c r="H361" s="79" t="s">
        <v>5128</v>
      </c>
      <c r="I361" s="79" t="s">
        <v>5129</v>
      </c>
      <c r="J361" s="79" t="s">
        <v>5126</v>
      </c>
      <c r="K361" s="79" t="s">
        <v>5130</v>
      </c>
      <c r="L361" s="79"/>
      <c r="M361" s="79"/>
      <c r="N361" s="79"/>
    </row>
    <row r="362" spans="1:14" s="78" customFormat="1" ht="18">
      <c r="A362" s="74">
        <v>10</v>
      </c>
      <c r="B362" s="74" t="s">
        <v>1043</v>
      </c>
      <c r="C362" s="74" t="s">
        <v>5131</v>
      </c>
      <c r="D362" s="79" t="s">
        <v>5132</v>
      </c>
      <c r="E362" s="79" t="s">
        <v>3184</v>
      </c>
      <c r="F362" s="79" t="s">
        <v>5133</v>
      </c>
      <c r="G362" s="79" t="s">
        <v>5134</v>
      </c>
      <c r="H362" s="79">
        <v>0</v>
      </c>
      <c r="I362" s="79" t="s">
        <v>5135</v>
      </c>
      <c r="J362" s="79">
        <v>0</v>
      </c>
      <c r="K362" s="79" t="s">
        <v>4345</v>
      </c>
      <c r="L362" s="79"/>
      <c r="M362" s="79"/>
      <c r="N362" s="79"/>
    </row>
    <row r="363" spans="1:14" s="78" customFormat="1" ht="18">
      <c r="A363" s="74">
        <v>12</v>
      </c>
      <c r="B363" s="74" t="s">
        <v>1045</v>
      </c>
      <c r="C363" s="74" t="s">
        <v>5136</v>
      </c>
      <c r="D363" s="79" t="s">
        <v>3799</v>
      </c>
      <c r="E363" s="79" t="s">
        <v>3184</v>
      </c>
      <c r="F363" s="79" t="s">
        <v>5137</v>
      </c>
      <c r="G363" s="79" t="s">
        <v>5138</v>
      </c>
      <c r="H363" s="79">
        <v>0</v>
      </c>
      <c r="I363" s="79" t="s">
        <v>5139</v>
      </c>
      <c r="J363" s="79">
        <v>0</v>
      </c>
      <c r="K363" s="79" t="s">
        <v>5140</v>
      </c>
      <c r="L363" s="79"/>
      <c r="M363" s="79"/>
      <c r="N363" s="79"/>
    </row>
    <row r="364" spans="1:14" s="78" customFormat="1" ht="18">
      <c r="A364" s="74">
        <v>13</v>
      </c>
      <c r="B364" s="74" t="s">
        <v>5141</v>
      </c>
      <c r="C364" s="74" t="s">
        <v>5142</v>
      </c>
      <c r="D364" s="79" t="s">
        <v>4606</v>
      </c>
      <c r="E364" s="79" t="s">
        <v>3213</v>
      </c>
      <c r="F364" s="79" t="s">
        <v>5143</v>
      </c>
      <c r="G364" s="79" t="s">
        <v>5144</v>
      </c>
      <c r="H364" s="79">
        <v>0</v>
      </c>
      <c r="I364" s="79" t="s">
        <v>5145</v>
      </c>
      <c r="J364" s="79">
        <v>0</v>
      </c>
      <c r="K364" s="79" t="s">
        <v>5146</v>
      </c>
      <c r="L364" s="79"/>
      <c r="M364" s="79"/>
      <c r="N364" s="79"/>
    </row>
    <row r="365" spans="1:14" s="78" customFormat="1" ht="18">
      <c r="A365" s="74">
        <v>14</v>
      </c>
      <c r="B365" s="74" t="s">
        <v>5147</v>
      </c>
      <c r="C365" s="74" t="s">
        <v>5148</v>
      </c>
      <c r="D365" s="79" t="s">
        <v>5149</v>
      </c>
      <c r="E365" s="79" t="s">
        <v>3213</v>
      </c>
      <c r="F365" s="79" t="s">
        <v>5150</v>
      </c>
      <c r="G365" s="79" t="s">
        <v>3752</v>
      </c>
      <c r="H365" s="79" t="s">
        <v>5151</v>
      </c>
      <c r="I365" s="79" t="s">
        <v>5152</v>
      </c>
      <c r="J365" s="79" t="s">
        <v>5150</v>
      </c>
      <c r="K365" s="79" t="s">
        <v>3803</v>
      </c>
      <c r="L365" s="79"/>
      <c r="M365" s="79"/>
      <c r="N365" s="79"/>
    </row>
    <row r="366" spans="1:14" s="78" customFormat="1" ht="18">
      <c r="A366" s="74">
        <v>16</v>
      </c>
      <c r="B366" s="74" t="s">
        <v>5153</v>
      </c>
      <c r="C366" s="74" t="s">
        <v>5154</v>
      </c>
      <c r="D366" s="79" t="s">
        <v>5132</v>
      </c>
      <c r="E366" s="79" t="s">
        <v>3213</v>
      </c>
      <c r="F366" s="79" t="s">
        <v>5155</v>
      </c>
      <c r="G366" s="79" t="s">
        <v>5156</v>
      </c>
      <c r="H366" s="79">
        <v>0</v>
      </c>
      <c r="I366" s="79" t="s">
        <v>4313</v>
      </c>
      <c r="J366" s="79">
        <v>0</v>
      </c>
      <c r="K366" s="79" t="s">
        <v>3231</v>
      </c>
      <c r="L366" s="79"/>
      <c r="M366" s="79"/>
      <c r="N366" s="79"/>
    </row>
    <row r="367" spans="1:14" s="78" customFormat="1" ht="18">
      <c r="A367" s="74">
        <v>17</v>
      </c>
      <c r="B367" s="74" t="s">
        <v>1049</v>
      </c>
      <c r="C367" s="74" t="s">
        <v>5157</v>
      </c>
      <c r="D367" s="79" t="s">
        <v>5158</v>
      </c>
      <c r="E367" s="79" t="s">
        <v>3213</v>
      </c>
      <c r="F367" s="79" t="s">
        <v>5159</v>
      </c>
      <c r="G367" s="79" t="s">
        <v>5160</v>
      </c>
      <c r="H367" s="79">
        <v>0</v>
      </c>
      <c r="I367" s="79" t="s">
        <v>5161</v>
      </c>
      <c r="J367" s="79" t="s">
        <v>5159</v>
      </c>
      <c r="K367" s="79" t="s">
        <v>4333</v>
      </c>
      <c r="L367" s="79"/>
      <c r="M367" s="79"/>
      <c r="N367" s="79"/>
    </row>
    <row r="368" spans="1:14" s="78" customFormat="1" ht="18">
      <c r="A368" s="74">
        <v>18</v>
      </c>
      <c r="B368" s="74" t="s">
        <v>1051</v>
      </c>
      <c r="C368" s="74" t="s">
        <v>5162</v>
      </c>
      <c r="D368" s="79" t="s">
        <v>3960</v>
      </c>
      <c r="E368" s="79" t="s">
        <v>3184</v>
      </c>
      <c r="F368" s="79" t="s">
        <v>5163</v>
      </c>
      <c r="G368" s="79" t="s">
        <v>5164</v>
      </c>
      <c r="H368" s="79" t="s">
        <v>5165</v>
      </c>
      <c r="I368" s="79" t="s">
        <v>5166</v>
      </c>
      <c r="J368" s="79" t="s">
        <v>5163</v>
      </c>
      <c r="K368" s="79" t="s">
        <v>3231</v>
      </c>
      <c r="L368" s="79"/>
      <c r="M368" s="79"/>
      <c r="N368" s="79"/>
    </row>
    <row r="369" spans="1:14" s="78" customFormat="1" ht="18">
      <c r="A369" s="74">
        <v>19</v>
      </c>
      <c r="B369" s="74" t="s">
        <v>1011</v>
      </c>
      <c r="C369" s="74" t="s">
        <v>5167</v>
      </c>
      <c r="D369" s="79" t="s">
        <v>4503</v>
      </c>
      <c r="E369" s="79" t="s">
        <v>3184</v>
      </c>
      <c r="F369" s="79" t="s">
        <v>5168</v>
      </c>
      <c r="G369" s="79" t="s">
        <v>5169</v>
      </c>
      <c r="H369" s="79" t="s">
        <v>5170</v>
      </c>
      <c r="I369" s="79" t="s">
        <v>5171</v>
      </c>
      <c r="J369" s="79" t="s">
        <v>5168</v>
      </c>
      <c r="K369" s="79" t="s">
        <v>5172</v>
      </c>
      <c r="L369" s="79"/>
      <c r="M369" s="79"/>
      <c r="N369" s="79"/>
    </row>
    <row r="370" spans="1:14" s="78" customFormat="1" ht="18">
      <c r="A370" s="74">
        <v>20</v>
      </c>
      <c r="B370" s="74" t="s">
        <v>5173</v>
      </c>
      <c r="C370" s="74" t="s">
        <v>5174</v>
      </c>
      <c r="D370" s="79" t="s">
        <v>3900</v>
      </c>
      <c r="E370" s="79" t="s">
        <v>3213</v>
      </c>
      <c r="F370" s="79" t="s">
        <v>5175</v>
      </c>
      <c r="G370" s="79" t="s">
        <v>5176</v>
      </c>
      <c r="H370" s="79" t="s">
        <v>5177</v>
      </c>
      <c r="I370" s="79" t="s">
        <v>5178</v>
      </c>
      <c r="J370" s="79" t="s">
        <v>5175</v>
      </c>
      <c r="K370" s="79" t="s">
        <v>3278</v>
      </c>
      <c r="L370" s="79"/>
      <c r="M370" s="79"/>
      <c r="N370" s="79"/>
    </row>
    <row r="371" spans="1:14" s="78" customFormat="1" ht="18">
      <c r="A371" s="74">
        <v>21</v>
      </c>
      <c r="B371" s="74" t="s">
        <v>1017</v>
      </c>
      <c r="C371" s="74" t="s">
        <v>5179</v>
      </c>
      <c r="D371" s="79" t="s">
        <v>5180</v>
      </c>
      <c r="E371" s="79" t="s">
        <v>3184</v>
      </c>
      <c r="F371" s="79" t="s">
        <v>5181</v>
      </c>
      <c r="G371" s="79" t="s">
        <v>5182</v>
      </c>
      <c r="H371" s="79" t="s">
        <v>5183</v>
      </c>
      <c r="I371" s="79" t="s">
        <v>5184</v>
      </c>
      <c r="J371" s="79" t="s">
        <v>5181</v>
      </c>
      <c r="K371" s="79" t="s">
        <v>5185</v>
      </c>
      <c r="L371" s="79"/>
      <c r="M371" s="79"/>
      <c r="N371" s="79"/>
    </row>
    <row r="372" spans="1:14" s="78" customFormat="1" ht="18">
      <c r="A372" s="74">
        <v>26</v>
      </c>
      <c r="B372" s="74" t="s">
        <v>1021</v>
      </c>
      <c r="C372" s="74" t="s">
        <v>5186</v>
      </c>
      <c r="D372" s="79" t="s">
        <v>5187</v>
      </c>
      <c r="E372" s="79" t="s">
        <v>3213</v>
      </c>
      <c r="F372" s="79" t="s">
        <v>5188</v>
      </c>
      <c r="G372" s="79" t="s">
        <v>5189</v>
      </c>
      <c r="H372" s="79" t="s">
        <v>5190</v>
      </c>
      <c r="I372" s="79" t="s">
        <v>5191</v>
      </c>
      <c r="J372" s="79" t="s">
        <v>5188</v>
      </c>
      <c r="K372" s="79" t="s">
        <v>3432</v>
      </c>
      <c r="L372" s="79"/>
      <c r="M372" s="79"/>
      <c r="N372" s="79"/>
    </row>
    <row r="373" spans="1:14" s="78" customFormat="1" ht="18">
      <c r="A373" s="74">
        <v>27</v>
      </c>
      <c r="B373" s="74" t="s">
        <v>459</v>
      </c>
      <c r="C373" s="74" t="s">
        <v>5192</v>
      </c>
      <c r="D373" s="79" t="s">
        <v>5193</v>
      </c>
      <c r="E373" s="79" t="s">
        <v>3184</v>
      </c>
      <c r="F373" s="79" t="s">
        <v>5194</v>
      </c>
      <c r="G373" s="79" t="s">
        <v>5195</v>
      </c>
      <c r="H373" s="79">
        <v>0</v>
      </c>
      <c r="I373" s="79" t="s">
        <v>5196</v>
      </c>
      <c r="J373" s="79">
        <v>0</v>
      </c>
      <c r="K373" s="79" t="s">
        <v>4420</v>
      </c>
      <c r="L373" s="79"/>
      <c r="M373" s="79"/>
      <c r="N373" s="79"/>
    </row>
    <row r="374" spans="1:14" s="78" customFormat="1" ht="18">
      <c r="A374" s="74">
        <v>29</v>
      </c>
      <c r="B374" s="74" t="s">
        <v>1027</v>
      </c>
      <c r="C374" s="74" t="s">
        <v>5197</v>
      </c>
      <c r="D374" s="79" t="s">
        <v>4353</v>
      </c>
      <c r="E374" s="79" t="s">
        <v>3213</v>
      </c>
      <c r="F374" s="79" t="s">
        <v>5198</v>
      </c>
      <c r="G374" s="79" t="s">
        <v>5199</v>
      </c>
      <c r="H374" s="79" t="s">
        <v>5200</v>
      </c>
      <c r="I374" s="79" t="s">
        <v>4631</v>
      </c>
      <c r="J374" s="79" t="s">
        <v>5198</v>
      </c>
      <c r="K374" s="79" t="s">
        <v>4010</v>
      </c>
      <c r="L374" s="79"/>
      <c r="M374" s="79"/>
      <c r="N374" s="79"/>
    </row>
    <row r="375" spans="1:14" s="78" customFormat="1" ht="18">
      <c r="A375" s="74">
        <v>30</v>
      </c>
      <c r="B375" s="74" t="s">
        <v>1023</v>
      </c>
      <c r="C375" s="74" t="s">
        <v>5201</v>
      </c>
      <c r="D375" s="79" t="s">
        <v>4694</v>
      </c>
      <c r="E375" s="79" t="s">
        <v>3184</v>
      </c>
      <c r="F375" s="79" t="s">
        <v>5202</v>
      </c>
      <c r="G375" s="79" t="s">
        <v>5203</v>
      </c>
      <c r="H375" s="79">
        <v>0</v>
      </c>
      <c r="I375" s="79" t="s">
        <v>4222</v>
      </c>
      <c r="J375" s="79">
        <v>0</v>
      </c>
      <c r="K375" s="79" t="s">
        <v>3909</v>
      </c>
      <c r="L375" s="79"/>
      <c r="M375" s="79"/>
      <c r="N375" s="79"/>
    </row>
    <row r="376" spans="1:14" s="78" customFormat="1" ht="18">
      <c r="A376" s="74">
        <v>31</v>
      </c>
      <c r="B376" s="74" t="s">
        <v>1025</v>
      </c>
      <c r="C376" s="74" t="s">
        <v>5204</v>
      </c>
      <c r="D376" s="79" t="s">
        <v>5205</v>
      </c>
      <c r="E376" s="79" t="s">
        <v>3184</v>
      </c>
      <c r="F376" s="79" t="s">
        <v>5206</v>
      </c>
      <c r="G376" s="79" t="s">
        <v>5207</v>
      </c>
      <c r="H376" s="79" t="s">
        <v>5208</v>
      </c>
      <c r="I376" s="79" t="s">
        <v>5209</v>
      </c>
      <c r="J376" s="79" t="s">
        <v>5206</v>
      </c>
      <c r="K376" s="79" t="s">
        <v>5172</v>
      </c>
      <c r="L376" s="79"/>
      <c r="M376" s="79"/>
      <c r="N376" s="79"/>
    </row>
    <row r="377" spans="1:14" s="78" customFormat="1" ht="18">
      <c r="A377" s="74">
        <v>32</v>
      </c>
      <c r="B377" s="74" t="s">
        <v>1029</v>
      </c>
      <c r="C377" s="74" t="s">
        <v>5210</v>
      </c>
      <c r="D377" s="79" t="s">
        <v>5211</v>
      </c>
      <c r="E377" s="79" t="s">
        <v>3213</v>
      </c>
      <c r="F377" s="79" t="s">
        <v>5212</v>
      </c>
      <c r="G377" s="79" t="s">
        <v>5213</v>
      </c>
      <c r="H377" s="79" t="s">
        <v>5214</v>
      </c>
      <c r="I377" s="79" t="s">
        <v>5215</v>
      </c>
      <c r="J377" s="79" t="s">
        <v>5216</v>
      </c>
      <c r="K377" s="79" t="s">
        <v>5217</v>
      </c>
      <c r="L377" s="79"/>
      <c r="M377" s="79"/>
      <c r="N377" s="79"/>
    </row>
    <row r="378" spans="1:14" s="78" customFormat="1" ht="18">
      <c r="A378" s="74">
        <v>33</v>
      </c>
      <c r="B378" s="74" t="s">
        <v>5218</v>
      </c>
      <c r="C378" s="74" t="s">
        <v>5219</v>
      </c>
      <c r="D378" s="79" t="s">
        <v>4675</v>
      </c>
      <c r="E378" s="79" t="s">
        <v>3213</v>
      </c>
      <c r="F378" s="79" t="s">
        <v>5220</v>
      </c>
      <c r="G378" s="79" t="s">
        <v>5221</v>
      </c>
      <c r="H378" s="79">
        <v>0</v>
      </c>
      <c r="I378" s="79" t="s">
        <v>5222</v>
      </c>
      <c r="J378" s="79">
        <v>0</v>
      </c>
      <c r="K378" s="79" t="s">
        <v>5223</v>
      </c>
      <c r="L378" s="79"/>
      <c r="M378" s="79"/>
      <c r="N378" s="79"/>
    </row>
    <row r="379" spans="1:14" s="78" customFormat="1" ht="18">
      <c r="A379" s="74">
        <v>34</v>
      </c>
      <c r="B379" s="74" t="s">
        <v>5224</v>
      </c>
      <c r="C379" s="74" t="s">
        <v>5225</v>
      </c>
      <c r="D379" s="79" t="e">
        <v>#N/A</v>
      </c>
      <c r="E379" s="79" t="e">
        <v>#N/A</v>
      </c>
      <c r="F379" s="79" t="e">
        <v>#N/A</v>
      </c>
      <c r="G379" s="79" t="e">
        <v>#N/A</v>
      </c>
      <c r="H379" s="79" t="e">
        <v>#N/A</v>
      </c>
      <c r="I379" s="79" t="e">
        <v>#N/A</v>
      </c>
      <c r="J379" s="79" t="e">
        <v>#N/A</v>
      </c>
      <c r="K379" s="79" t="e">
        <v>#N/A</v>
      </c>
      <c r="L379" s="79"/>
      <c r="M379" s="79"/>
      <c r="N379" s="79"/>
    </row>
    <row r="380" spans="1:14" s="78" customFormat="1" ht="18">
      <c r="A380" s="74">
        <v>36</v>
      </c>
      <c r="B380" s="74" t="s">
        <v>5226</v>
      </c>
      <c r="C380" s="74" t="s">
        <v>5227</v>
      </c>
      <c r="D380" s="79" t="s">
        <v>5228</v>
      </c>
      <c r="E380" s="79" t="s">
        <v>3213</v>
      </c>
      <c r="F380" s="79" t="s">
        <v>5229</v>
      </c>
      <c r="G380" s="79" t="s">
        <v>5230</v>
      </c>
      <c r="H380" s="79">
        <v>0</v>
      </c>
      <c r="I380" s="79" t="s">
        <v>3334</v>
      </c>
      <c r="J380" s="79">
        <v>0</v>
      </c>
      <c r="K380" s="79" t="s">
        <v>5146</v>
      </c>
      <c r="L380" s="79"/>
      <c r="M380" s="79"/>
      <c r="N380" s="79"/>
    </row>
    <row r="381" spans="1:14" s="78" customFormat="1" ht="18">
      <c r="A381" s="74">
        <v>1</v>
      </c>
      <c r="B381" s="74" t="s">
        <v>1058</v>
      </c>
      <c r="C381" s="74" t="s">
        <v>5231</v>
      </c>
      <c r="D381" s="79" t="s">
        <v>4616</v>
      </c>
      <c r="E381" s="79" t="s">
        <v>3184</v>
      </c>
      <c r="F381" s="79" t="s">
        <v>5232</v>
      </c>
      <c r="G381" s="79" t="s">
        <v>5233</v>
      </c>
      <c r="H381" s="79" t="s">
        <v>5234</v>
      </c>
      <c r="I381" s="79" t="s">
        <v>3367</v>
      </c>
      <c r="J381" s="79">
        <v>0</v>
      </c>
      <c r="K381" s="79" t="s">
        <v>3803</v>
      </c>
      <c r="L381" s="79"/>
      <c r="M381" s="79"/>
      <c r="N381" s="79"/>
    </row>
    <row r="382" spans="1:14" s="78" customFormat="1" ht="18">
      <c r="A382" s="74">
        <v>2</v>
      </c>
      <c r="B382" s="74" t="s">
        <v>1056</v>
      </c>
      <c r="C382" s="74" t="s">
        <v>5235</v>
      </c>
      <c r="D382" s="79" t="s">
        <v>4616</v>
      </c>
      <c r="E382" s="79" t="s">
        <v>3184</v>
      </c>
      <c r="F382" s="79" t="s">
        <v>5236</v>
      </c>
      <c r="G382" s="79" t="s">
        <v>5237</v>
      </c>
      <c r="H382" s="79">
        <v>0</v>
      </c>
      <c r="I382" s="79" t="s">
        <v>5238</v>
      </c>
      <c r="J382" s="79">
        <v>0</v>
      </c>
      <c r="K382" s="79" t="s">
        <v>5239</v>
      </c>
      <c r="L382" s="79"/>
      <c r="M382" s="79"/>
      <c r="N382" s="79"/>
    </row>
    <row r="383" spans="1:14" s="78" customFormat="1" ht="18">
      <c r="A383" s="74">
        <v>1</v>
      </c>
      <c r="B383" s="74" t="s">
        <v>1065</v>
      </c>
      <c r="C383" s="74" t="s">
        <v>5240</v>
      </c>
      <c r="D383" s="79" t="s">
        <v>5241</v>
      </c>
      <c r="E383" s="79" t="s">
        <v>3213</v>
      </c>
      <c r="F383" s="79" t="s">
        <v>5242</v>
      </c>
      <c r="G383" s="79" t="s">
        <v>5243</v>
      </c>
      <c r="H383" s="79" t="s">
        <v>5244</v>
      </c>
      <c r="I383" s="79" t="s">
        <v>5245</v>
      </c>
      <c r="J383" s="79" t="s">
        <v>5242</v>
      </c>
      <c r="K383" s="79" t="s">
        <v>4099</v>
      </c>
      <c r="L383" s="79"/>
      <c r="M383" s="79"/>
      <c r="N383" s="79"/>
    </row>
    <row r="384" spans="1:14" s="78" customFormat="1" ht="18">
      <c r="A384" s="74">
        <v>2</v>
      </c>
      <c r="B384" s="74" t="s">
        <v>946</v>
      </c>
      <c r="C384" s="74" t="s">
        <v>5246</v>
      </c>
      <c r="D384" s="79" t="s">
        <v>4061</v>
      </c>
      <c r="E384" s="79" t="s">
        <v>3213</v>
      </c>
      <c r="F384" s="79" t="s">
        <v>5247</v>
      </c>
      <c r="G384" s="79" t="s">
        <v>5248</v>
      </c>
      <c r="H384" s="79" t="s">
        <v>5249</v>
      </c>
      <c r="I384" s="79" t="s">
        <v>5250</v>
      </c>
      <c r="J384" s="79" t="s">
        <v>5247</v>
      </c>
      <c r="K384" s="79" t="s">
        <v>5251</v>
      </c>
      <c r="L384" s="79"/>
      <c r="M384" s="79"/>
      <c r="N384" s="79"/>
    </row>
    <row r="385" spans="1:14" s="78" customFormat="1" ht="18">
      <c r="A385" s="74">
        <v>2</v>
      </c>
      <c r="B385" s="74" t="s">
        <v>1097</v>
      </c>
      <c r="C385" s="74" t="s">
        <v>5252</v>
      </c>
      <c r="D385" s="79" t="s">
        <v>5253</v>
      </c>
      <c r="E385" s="79">
        <v>0</v>
      </c>
      <c r="F385" s="79" t="s">
        <v>5254</v>
      </c>
      <c r="G385" s="79">
        <v>0</v>
      </c>
      <c r="H385" s="79">
        <v>0</v>
      </c>
      <c r="I385" s="79">
        <v>0</v>
      </c>
      <c r="J385" s="79">
        <v>0</v>
      </c>
      <c r="K385" s="79" t="s">
        <v>4990</v>
      </c>
      <c r="L385" s="79"/>
      <c r="M385" s="79"/>
      <c r="N385" s="79"/>
    </row>
    <row r="386" spans="1:14" s="78" customFormat="1" ht="18">
      <c r="A386" s="74">
        <v>5</v>
      </c>
      <c r="B386" s="74" t="s">
        <v>1099</v>
      </c>
      <c r="C386" s="74" t="s">
        <v>5255</v>
      </c>
      <c r="D386" s="79" t="s">
        <v>4918</v>
      </c>
      <c r="E386" s="79">
        <v>0</v>
      </c>
      <c r="F386" s="79" t="s">
        <v>5256</v>
      </c>
      <c r="G386" s="79">
        <v>0</v>
      </c>
      <c r="H386" s="79">
        <v>0</v>
      </c>
      <c r="I386" s="79">
        <v>0</v>
      </c>
      <c r="J386" s="79">
        <v>0</v>
      </c>
      <c r="K386" s="79" t="s">
        <v>3803</v>
      </c>
      <c r="L386" s="79"/>
      <c r="M386" s="79"/>
      <c r="N386" s="79"/>
    </row>
    <row r="387" spans="1:14" s="78" customFormat="1" ht="18">
      <c r="A387" s="74">
        <v>6</v>
      </c>
      <c r="B387" s="74" t="s">
        <v>1101</v>
      </c>
      <c r="C387" s="74" t="s">
        <v>5257</v>
      </c>
      <c r="D387" s="79" t="s">
        <v>5258</v>
      </c>
      <c r="E387" s="79">
        <v>0</v>
      </c>
      <c r="F387" s="79" t="s">
        <v>5259</v>
      </c>
      <c r="G387" s="79">
        <v>0</v>
      </c>
      <c r="H387" s="79">
        <v>0</v>
      </c>
      <c r="I387" s="79">
        <v>0</v>
      </c>
      <c r="J387" s="79">
        <v>0</v>
      </c>
      <c r="K387" s="79" t="s">
        <v>3426</v>
      </c>
      <c r="L387" s="79"/>
      <c r="M387" s="79"/>
      <c r="N387" s="79"/>
    </row>
    <row r="388" spans="1:14" s="78" customFormat="1" ht="18">
      <c r="A388" s="74">
        <v>7</v>
      </c>
      <c r="B388" s="74" t="s">
        <v>1103</v>
      </c>
      <c r="C388" s="74" t="s">
        <v>5260</v>
      </c>
      <c r="D388" s="79" t="s">
        <v>5261</v>
      </c>
      <c r="E388" s="79">
        <v>0</v>
      </c>
      <c r="F388" s="79" t="s">
        <v>5262</v>
      </c>
      <c r="G388" s="79">
        <v>0</v>
      </c>
      <c r="H388" s="79">
        <v>0</v>
      </c>
      <c r="I388" s="79">
        <v>0</v>
      </c>
      <c r="J388" s="79">
        <v>0</v>
      </c>
      <c r="K388" s="79" t="s">
        <v>3465</v>
      </c>
      <c r="L388" s="79"/>
      <c r="M388" s="79"/>
      <c r="N388" s="79"/>
    </row>
    <row r="389" spans="1:14" s="78" customFormat="1" ht="18">
      <c r="A389" s="74">
        <v>8</v>
      </c>
      <c r="B389" s="74" t="s">
        <v>1071</v>
      </c>
      <c r="C389" s="74" t="s">
        <v>5263</v>
      </c>
      <c r="D389" s="79" t="s">
        <v>5264</v>
      </c>
      <c r="E389" s="79">
        <v>0</v>
      </c>
      <c r="F389" s="79" t="s">
        <v>5265</v>
      </c>
      <c r="G389" s="79">
        <v>0</v>
      </c>
      <c r="H389" s="79">
        <v>0</v>
      </c>
      <c r="I389" s="79">
        <v>0</v>
      </c>
      <c r="J389" s="79">
        <v>0</v>
      </c>
      <c r="K389" s="79" t="s">
        <v>3231</v>
      </c>
      <c r="L389" s="79"/>
      <c r="M389" s="79"/>
      <c r="N389" s="79"/>
    </row>
    <row r="390" spans="1:14" s="78" customFormat="1" ht="18">
      <c r="A390" s="74">
        <v>9</v>
      </c>
      <c r="B390" s="74" t="s">
        <v>1090</v>
      </c>
      <c r="C390" s="74" t="s">
        <v>5266</v>
      </c>
      <c r="D390" s="79" t="s">
        <v>3823</v>
      </c>
      <c r="E390" s="79">
        <v>0</v>
      </c>
      <c r="F390" s="79" t="s">
        <v>5267</v>
      </c>
      <c r="G390" s="79">
        <v>0</v>
      </c>
      <c r="H390" s="79">
        <v>0</v>
      </c>
      <c r="I390" s="79">
        <v>0</v>
      </c>
      <c r="J390" s="79">
        <v>0</v>
      </c>
      <c r="K390" s="79" t="s">
        <v>5268</v>
      </c>
      <c r="L390" s="79"/>
      <c r="M390" s="79"/>
      <c r="N390" s="79"/>
    </row>
    <row r="391" spans="1:14" s="78" customFormat="1" ht="18">
      <c r="A391" s="74">
        <v>11</v>
      </c>
      <c r="B391" s="74" t="s">
        <v>588</v>
      </c>
      <c r="C391" s="74" t="s">
        <v>5269</v>
      </c>
      <c r="D391" s="79" t="s">
        <v>5270</v>
      </c>
      <c r="E391" s="79">
        <v>0</v>
      </c>
      <c r="F391" s="79" t="s">
        <v>5271</v>
      </c>
      <c r="G391" s="79">
        <v>0</v>
      </c>
      <c r="H391" s="79">
        <v>0</v>
      </c>
      <c r="I391" s="79">
        <v>0</v>
      </c>
      <c r="J391" s="79">
        <v>0</v>
      </c>
      <c r="K391" s="79" t="s">
        <v>5272</v>
      </c>
      <c r="L391" s="79"/>
      <c r="M391" s="79"/>
      <c r="N391" s="79"/>
    </row>
    <row r="392" spans="1:14" s="78" customFormat="1" ht="18">
      <c r="A392" s="74">
        <v>13</v>
      </c>
      <c r="B392" s="74" t="s">
        <v>1078</v>
      </c>
      <c r="C392" s="74" t="s">
        <v>5273</v>
      </c>
      <c r="D392" s="79" t="s">
        <v>4694</v>
      </c>
      <c r="E392" s="79">
        <v>0</v>
      </c>
      <c r="F392" s="79" t="s">
        <v>5274</v>
      </c>
      <c r="G392" s="79">
        <v>0</v>
      </c>
      <c r="H392" s="79">
        <v>0</v>
      </c>
      <c r="I392" s="79">
        <v>0</v>
      </c>
      <c r="J392" s="79">
        <v>0</v>
      </c>
      <c r="K392" s="79" t="s">
        <v>5275</v>
      </c>
      <c r="L392" s="79"/>
      <c r="M392" s="79"/>
      <c r="N392" s="79"/>
    </row>
    <row r="393" spans="1:14" s="78" customFormat="1" ht="18">
      <c r="A393" s="74">
        <v>15</v>
      </c>
      <c r="B393" s="74" t="s">
        <v>1080</v>
      </c>
      <c r="C393" s="74" t="s">
        <v>5276</v>
      </c>
      <c r="D393" s="79" t="s">
        <v>4669</v>
      </c>
      <c r="E393" s="79">
        <v>0</v>
      </c>
      <c r="F393" s="79" t="s">
        <v>5277</v>
      </c>
      <c r="G393" s="79">
        <v>0</v>
      </c>
      <c r="H393" s="79">
        <v>0</v>
      </c>
      <c r="I393" s="79">
        <v>0</v>
      </c>
      <c r="J393" s="79">
        <v>0</v>
      </c>
      <c r="K393" s="79" t="s">
        <v>3231</v>
      </c>
      <c r="L393" s="79"/>
      <c r="M393" s="79"/>
      <c r="N393" s="79"/>
    </row>
    <row r="394" spans="1:14" s="78" customFormat="1" ht="18">
      <c r="A394" s="74">
        <v>16</v>
      </c>
      <c r="B394" s="74" t="s">
        <v>1088</v>
      </c>
      <c r="C394" s="74" t="s">
        <v>5278</v>
      </c>
      <c r="D394" s="79" t="s">
        <v>5279</v>
      </c>
      <c r="E394" s="79">
        <v>0</v>
      </c>
      <c r="F394" s="79" t="s">
        <v>5280</v>
      </c>
      <c r="G394" s="79">
        <v>0</v>
      </c>
      <c r="H394" s="79">
        <v>0</v>
      </c>
      <c r="I394" s="79">
        <v>0</v>
      </c>
      <c r="J394" s="79">
        <v>0</v>
      </c>
      <c r="K394" s="79" t="s">
        <v>3231</v>
      </c>
      <c r="L394" s="79"/>
      <c r="M394" s="79"/>
      <c r="N394" s="79"/>
    </row>
    <row r="395" spans="1:14" s="78" customFormat="1" ht="18">
      <c r="A395" s="74">
        <v>17</v>
      </c>
      <c r="B395" s="74" t="s">
        <v>1082</v>
      </c>
      <c r="C395" s="74" t="s">
        <v>5281</v>
      </c>
      <c r="D395" s="79" t="s">
        <v>5282</v>
      </c>
      <c r="E395" s="79">
        <v>0</v>
      </c>
      <c r="F395" s="79" t="s">
        <v>5283</v>
      </c>
      <c r="G395" s="79">
        <v>0</v>
      </c>
      <c r="H395" s="79">
        <v>0</v>
      </c>
      <c r="I395" s="79">
        <v>0</v>
      </c>
      <c r="J395" s="79">
        <v>0</v>
      </c>
      <c r="K395" s="79" t="s">
        <v>5284</v>
      </c>
      <c r="L395" s="79"/>
      <c r="M395" s="79"/>
      <c r="N395" s="79"/>
    </row>
    <row r="396" spans="1:14" s="78" customFormat="1" ht="18">
      <c r="A396" s="74">
        <v>18</v>
      </c>
      <c r="B396" s="74" t="s">
        <v>1324</v>
      </c>
      <c r="C396" s="74" t="s">
        <v>5285</v>
      </c>
      <c r="D396" s="79" t="s">
        <v>4049</v>
      </c>
      <c r="E396" s="79">
        <v>0</v>
      </c>
      <c r="F396" s="79" t="s">
        <v>5286</v>
      </c>
      <c r="G396" s="79">
        <v>0</v>
      </c>
      <c r="H396" s="79">
        <v>0</v>
      </c>
      <c r="I396" s="79">
        <v>0</v>
      </c>
      <c r="J396" s="79">
        <v>0</v>
      </c>
      <c r="K396" s="79" t="s">
        <v>4493</v>
      </c>
      <c r="L396" s="79"/>
      <c r="M396" s="79"/>
      <c r="N396" s="79"/>
    </row>
    <row r="397" spans="1:14" s="78" customFormat="1" ht="18">
      <c r="A397" s="74">
        <v>20</v>
      </c>
      <c r="B397" s="74" t="s">
        <v>5287</v>
      </c>
      <c r="C397" s="74" t="s">
        <v>5288</v>
      </c>
      <c r="D397" s="79" t="s">
        <v>4012</v>
      </c>
      <c r="E397" s="79">
        <v>0</v>
      </c>
      <c r="F397" s="79" t="s">
        <v>5289</v>
      </c>
      <c r="G397" s="79">
        <v>0</v>
      </c>
      <c r="H397" s="79">
        <v>0</v>
      </c>
      <c r="I397" s="79">
        <v>0</v>
      </c>
      <c r="J397" s="79">
        <v>0</v>
      </c>
      <c r="K397" s="79" t="s">
        <v>5290</v>
      </c>
      <c r="L397" s="79"/>
      <c r="M397" s="79"/>
      <c r="N397" s="79"/>
    </row>
    <row r="398" spans="1:14" s="78" customFormat="1" ht="18">
      <c r="A398" s="74">
        <v>21</v>
      </c>
      <c r="B398" s="74" t="s">
        <v>5291</v>
      </c>
      <c r="C398" s="74" t="s">
        <v>5292</v>
      </c>
      <c r="D398" s="79" t="s">
        <v>4544</v>
      </c>
      <c r="E398" s="79">
        <v>0</v>
      </c>
      <c r="F398" s="79" t="s">
        <v>5293</v>
      </c>
      <c r="G398" s="79">
        <v>0</v>
      </c>
      <c r="H398" s="79">
        <v>0</v>
      </c>
      <c r="I398" s="79">
        <v>0</v>
      </c>
      <c r="J398" s="79">
        <v>0</v>
      </c>
      <c r="K398" s="79" t="s">
        <v>5294</v>
      </c>
      <c r="L398" s="79"/>
      <c r="M398" s="79"/>
      <c r="N398" s="79"/>
    </row>
    <row r="399" spans="1:14" s="78" customFormat="1" ht="18">
      <c r="A399" s="74">
        <v>22</v>
      </c>
      <c r="B399" s="74" t="s">
        <v>5295</v>
      </c>
      <c r="C399" s="74" t="s">
        <v>5296</v>
      </c>
      <c r="D399" s="79" t="s">
        <v>5297</v>
      </c>
      <c r="E399" s="79">
        <v>0</v>
      </c>
      <c r="F399" s="79" t="s">
        <v>5298</v>
      </c>
      <c r="G399" s="79">
        <v>0</v>
      </c>
      <c r="H399" s="79">
        <v>0</v>
      </c>
      <c r="I399" s="79">
        <v>0</v>
      </c>
      <c r="J399" s="79">
        <v>0</v>
      </c>
      <c r="K399" s="79" t="s">
        <v>4271</v>
      </c>
      <c r="L399" s="79"/>
      <c r="M399" s="79"/>
      <c r="N399" s="79"/>
    </row>
    <row r="400" spans="1:14" s="78" customFormat="1" ht="18">
      <c r="A400" s="74">
        <v>24</v>
      </c>
      <c r="B400" s="74" t="s">
        <v>84</v>
      </c>
      <c r="C400" s="74" t="s">
        <v>5299</v>
      </c>
      <c r="D400" s="79" t="s">
        <v>4544</v>
      </c>
      <c r="E400" s="79">
        <v>0</v>
      </c>
      <c r="F400" s="79" t="s">
        <v>5300</v>
      </c>
      <c r="G400" s="79">
        <v>0</v>
      </c>
      <c r="H400" s="79">
        <v>0</v>
      </c>
      <c r="I400" s="79">
        <v>0</v>
      </c>
      <c r="J400" s="79">
        <v>0</v>
      </c>
      <c r="K400" s="79" t="s">
        <v>3272</v>
      </c>
      <c r="L400" s="79"/>
      <c r="M400" s="79"/>
      <c r="N400" s="79"/>
    </row>
    <row r="401" spans="1:14" s="78" customFormat="1" ht="18">
      <c r="A401" s="74">
        <v>25</v>
      </c>
      <c r="B401" s="74" t="s">
        <v>5301</v>
      </c>
      <c r="C401" s="74" t="s">
        <v>5302</v>
      </c>
      <c r="D401" s="79" t="s">
        <v>5303</v>
      </c>
      <c r="E401" s="79">
        <v>0</v>
      </c>
      <c r="F401" s="79" t="s">
        <v>5304</v>
      </c>
      <c r="G401" s="79">
        <v>0</v>
      </c>
      <c r="H401" s="79">
        <v>0</v>
      </c>
      <c r="I401" s="79">
        <v>0</v>
      </c>
      <c r="J401" s="79">
        <v>0</v>
      </c>
      <c r="K401" s="79" t="s">
        <v>4183</v>
      </c>
      <c r="L401" s="79"/>
      <c r="M401" s="79"/>
      <c r="N401" s="79"/>
    </row>
    <row r="402" spans="1:14" s="78" customFormat="1" ht="18">
      <c r="A402" s="74">
        <v>26</v>
      </c>
      <c r="B402" s="74" t="s">
        <v>726</v>
      </c>
      <c r="C402" s="74" t="s">
        <v>5305</v>
      </c>
      <c r="D402" s="79" t="s">
        <v>5306</v>
      </c>
      <c r="E402" s="79">
        <v>0</v>
      </c>
      <c r="F402" s="79" t="s">
        <v>5307</v>
      </c>
      <c r="G402" s="79">
        <v>0</v>
      </c>
      <c r="H402" s="79">
        <v>0</v>
      </c>
      <c r="I402" s="79">
        <v>0</v>
      </c>
      <c r="J402" s="79">
        <v>0</v>
      </c>
      <c r="K402" s="79" t="s">
        <v>4508</v>
      </c>
      <c r="L402" s="79"/>
      <c r="M402" s="79"/>
      <c r="N402" s="79"/>
    </row>
    <row r="403" spans="1:14" s="78" customFormat="1" ht="18">
      <c r="A403" s="74">
        <v>27</v>
      </c>
      <c r="B403" s="74" t="s">
        <v>5308</v>
      </c>
      <c r="C403" s="74" t="s">
        <v>5309</v>
      </c>
      <c r="D403" s="79" t="s">
        <v>4149</v>
      </c>
      <c r="E403" s="79">
        <v>0</v>
      </c>
      <c r="F403" s="79" t="s">
        <v>5310</v>
      </c>
      <c r="G403" s="79">
        <v>0</v>
      </c>
      <c r="H403" s="79">
        <v>0</v>
      </c>
      <c r="I403" s="79">
        <v>0</v>
      </c>
      <c r="J403" s="79">
        <v>0</v>
      </c>
      <c r="K403" s="79" t="s">
        <v>5272</v>
      </c>
      <c r="L403" s="79"/>
      <c r="M403" s="79"/>
      <c r="N403" s="79"/>
    </row>
    <row r="404" spans="1:14" s="78" customFormat="1" ht="18">
      <c r="A404" s="74">
        <v>28</v>
      </c>
      <c r="B404" s="74" t="s">
        <v>5311</v>
      </c>
      <c r="C404" s="74" t="s">
        <v>5312</v>
      </c>
      <c r="D404" s="79" t="s">
        <v>4593</v>
      </c>
      <c r="E404" s="79">
        <v>0</v>
      </c>
      <c r="F404" s="79" t="s">
        <v>5313</v>
      </c>
      <c r="G404" s="79">
        <v>0</v>
      </c>
      <c r="H404" s="79">
        <v>0</v>
      </c>
      <c r="I404" s="79">
        <v>0</v>
      </c>
      <c r="J404" s="79">
        <v>0</v>
      </c>
      <c r="K404" s="79" t="s">
        <v>4099</v>
      </c>
      <c r="L404" s="79"/>
      <c r="M404" s="79"/>
      <c r="N404" s="79"/>
    </row>
    <row r="405" spans="1:14" s="78" customFormat="1" ht="18">
      <c r="A405" s="74">
        <v>30</v>
      </c>
      <c r="B405" s="74" t="s">
        <v>1074</v>
      </c>
      <c r="C405" s="74" t="s">
        <v>5314</v>
      </c>
      <c r="D405" s="79" t="s">
        <v>5315</v>
      </c>
      <c r="E405" s="79">
        <v>0</v>
      </c>
      <c r="F405" s="79" t="s">
        <v>5316</v>
      </c>
      <c r="G405" s="79">
        <v>0</v>
      </c>
      <c r="H405" s="79">
        <v>0</v>
      </c>
      <c r="I405" s="79">
        <v>0</v>
      </c>
      <c r="J405" s="79">
        <v>0</v>
      </c>
      <c r="K405" s="79" t="s">
        <v>5317</v>
      </c>
      <c r="L405" s="79"/>
      <c r="M405" s="79"/>
      <c r="N405" s="79"/>
    </row>
    <row r="406" spans="1:14" s="78" customFormat="1" ht="18">
      <c r="A406" s="74">
        <v>31</v>
      </c>
      <c r="B406" s="74" t="s">
        <v>267</v>
      </c>
      <c r="C406" s="74" t="s">
        <v>5318</v>
      </c>
      <c r="D406" s="79" t="s">
        <v>4992</v>
      </c>
      <c r="E406" s="79">
        <v>0</v>
      </c>
      <c r="F406" s="79" t="s">
        <v>5319</v>
      </c>
      <c r="G406" s="79">
        <v>0</v>
      </c>
      <c r="H406" s="79">
        <v>0</v>
      </c>
      <c r="I406" s="79">
        <v>0</v>
      </c>
      <c r="J406" s="79">
        <v>0</v>
      </c>
      <c r="K406" s="79" t="s">
        <v>3568</v>
      </c>
      <c r="L406" s="79"/>
      <c r="M406" s="79"/>
      <c r="N406" s="79"/>
    </row>
    <row r="407" spans="1:14" s="78" customFormat="1" ht="18">
      <c r="A407" s="74">
        <v>32</v>
      </c>
      <c r="B407" s="74" t="s">
        <v>5320</v>
      </c>
      <c r="C407" s="74" t="s">
        <v>5321</v>
      </c>
      <c r="D407" s="79" t="s">
        <v>5322</v>
      </c>
      <c r="E407" s="79">
        <v>0</v>
      </c>
      <c r="F407" s="79" t="s">
        <v>5323</v>
      </c>
      <c r="G407" s="79">
        <v>0</v>
      </c>
      <c r="H407" s="79">
        <v>0</v>
      </c>
      <c r="I407" s="79">
        <v>0</v>
      </c>
      <c r="J407" s="79">
        <v>0</v>
      </c>
      <c r="K407" s="79" t="s">
        <v>5324</v>
      </c>
      <c r="L407" s="79"/>
      <c r="M407" s="79"/>
      <c r="N407" s="79"/>
    </row>
    <row r="408" spans="1:14" s="78" customFormat="1" ht="18">
      <c r="A408" s="74">
        <v>33</v>
      </c>
      <c r="B408" s="74" t="s">
        <v>5325</v>
      </c>
      <c r="C408" s="74" t="s">
        <v>5326</v>
      </c>
      <c r="D408" s="79" t="s">
        <v>4888</v>
      </c>
      <c r="E408" s="79">
        <v>0</v>
      </c>
      <c r="F408" s="79" t="s">
        <v>5327</v>
      </c>
      <c r="G408" s="79">
        <v>0</v>
      </c>
      <c r="H408" s="79">
        <v>0</v>
      </c>
      <c r="I408" s="79">
        <v>0</v>
      </c>
      <c r="J408" s="79">
        <v>0</v>
      </c>
      <c r="K408" s="79" t="s">
        <v>3381</v>
      </c>
      <c r="L408" s="79"/>
      <c r="M408" s="79"/>
      <c r="N408" s="79"/>
    </row>
    <row r="409" spans="1:14" s="78" customFormat="1" ht="18">
      <c r="A409" s="74">
        <v>34</v>
      </c>
      <c r="B409" s="74" t="s">
        <v>45</v>
      </c>
      <c r="C409" s="74" t="s">
        <v>5328</v>
      </c>
      <c r="D409" s="79" t="s">
        <v>5329</v>
      </c>
      <c r="E409" s="79">
        <v>0</v>
      </c>
      <c r="F409" s="79" t="s">
        <v>5330</v>
      </c>
      <c r="G409" s="79">
        <v>0</v>
      </c>
      <c r="H409" s="79">
        <v>0</v>
      </c>
      <c r="I409" s="79">
        <v>0</v>
      </c>
      <c r="J409" s="79">
        <v>0</v>
      </c>
      <c r="K409" s="79" t="s">
        <v>5331</v>
      </c>
      <c r="L409" s="79"/>
      <c r="M409" s="79"/>
      <c r="N409" s="79"/>
    </row>
    <row r="410" spans="1:14" s="78" customFormat="1" ht="18">
      <c r="A410" s="74">
        <v>35</v>
      </c>
      <c r="B410" s="74" t="s">
        <v>5332</v>
      </c>
      <c r="C410" s="74" t="s">
        <v>5333</v>
      </c>
      <c r="D410" s="79" t="s">
        <v>3805</v>
      </c>
      <c r="E410" s="79">
        <v>0</v>
      </c>
      <c r="F410" s="79" t="s">
        <v>5334</v>
      </c>
      <c r="G410" s="79">
        <v>0</v>
      </c>
      <c r="H410" s="79">
        <v>0</v>
      </c>
      <c r="I410" s="79">
        <v>0</v>
      </c>
      <c r="J410" s="79">
        <v>0</v>
      </c>
      <c r="K410" s="79" t="s">
        <v>5335</v>
      </c>
      <c r="L410" s="79"/>
      <c r="M410" s="79"/>
      <c r="N410" s="79"/>
    </row>
    <row r="411" spans="1:14" s="78" customFormat="1" ht="18">
      <c r="A411" s="74">
        <v>36</v>
      </c>
      <c r="B411" s="74" t="s">
        <v>1093</v>
      </c>
      <c r="C411" s="74" t="s">
        <v>5336</v>
      </c>
      <c r="D411" s="79" t="e">
        <v>#N/A</v>
      </c>
      <c r="E411" s="79" t="e">
        <v>#N/A</v>
      </c>
      <c r="F411" s="79" t="e">
        <v>#N/A</v>
      </c>
      <c r="G411" s="79" t="e">
        <v>#N/A</v>
      </c>
      <c r="H411" s="79" t="e">
        <v>#N/A</v>
      </c>
      <c r="I411" s="79" t="e">
        <v>#N/A</v>
      </c>
      <c r="J411" s="79" t="e">
        <v>#N/A</v>
      </c>
      <c r="K411" s="79" t="e">
        <v>#N/A</v>
      </c>
      <c r="L411" s="79"/>
      <c r="M411" s="79"/>
      <c r="N411" s="79"/>
    </row>
    <row r="412" spans="1:14" s="78" customFormat="1" ht="18">
      <c r="A412" s="74">
        <v>37</v>
      </c>
      <c r="B412" s="74" t="s">
        <v>5337</v>
      </c>
      <c r="C412" s="74" t="s">
        <v>5338</v>
      </c>
      <c r="D412" s="79" t="s">
        <v>4213</v>
      </c>
      <c r="E412" s="79">
        <v>0</v>
      </c>
      <c r="F412" s="79" t="s">
        <v>5339</v>
      </c>
      <c r="G412" s="79">
        <v>0</v>
      </c>
      <c r="H412" s="79">
        <v>0</v>
      </c>
      <c r="I412" s="79">
        <v>0</v>
      </c>
      <c r="J412" s="79">
        <v>0</v>
      </c>
      <c r="K412" s="79" t="s">
        <v>5340</v>
      </c>
      <c r="L412" s="79"/>
      <c r="M412" s="79"/>
      <c r="N412" s="79"/>
    </row>
    <row r="413" spans="1:14">
      <c r="B413" s="72">
        <f>COUNTA(B2:B412)</f>
        <v>356</v>
      </c>
    </row>
  </sheetData>
  <autoFilter ref="A1:XED412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FD65-3BCD-4F5A-BDE9-7A9A3D2745D9}">
  <sheetPr>
    <tabColor rgb="FFFF0000"/>
    <pageSetUpPr fitToPage="1"/>
  </sheetPr>
  <dimension ref="A1:N466"/>
  <sheetViews>
    <sheetView zoomScale="70" zoomScaleNormal="70" workbookViewId="0">
      <pane xSplit="3" ySplit="1" topLeftCell="D426" activePane="bottomRight" state="frozen"/>
      <selection pane="topRight" activeCell="D1" sqref="D1"/>
      <selection pane="bottomLeft" activeCell="A2" sqref="A2"/>
      <selection pane="bottomRight" activeCell="C445" sqref="C445"/>
    </sheetView>
  </sheetViews>
  <sheetFormatPr defaultColWidth="8.8984375" defaultRowHeight="13.8"/>
  <cols>
    <col min="1" max="1" width="4.8984375" style="72" customWidth="1"/>
    <col min="2" max="2" width="30.09765625" style="72" customWidth="1"/>
    <col min="3" max="3" width="12" style="72" customWidth="1"/>
    <col min="4" max="5" width="13.69921875" style="79" customWidth="1"/>
    <col min="6" max="6" width="15.09765625" style="79" customWidth="1"/>
    <col min="7" max="7" width="23.3984375" style="79" customWidth="1"/>
    <col min="8" max="8" width="13.69921875" style="79" customWidth="1"/>
    <col min="9" max="9" width="23.3984375" style="79" customWidth="1"/>
    <col min="10" max="10" width="13.69921875" style="79" customWidth="1"/>
    <col min="11" max="11" width="86.09765625" style="79" customWidth="1"/>
    <col min="12" max="13" width="13.69921875" style="79" customWidth="1"/>
    <col min="14" max="14" width="15.09765625" style="79" customWidth="1"/>
    <col min="15" max="16384" width="8.8984375" style="72"/>
  </cols>
  <sheetData>
    <row r="1" spans="1:14" ht="15.6">
      <c r="A1" s="71" t="s">
        <v>3179</v>
      </c>
      <c r="B1" s="71" t="s">
        <v>3180</v>
      </c>
      <c r="C1" s="71" t="s">
        <v>3181</v>
      </c>
      <c r="D1" s="73" t="s">
        <v>5520</v>
      </c>
      <c r="E1" s="73" t="s">
        <v>5521</v>
      </c>
      <c r="F1" s="73" t="s">
        <v>5522</v>
      </c>
      <c r="G1" s="73" t="s">
        <v>5523</v>
      </c>
      <c r="H1" s="73" t="s">
        <v>5524</v>
      </c>
      <c r="I1" s="73" t="s">
        <v>5525</v>
      </c>
      <c r="J1" s="73" t="s">
        <v>5526</v>
      </c>
      <c r="K1" s="73" t="s">
        <v>3178</v>
      </c>
      <c r="L1" s="73"/>
      <c r="M1" s="73"/>
      <c r="N1" s="73"/>
    </row>
    <row r="2" spans="1:14" s="78" customFormat="1" ht="18">
      <c r="A2" s="74">
        <v>1</v>
      </c>
      <c r="B2" s="74" t="s">
        <v>649</v>
      </c>
      <c r="C2" s="74" t="s">
        <v>3798</v>
      </c>
      <c r="D2" s="75" t="s">
        <v>3285</v>
      </c>
      <c r="E2" s="76" t="s">
        <v>3184</v>
      </c>
      <c r="F2" s="77" t="s">
        <v>3286</v>
      </c>
      <c r="G2" s="76" t="s">
        <v>3287</v>
      </c>
      <c r="H2" s="77" t="s">
        <v>3288</v>
      </c>
      <c r="I2" s="76" t="s">
        <v>3289</v>
      </c>
      <c r="J2" s="77" t="s">
        <v>3286</v>
      </c>
      <c r="K2" s="76" t="s">
        <v>3290</v>
      </c>
      <c r="L2" s="75"/>
      <c r="M2" s="76"/>
      <c r="N2" s="77"/>
    </row>
    <row r="3" spans="1:14" s="78" customFormat="1" ht="18">
      <c r="A3" s="74">
        <v>2</v>
      </c>
      <c r="B3" s="74" t="s">
        <v>639</v>
      </c>
      <c r="C3" s="74" t="s">
        <v>3804</v>
      </c>
      <c r="D3" s="75" t="s">
        <v>3267</v>
      </c>
      <c r="E3" s="76" t="s">
        <v>3184</v>
      </c>
      <c r="F3" s="77" t="s">
        <v>3268</v>
      </c>
      <c r="G3" s="76" t="s">
        <v>3269</v>
      </c>
      <c r="H3" s="77" t="s">
        <v>3270</v>
      </c>
      <c r="I3" s="76" t="s">
        <v>3271</v>
      </c>
      <c r="J3" s="77" t="s">
        <v>3268</v>
      </c>
      <c r="K3" s="76" t="s">
        <v>3272</v>
      </c>
      <c r="L3" s="75"/>
      <c r="M3" s="76"/>
      <c r="N3" s="77"/>
    </row>
    <row r="4" spans="1:14" s="78" customFormat="1" ht="18">
      <c r="A4" s="74">
        <v>3</v>
      </c>
      <c r="B4" s="74" t="s">
        <v>647</v>
      </c>
      <c r="C4" s="74" t="s">
        <v>3810</v>
      </c>
      <c r="D4" s="75" t="s">
        <v>3198</v>
      </c>
      <c r="E4" s="76" t="s">
        <v>3184</v>
      </c>
      <c r="F4" s="77" t="s">
        <v>3199</v>
      </c>
      <c r="G4" s="76" t="s">
        <v>3200</v>
      </c>
      <c r="H4" s="77" t="s">
        <v>3201</v>
      </c>
      <c r="I4" s="76" t="s">
        <v>3202</v>
      </c>
      <c r="J4" s="77" t="s">
        <v>3199</v>
      </c>
      <c r="K4" s="76" t="s">
        <v>3203</v>
      </c>
      <c r="L4" s="75"/>
      <c r="M4" s="76"/>
      <c r="N4" s="77"/>
    </row>
    <row r="5" spans="1:14" s="78" customFormat="1" ht="18">
      <c r="A5" s="74">
        <v>4</v>
      </c>
      <c r="B5" s="74" t="s">
        <v>672</v>
      </c>
      <c r="C5" s="74" t="s">
        <v>3815</v>
      </c>
      <c r="D5" s="75" t="s">
        <v>3262</v>
      </c>
      <c r="E5" s="76" t="s">
        <v>3184</v>
      </c>
      <c r="F5" s="77" t="s">
        <v>3263</v>
      </c>
      <c r="G5" s="76" t="s">
        <v>3264</v>
      </c>
      <c r="H5" s="77" t="s">
        <v>3263</v>
      </c>
      <c r="I5" s="76" t="s">
        <v>3265</v>
      </c>
      <c r="J5" s="77" t="s">
        <v>3263</v>
      </c>
      <c r="K5" s="76" t="s">
        <v>3266</v>
      </c>
      <c r="L5" s="75"/>
      <c r="M5" s="76"/>
      <c r="N5" s="77"/>
    </row>
    <row r="6" spans="1:14" s="78" customFormat="1" ht="18">
      <c r="A6" s="74">
        <v>5</v>
      </c>
      <c r="B6" s="74" t="s">
        <v>653</v>
      </c>
      <c r="C6" s="74" t="s">
        <v>3822</v>
      </c>
      <c r="D6" s="75" t="s">
        <v>3245</v>
      </c>
      <c r="E6" s="76" t="s">
        <v>3184</v>
      </c>
      <c r="F6" s="77" t="s">
        <v>3246</v>
      </c>
      <c r="G6" s="76" t="s">
        <v>3247</v>
      </c>
      <c r="H6" s="77" t="s">
        <v>3248</v>
      </c>
      <c r="I6" s="76" t="s">
        <v>3249</v>
      </c>
      <c r="J6" s="77" t="s">
        <v>3246</v>
      </c>
      <c r="K6" s="76" t="s">
        <v>3250</v>
      </c>
      <c r="L6" s="75"/>
      <c r="M6" s="76"/>
      <c r="N6" s="77"/>
    </row>
    <row r="7" spans="1:14" s="78" customFormat="1" ht="18">
      <c r="A7" s="74">
        <v>6</v>
      </c>
      <c r="B7" s="74" t="s">
        <v>668</v>
      </c>
      <c r="C7" s="74" t="s">
        <v>3828</v>
      </c>
      <c r="D7" s="75" t="s">
        <v>3183</v>
      </c>
      <c r="E7" s="76" t="s">
        <v>3184</v>
      </c>
      <c r="F7" s="77" t="s">
        <v>3185</v>
      </c>
      <c r="G7" s="76" t="s">
        <v>3186</v>
      </c>
      <c r="H7" s="77" t="s">
        <v>3187</v>
      </c>
      <c r="I7" s="76" t="s">
        <v>3188</v>
      </c>
      <c r="J7" s="77" t="s">
        <v>3185</v>
      </c>
      <c r="K7" s="76" t="s">
        <v>3189</v>
      </c>
      <c r="L7" s="75"/>
      <c r="M7" s="76"/>
      <c r="N7" s="77"/>
    </row>
    <row r="8" spans="1:14" s="78" customFormat="1" ht="18">
      <c r="A8" s="74">
        <v>7</v>
      </c>
      <c r="B8" s="74" t="s">
        <v>637</v>
      </c>
      <c r="C8" s="74" t="s">
        <v>3835</v>
      </c>
      <c r="D8" s="75" t="s">
        <v>3221</v>
      </c>
      <c r="E8" s="76" t="s">
        <v>3184</v>
      </c>
      <c r="F8" s="77" t="s">
        <v>3222</v>
      </c>
      <c r="G8" s="76" t="s">
        <v>3223</v>
      </c>
      <c r="H8" s="77" t="s">
        <v>3222</v>
      </c>
      <c r="I8" s="76" t="s">
        <v>3224</v>
      </c>
      <c r="J8" s="77" t="s">
        <v>3225</v>
      </c>
      <c r="K8" s="76" t="s">
        <v>3226</v>
      </c>
      <c r="L8" s="75"/>
      <c r="M8" s="76"/>
      <c r="N8" s="77"/>
    </row>
    <row r="9" spans="1:14" s="78" customFormat="1" ht="18">
      <c r="A9" s="74">
        <v>8</v>
      </c>
      <c r="B9" s="74" t="s">
        <v>666</v>
      </c>
      <c r="C9" s="74" t="s">
        <v>5527</v>
      </c>
      <c r="D9" s="75" t="s">
        <v>3191</v>
      </c>
      <c r="E9" s="76" t="s">
        <v>3184</v>
      </c>
      <c r="F9" s="77" t="s">
        <v>3192</v>
      </c>
      <c r="G9" s="76" t="s">
        <v>3193</v>
      </c>
      <c r="H9" s="77" t="s">
        <v>3194</v>
      </c>
      <c r="I9" s="76" t="s">
        <v>3195</v>
      </c>
      <c r="J9" s="77" t="s">
        <v>3192</v>
      </c>
      <c r="K9" s="76" t="s">
        <v>3196</v>
      </c>
      <c r="L9" s="75"/>
      <c r="M9" s="76"/>
      <c r="N9" s="77"/>
    </row>
    <row r="10" spans="1:14" s="78" customFormat="1" ht="18">
      <c r="A10" s="74">
        <v>9</v>
      </c>
      <c r="B10" s="74" t="s">
        <v>645</v>
      </c>
      <c r="C10" s="74" t="s">
        <v>3840</v>
      </c>
      <c r="D10" s="75" t="s">
        <v>3279</v>
      </c>
      <c r="E10" s="76" t="s">
        <v>3213</v>
      </c>
      <c r="F10" s="77" t="s">
        <v>3280</v>
      </c>
      <c r="G10" s="76" t="s">
        <v>3281</v>
      </c>
      <c r="H10" s="77" t="s">
        <v>3280</v>
      </c>
      <c r="I10" s="76" t="s">
        <v>3282</v>
      </c>
      <c r="J10" s="77" t="s">
        <v>3283</v>
      </c>
      <c r="K10" s="76" t="s">
        <v>3284</v>
      </c>
      <c r="L10" s="75"/>
      <c r="M10" s="76"/>
      <c r="N10" s="77"/>
    </row>
    <row r="11" spans="1:14" s="78" customFormat="1" ht="18">
      <c r="A11" s="74">
        <v>10</v>
      </c>
      <c r="B11" s="74" t="s">
        <v>651</v>
      </c>
      <c r="C11" s="74" t="s">
        <v>3846</v>
      </c>
      <c r="D11" s="75" t="s">
        <v>3251</v>
      </c>
      <c r="E11" s="76" t="s">
        <v>3213</v>
      </c>
      <c r="F11" s="77" t="s">
        <v>3291</v>
      </c>
      <c r="G11" s="76" t="s">
        <v>3292</v>
      </c>
      <c r="H11" s="77" t="s">
        <v>3293</v>
      </c>
      <c r="I11" s="76" t="s">
        <v>49</v>
      </c>
      <c r="J11" s="77" t="s">
        <v>3293</v>
      </c>
      <c r="K11" s="76" t="s">
        <v>3294</v>
      </c>
      <c r="L11" s="75"/>
      <c r="M11" s="76"/>
      <c r="N11" s="77"/>
    </row>
    <row r="12" spans="1:14" s="78" customFormat="1" ht="18">
      <c r="A12" s="74">
        <v>11</v>
      </c>
      <c r="B12" s="74" t="s">
        <v>641</v>
      </c>
      <c r="C12" s="74" t="s">
        <v>3852</v>
      </c>
      <c r="D12" s="75" t="s">
        <v>3234</v>
      </c>
      <c r="E12" s="76" t="s">
        <v>3213</v>
      </c>
      <c r="F12" s="77" t="s">
        <v>3235</v>
      </c>
      <c r="G12" s="76" t="s">
        <v>3236</v>
      </c>
      <c r="H12" s="77" t="s">
        <v>3235</v>
      </c>
      <c r="I12" s="76" t="s">
        <v>3237</v>
      </c>
      <c r="J12" s="77" t="s">
        <v>3235</v>
      </c>
      <c r="K12" s="76" t="s">
        <v>3238</v>
      </c>
      <c r="L12" s="75"/>
      <c r="M12" s="76"/>
      <c r="N12" s="77"/>
    </row>
    <row r="13" spans="1:14" s="78" customFormat="1" ht="18">
      <c r="A13" s="74">
        <v>13</v>
      </c>
      <c r="B13" s="74" t="s">
        <v>670</v>
      </c>
      <c r="C13" s="74" t="s">
        <v>3866</v>
      </c>
      <c r="D13" s="75" t="s">
        <v>3212</v>
      </c>
      <c r="E13" s="76" t="s">
        <v>3213</v>
      </c>
      <c r="F13" s="77" t="s">
        <v>3214</v>
      </c>
      <c r="G13" s="76" t="s">
        <v>3215</v>
      </c>
      <c r="H13" s="77">
        <v>0</v>
      </c>
      <c r="I13" s="76" t="s">
        <v>3216</v>
      </c>
      <c r="J13" s="77" t="s">
        <v>3214</v>
      </c>
      <c r="K13" s="76" t="s">
        <v>3217</v>
      </c>
      <c r="L13" s="75"/>
      <c r="M13" s="76"/>
      <c r="N13" s="77"/>
    </row>
    <row r="14" spans="1:14" s="78" customFormat="1" ht="18">
      <c r="A14" s="74">
        <v>15</v>
      </c>
      <c r="B14" s="74" t="s">
        <v>207</v>
      </c>
      <c r="C14" s="74" t="s">
        <v>3878</v>
      </c>
      <c r="D14" s="75" t="s">
        <v>3392</v>
      </c>
      <c r="E14" s="76" t="s">
        <v>3184</v>
      </c>
      <c r="F14" s="77" t="s">
        <v>5528</v>
      </c>
      <c r="G14" s="76" t="s">
        <v>5529</v>
      </c>
      <c r="H14" s="77" t="s">
        <v>5528</v>
      </c>
      <c r="I14" s="76" t="s">
        <v>5530</v>
      </c>
      <c r="J14" s="77" t="s">
        <v>5531</v>
      </c>
      <c r="K14" s="76" t="s">
        <v>5532</v>
      </c>
      <c r="L14" s="75"/>
      <c r="M14" s="76"/>
      <c r="N14" s="77"/>
    </row>
    <row r="15" spans="1:14" s="78" customFormat="1" ht="18">
      <c r="A15" s="74">
        <v>17</v>
      </c>
      <c r="B15" s="74" t="s">
        <v>503</v>
      </c>
      <c r="C15" s="74" t="s">
        <v>3892</v>
      </c>
      <c r="D15" s="75" t="s">
        <v>3256</v>
      </c>
      <c r="E15" s="76" t="s">
        <v>3184</v>
      </c>
      <c r="F15" s="77" t="s">
        <v>3257</v>
      </c>
      <c r="G15" s="76" t="s">
        <v>3258</v>
      </c>
      <c r="H15" s="77" t="s">
        <v>3259</v>
      </c>
      <c r="I15" s="76" t="s">
        <v>3260</v>
      </c>
      <c r="J15" s="77" t="s">
        <v>3257</v>
      </c>
      <c r="K15" s="76" t="s">
        <v>3261</v>
      </c>
      <c r="L15" s="75"/>
      <c r="M15" s="76"/>
      <c r="N15" s="77"/>
    </row>
    <row r="16" spans="1:14" s="78" customFormat="1" ht="18">
      <c r="A16" s="74">
        <v>18</v>
      </c>
      <c r="B16" s="74" t="s">
        <v>643</v>
      </c>
      <c r="C16" s="74" t="s">
        <v>3899</v>
      </c>
      <c r="D16" s="75" t="s">
        <v>3273</v>
      </c>
      <c r="E16" s="76" t="s">
        <v>3184</v>
      </c>
      <c r="F16" s="77" t="s">
        <v>3274</v>
      </c>
      <c r="G16" s="76" t="s">
        <v>3275</v>
      </c>
      <c r="H16" s="77" t="s">
        <v>3276</v>
      </c>
      <c r="I16" s="76" t="s">
        <v>3277</v>
      </c>
      <c r="J16" s="77" t="s">
        <v>3274</v>
      </c>
      <c r="K16" s="76" t="s">
        <v>3278</v>
      </c>
      <c r="L16" s="75"/>
      <c r="M16" s="76"/>
      <c r="N16" s="77"/>
    </row>
    <row r="17" spans="1:14" s="78" customFormat="1" ht="18">
      <c r="A17" s="74">
        <v>19</v>
      </c>
      <c r="B17" s="74" t="s">
        <v>655</v>
      </c>
      <c r="C17" s="74" t="s">
        <v>3905</v>
      </c>
      <c r="D17" s="75" t="s">
        <v>3295</v>
      </c>
      <c r="E17" s="76" t="s">
        <v>3213</v>
      </c>
      <c r="F17" s="77" t="s">
        <v>3296</v>
      </c>
      <c r="G17" s="76" t="s">
        <v>3297</v>
      </c>
      <c r="H17" s="77" t="s">
        <v>3296</v>
      </c>
      <c r="I17" s="76" t="s">
        <v>3298</v>
      </c>
      <c r="J17" s="77" t="s">
        <v>3299</v>
      </c>
      <c r="K17" s="76" t="s">
        <v>3300</v>
      </c>
      <c r="L17" s="75"/>
      <c r="M17" s="76"/>
      <c r="N17" s="77"/>
    </row>
    <row r="18" spans="1:14" s="78" customFormat="1" ht="18">
      <c r="A18" s="74">
        <v>21</v>
      </c>
      <c r="B18" s="74" t="s">
        <v>658</v>
      </c>
      <c r="C18" s="74" t="s">
        <v>3912</v>
      </c>
      <c r="D18" s="75" t="s">
        <v>3251</v>
      </c>
      <c r="E18" s="76" t="s">
        <v>3213</v>
      </c>
      <c r="F18" s="77" t="s">
        <v>3252</v>
      </c>
      <c r="G18" s="76" t="s">
        <v>1271</v>
      </c>
      <c r="H18" s="77" t="s">
        <v>3253</v>
      </c>
      <c r="I18" s="76" t="s">
        <v>3254</v>
      </c>
      <c r="J18" s="77" t="s">
        <v>3252</v>
      </c>
      <c r="K18" s="76" t="s">
        <v>3255</v>
      </c>
      <c r="L18" s="75"/>
      <c r="M18" s="76"/>
      <c r="N18" s="77"/>
    </row>
    <row r="19" spans="1:14" s="78" customFormat="1" ht="18">
      <c r="A19" s="74">
        <v>1</v>
      </c>
      <c r="B19" s="74" t="s">
        <v>697</v>
      </c>
      <c r="C19" s="74" t="s">
        <v>3972</v>
      </c>
      <c r="D19" s="79">
        <v>40098</v>
      </c>
      <c r="E19" s="79" t="s">
        <v>3213</v>
      </c>
      <c r="F19" s="79" t="s">
        <v>3307</v>
      </c>
      <c r="G19" s="79" t="s">
        <v>3308</v>
      </c>
      <c r="H19" s="79" t="s">
        <v>3309</v>
      </c>
      <c r="I19" s="79" t="s">
        <v>3310</v>
      </c>
      <c r="J19" s="79" t="s">
        <v>3311</v>
      </c>
      <c r="K19" s="79" t="s">
        <v>3312</v>
      </c>
      <c r="L19" s="79"/>
      <c r="M19" s="79"/>
      <c r="N19" s="79"/>
    </row>
    <row r="20" spans="1:14" s="78" customFormat="1" ht="18">
      <c r="A20" s="74">
        <v>2</v>
      </c>
      <c r="B20" s="74" t="s">
        <v>715</v>
      </c>
      <c r="C20" s="74" t="s">
        <v>5533</v>
      </c>
      <c r="D20" s="79">
        <v>40060</v>
      </c>
      <c r="E20" s="79" t="s">
        <v>3184</v>
      </c>
      <c r="F20" s="79" t="s">
        <v>3301</v>
      </c>
      <c r="G20" s="79" t="s">
        <v>3302</v>
      </c>
      <c r="H20" s="79" t="s">
        <v>3303</v>
      </c>
      <c r="I20" s="79" t="s">
        <v>3304</v>
      </c>
      <c r="J20" s="79" t="s">
        <v>3305</v>
      </c>
      <c r="K20" s="79" t="s">
        <v>3306</v>
      </c>
      <c r="L20" s="79"/>
      <c r="M20" s="79"/>
      <c r="N20" s="79"/>
    </row>
    <row r="21" spans="1:14" s="78" customFormat="1" ht="18">
      <c r="A21" s="74">
        <v>3</v>
      </c>
      <c r="B21" s="74" t="s">
        <v>699</v>
      </c>
      <c r="C21" s="74" t="s">
        <v>3978</v>
      </c>
      <c r="D21" s="79" t="e">
        <v>#N/A</v>
      </c>
      <c r="E21" s="79" t="e">
        <v>#N/A</v>
      </c>
      <c r="F21" s="79" t="e">
        <v>#N/A</v>
      </c>
      <c r="G21" s="79" t="e">
        <v>#N/A</v>
      </c>
      <c r="H21" s="79" t="e">
        <v>#N/A</v>
      </c>
      <c r="I21" s="79" t="e">
        <v>#N/A</v>
      </c>
      <c r="J21" s="79" t="e">
        <v>#N/A</v>
      </c>
      <c r="K21" s="79" t="e">
        <v>#N/A</v>
      </c>
      <c r="L21" s="79"/>
      <c r="M21" s="79"/>
      <c r="N21" s="79"/>
    </row>
    <row r="22" spans="1:14" s="78" customFormat="1" ht="18">
      <c r="A22" s="74">
        <v>4</v>
      </c>
      <c r="B22" s="74" t="s">
        <v>677</v>
      </c>
      <c r="C22" s="74" t="s">
        <v>5534</v>
      </c>
      <c r="D22" s="79">
        <v>40135</v>
      </c>
      <c r="E22" s="79" t="s">
        <v>3184</v>
      </c>
      <c r="F22" s="79" t="s">
        <v>3337</v>
      </c>
      <c r="G22" s="79" t="s">
        <v>3338</v>
      </c>
      <c r="H22" s="79" t="s">
        <v>3339</v>
      </c>
      <c r="I22" s="79" t="s">
        <v>3340</v>
      </c>
      <c r="J22" s="79" t="s">
        <v>3341</v>
      </c>
      <c r="K22" s="79" t="s">
        <v>3342</v>
      </c>
      <c r="L22" s="79"/>
      <c r="M22" s="79"/>
      <c r="N22" s="79"/>
    </row>
    <row r="23" spans="1:14" s="78" customFormat="1" ht="18">
      <c r="A23" s="74">
        <v>5</v>
      </c>
      <c r="B23" s="74" t="s">
        <v>701</v>
      </c>
      <c r="C23" s="74" t="s">
        <v>3984</v>
      </c>
      <c r="D23" s="79">
        <v>39937</v>
      </c>
      <c r="E23" s="79" t="s">
        <v>3213</v>
      </c>
      <c r="F23" s="79" t="s">
        <v>5535</v>
      </c>
      <c r="G23" s="79" t="s">
        <v>5536</v>
      </c>
      <c r="H23" s="79" t="s">
        <v>5537</v>
      </c>
      <c r="I23" s="79" t="s">
        <v>5538</v>
      </c>
      <c r="J23" s="79" t="s">
        <v>5539</v>
      </c>
      <c r="K23" s="79" t="s">
        <v>5540</v>
      </c>
      <c r="L23" s="79"/>
      <c r="M23" s="79"/>
      <c r="N23" s="79"/>
    </row>
    <row r="24" spans="1:14" s="78" customFormat="1" ht="18">
      <c r="A24" s="74">
        <v>6</v>
      </c>
      <c r="B24" s="74" t="s">
        <v>713</v>
      </c>
      <c r="C24" s="74" t="s">
        <v>3991</v>
      </c>
      <c r="D24" s="79" t="e">
        <v>#N/A</v>
      </c>
      <c r="E24" s="79" t="e">
        <v>#N/A</v>
      </c>
      <c r="F24" s="79" t="e">
        <v>#N/A</v>
      </c>
      <c r="G24" s="79" t="e">
        <v>#N/A</v>
      </c>
      <c r="H24" s="79" t="e">
        <v>#N/A</v>
      </c>
      <c r="I24" s="79" t="e">
        <v>#N/A</v>
      </c>
      <c r="J24" s="79" t="e">
        <v>#N/A</v>
      </c>
      <c r="K24" s="79" t="e">
        <v>#N/A</v>
      </c>
      <c r="L24" s="79"/>
      <c r="M24" s="79"/>
      <c r="N24" s="79"/>
    </row>
    <row r="25" spans="1:14" s="78" customFormat="1" ht="18">
      <c r="A25" s="74">
        <v>7</v>
      </c>
      <c r="B25" s="74" t="s">
        <v>689</v>
      </c>
      <c r="C25" s="74" t="s">
        <v>5541</v>
      </c>
      <c r="D25" s="79">
        <v>39856</v>
      </c>
      <c r="E25" s="79" t="s">
        <v>3184</v>
      </c>
      <c r="F25" s="79" t="s">
        <v>3319</v>
      </c>
      <c r="G25" s="79" t="s">
        <v>3320</v>
      </c>
      <c r="H25" s="79" t="s">
        <v>3321</v>
      </c>
      <c r="I25" s="79" t="s">
        <v>3322</v>
      </c>
      <c r="J25" s="79" t="s">
        <v>3323</v>
      </c>
      <c r="K25" s="79" t="s">
        <v>3324</v>
      </c>
      <c r="L25" s="79"/>
      <c r="M25" s="79"/>
      <c r="N25" s="79"/>
    </row>
    <row r="26" spans="1:14" s="78" customFormat="1" ht="18">
      <c r="A26" s="74">
        <v>8</v>
      </c>
      <c r="B26" s="74" t="s">
        <v>441</v>
      </c>
      <c r="C26" s="74" t="s">
        <v>5542</v>
      </c>
      <c r="D26" s="79">
        <v>40028</v>
      </c>
      <c r="E26" s="79" t="s">
        <v>3184</v>
      </c>
      <c r="F26" s="79" t="s">
        <v>3349</v>
      </c>
      <c r="G26" s="79" t="s">
        <v>3350</v>
      </c>
      <c r="H26" s="79" t="s">
        <v>3351</v>
      </c>
      <c r="I26" s="79" t="s">
        <v>3352</v>
      </c>
      <c r="J26" s="79" t="s">
        <v>3353</v>
      </c>
      <c r="K26" s="79" t="s">
        <v>3354</v>
      </c>
      <c r="L26" s="79"/>
      <c r="M26" s="79"/>
      <c r="N26" s="79"/>
    </row>
    <row r="27" spans="1:14" s="78" customFormat="1" ht="18">
      <c r="A27" s="74">
        <v>9</v>
      </c>
      <c r="B27" s="74" t="s">
        <v>703</v>
      </c>
      <c r="C27" s="74" t="s">
        <v>3998</v>
      </c>
      <c r="D27" s="79">
        <v>40072</v>
      </c>
      <c r="E27" s="79" t="s">
        <v>3184</v>
      </c>
      <c r="F27" s="79" t="s">
        <v>3370</v>
      </c>
      <c r="G27" s="79" t="s">
        <v>3371</v>
      </c>
      <c r="H27" s="79" t="s">
        <v>3372</v>
      </c>
      <c r="I27" s="79" t="s">
        <v>3373</v>
      </c>
      <c r="J27" s="79" t="s">
        <v>3374</v>
      </c>
      <c r="K27" s="79" t="s">
        <v>3375</v>
      </c>
      <c r="L27" s="79"/>
      <c r="M27" s="79"/>
      <c r="N27" s="79"/>
    </row>
    <row r="28" spans="1:14" s="78" customFormat="1" ht="18">
      <c r="A28" s="74">
        <v>10</v>
      </c>
      <c r="B28" s="74" t="s">
        <v>674</v>
      </c>
      <c r="C28" s="74" t="s">
        <v>4004</v>
      </c>
      <c r="D28" s="79" t="e">
        <v>#N/A</v>
      </c>
      <c r="E28" s="79" t="e">
        <v>#N/A</v>
      </c>
      <c r="F28" s="79" t="e">
        <v>#N/A</v>
      </c>
      <c r="G28" s="79" t="e">
        <v>#N/A</v>
      </c>
      <c r="H28" s="79" t="e">
        <v>#N/A</v>
      </c>
      <c r="I28" s="79" t="e">
        <v>#N/A</v>
      </c>
      <c r="J28" s="79" t="e">
        <v>#N/A</v>
      </c>
      <c r="K28" s="79" t="e">
        <v>#N/A</v>
      </c>
      <c r="L28" s="79"/>
      <c r="M28" s="79"/>
      <c r="N28" s="79"/>
    </row>
    <row r="29" spans="1:14" s="78" customFormat="1" ht="18">
      <c r="A29" s="74">
        <v>11</v>
      </c>
      <c r="B29" s="74" t="s">
        <v>681</v>
      </c>
      <c r="C29" s="74" t="s">
        <v>5543</v>
      </c>
      <c r="D29" s="79">
        <v>40081</v>
      </c>
      <c r="E29" s="79" t="s">
        <v>3184</v>
      </c>
      <c r="F29" s="79" t="s">
        <v>5544</v>
      </c>
      <c r="G29" s="79" t="s">
        <v>270</v>
      </c>
      <c r="H29" s="79" t="s">
        <v>5545</v>
      </c>
      <c r="I29" s="79" t="s">
        <v>5546</v>
      </c>
      <c r="J29" s="79" t="s">
        <v>5547</v>
      </c>
      <c r="K29" s="79" t="s">
        <v>5548</v>
      </c>
      <c r="L29" s="79"/>
      <c r="M29" s="79"/>
      <c r="N29" s="79"/>
    </row>
    <row r="30" spans="1:14" s="78" customFormat="1" ht="18">
      <c r="A30" s="74">
        <v>12</v>
      </c>
      <c r="B30" s="74" t="s">
        <v>708</v>
      </c>
      <c r="C30" s="74" t="s">
        <v>4011</v>
      </c>
      <c r="D30" s="79">
        <v>40103</v>
      </c>
      <c r="E30" s="79" t="s">
        <v>3213</v>
      </c>
      <c r="F30" s="79" t="s">
        <v>3364</v>
      </c>
      <c r="G30" s="79" t="s">
        <v>3365</v>
      </c>
      <c r="H30" s="79" t="s">
        <v>3366</v>
      </c>
      <c r="I30" s="79" t="s">
        <v>3367</v>
      </c>
      <c r="J30" s="79" t="s">
        <v>3368</v>
      </c>
      <c r="K30" s="79" t="s">
        <v>3369</v>
      </c>
      <c r="L30" s="79"/>
      <c r="M30" s="79"/>
      <c r="N30" s="79"/>
    </row>
    <row r="31" spans="1:14" s="78" customFormat="1" ht="18">
      <c r="A31" s="74">
        <v>14</v>
      </c>
      <c r="B31" s="74" t="s">
        <v>695</v>
      </c>
      <c r="C31" s="74" t="s">
        <v>4026</v>
      </c>
      <c r="D31" s="79" t="e">
        <v>#N/A</v>
      </c>
      <c r="E31" s="79" t="e">
        <v>#N/A</v>
      </c>
      <c r="F31" s="79" t="e">
        <v>#N/A</v>
      </c>
      <c r="G31" s="79" t="e">
        <v>#N/A</v>
      </c>
      <c r="H31" s="79" t="e">
        <v>#N/A</v>
      </c>
      <c r="I31" s="79" t="e">
        <v>#N/A</v>
      </c>
      <c r="J31" s="79" t="e">
        <v>#N/A</v>
      </c>
      <c r="K31" s="79" t="e">
        <v>#N/A</v>
      </c>
      <c r="L31" s="79"/>
      <c r="M31" s="79"/>
      <c r="N31" s="79"/>
    </row>
    <row r="32" spans="1:14" s="78" customFormat="1" ht="18">
      <c r="A32" s="74">
        <v>15</v>
      </c>
      <c r="B32" s="74" t="s">
        <v>422</v>
      </c>
      <c r="C32" s="74" t="s">
        <v>4031</v>
      </c>
      <c r="D32" s="79">
        <v>39992</v>
      </c>
      <c r="E32" s="79" t="s">
        <v>3213</v>
      </c>
      <c r="F32" s="79" t="s">
        <v>3331</v>
      </c>
      <c r="G32" s="79" t="s">
        <v>3332</v>
      </c>
      <c r="H32" s="79" t="s">
        <v>3333</v>
      </c>
      <c r="I32" s="79" t="s">
        <v>3334</v>
      </c>
      <c r="J32" s="79" t="s">
        <v>3335</v>
      </c>
      <c r="K32" s="79" t="s">
        <v>3336</v>
      </c>
      <c r="L32" s="79"/>
      <c r="M32" s="79"/>
      <c r="N32" s="79"/>
    </row>
    <row r="33" spans="1:14" s="78" customFormat="1" ht="18">
      <c r="A33" s="74">
        <v>16</v>
      </c>
      <c r="B33" s="74" t="s">
        <v>687</v>
      </c>
      <c r="C33" s="74" t="s">
        <v>5549</v>
      </c>
      <c r="D33" s="79">
        <v>40078</v>
      </c>
      <c r="E33" s="79" t="s">
        <v>3184</v>
      </c>
      <c r="F33" s="79" t="s">
        <v>3313</v>
      </c>
      <c r="G33" s="79" t="s">
        <v>3314</v>
      </c>
      <c r="H33" s="79" t="s">
        <v>3315</v>
      </c>
      <c r="I33" s="79" t="s">
        <v>3316</v>
      </c>
      <c r="J33" s="79" t="s">
        <v>3317</v>
      </c>
      <c r="K33" s="79" t="s">
        <v>3318</v>
      </c>
      <c r="L33" s="79"/>
      <c r="M33" s="79"/>
      <c r="N33" s="79"/>
    </row>
    <row r="34" spans="1:14" s="78" customFormat="1" ht="18">
      <c r="A34" s="74">
        <v>17</v>
      </c>
      <c r="B34" s="74" t="s">
        <v>705</v>
      </c>
      <c r="C34" s="74" t="s">
        <v>4037</v>
      </c>
      <c r="D34" s="79">
        <v>39832</v>
      </c>
      <c r="E34" s="79" t="s">
        <v>3184</v>
      </c>
      <c r="F34" s="79" t="s">
        <v>3325</v>
      </c>
      <c r="G34" s="79" t="s">
        <v>3326</v>
      </c>
      <c r="H34" s="79" t="s">
        <v>3327</v>
      </c>
      <c r="I34" s="79" t="s">
        <v>3328</v>
      </c>
      <c r="J34" s="79" t="s">
        <v>3329</v>
      </c>
      <c r="K34" s="79" t="s">
        <v>3330</v>
      </c>
      <c r="L34" s="79"/>
      <c r="M34" s="79"/>
      <c r="N34" s="79"/>
    </row>
    <row r="35" spans="1:14" s="78" customFormat="1" ht="18">
      <c r="A35" s="74">
        <v>18</v>
      </c>
      <c r="B35" s="74" t="s">
        <v>710</v>
      </c>
      <c r="C35" s="74" t="s">
        <v>5550</v>
      </c>
      <c r="D35" s="79">
        <v>39839</v>
      </c>
      <c r="E35" s="79" t="s">
        <v>3184</v>
      </c>
      <c r="F35" s="79" t="s">
        <v>3343</v>
      </c>
      <c r="G35" s="79" t="s">
        <v>3344</v>
      </c>
      <c r="H35" s="79" t="s">
        <v>3345</v>
      </c>
      <c r="I35" s="79" t="s">
        <v>3346</v>
      </c>
      <c r="J35" s="79" t="s">
        <v>3347</v>
      </c>
      <c r="K35" s="79" t="s">
        <v>3348</v>
      </c>
      <c r="L35" s="79"/>
      <c r="M35" s="79"/>
      <c r="N35" s="79"/>
    </row>
    <row r="36" spans="1:14" s="78" customFormat="1" ht="18">
      <c r="A36" s="74">
        <v>19</v>
      </c>
      <c r="B36" s="74" t="s">
        <v>691</v>
      </c>
      <c r="C36" s="74" t="s">
        <v>4043</v>
      </c>
      <c r="D36" s="79">
        <v>39910</v>
      </c>
      <c r="E36" s="79" t="s">
        <v>3184</v>
      </c>
      <c r="F36" s="79" t="s">
        <v>5551</v>
      </c>
      <c r="G36" s="79" t="s">
        <v>5552</v>
      </c>
      <c r="H36" s="79" t="s">
        <v>5553</v>
      </c>
      <c r="I36" s="79" t="s">
        <v>5554</v>
      </c>
      <c r="J36" s="79" t="s">
        <v>5551</v>
      </c>
      <c r="K36" s="79" t="s">
        <v>5555</v>
      </c>
      <c r="L36" s="79"/>
      <c r="M36" s="79"/>
      <c r="N36" s="79"/>
    </row>
    <row r="37" spans="1:14" s="78" customFormat="1" ht="18">
      <c r="A37" s="74">
        <v>20</v>
      </c>
      <c r="B37" s="74" t="s">
        <v>679</v>
      </c>
      <c r="C37" s="74" t="s">
        <v>5556</v>
      </c>
      <c r="D37" s="79">
        <v>40024</v>
      </c>
      <c r="E37" s="79" t="s">
        <v>3213</v>
      </c>
      <c r="F37" s="79" t="s">
        <v>3355</v>
      </c>
      <c r="G37" s="79" t="s">
        <v>3356</v>
      </c>
      <c r="H37" s="79" t="s">
        <v>3357</v>
      </c>
      <c r="I37" s="79" t="s">
        <v>3358</v>
      </c>
      <c r="J37" s="79" t="s">
        <v>3359</v>
      </c>
      <c r="K37" s="79" t="s">
        <v>3360</v>
      </c>
      <c r="L37" s="79"/>
      <c r="M37" s="79"/>
      <c r="N37" s="79"/>
    </row>
    <row r="38" spans="1:14" s="78" customFormat="1" ht="18">
      <c r="A38" s="74">
        <v>26</v>
      </c>
      <c r="B38" s="74" t="s">
        <v>693</v>
      </c>
      <c r="C38" s="74" t="s">
        <v>4060</v>
      </c>
      <c r="D38" s="79">
        <v>0</v>
      </c>
      <c r="E38" s="79">
        <v>0</v>
      </c>
      <c r="F38" s="79">
        <v>0</v>
      </c>
      <c r="G38" s="79">
        <v>0</v>
      </c>
      <c r="H38" s="79">
        <v>0</v>
      </c>
      <c r="I38" s="79">
        <v>0</v>
      </c>
      <c r="J38" s="79">
        <v>0</v>
      </c>
      <c r="K38" s="79">
        <v>0</v>
      </c>
      <c r="L38" s="79"/>
      <c r="M38" s="79"/>
      <c r="N38" s="79"/>
    </row>
    <row r="39" spans="1:14" s="78" customFormat="1" ht="18">
      <c r="A39" s="74">
        <v>1</v>
      </c>
      <c r="B39" s="74" t="s">
        <v>732</v>
      </c>
      <c r="C39" s="74" t="s">
        <v>4184</v>
      </c>
      <c r="D39" s="79" t="s">
        <v>3439</v>
      </c>
      <c r="E39" s="79" t="s">
        <v>3184</v>
      </c>
      <c r="F39" s="79" t="s">
        <v>3440</v>
      </c>
      <c r="G39" s="79" t="s">
        <v>3441</v>
      </c>
      <c r="H39" s="79" t="s">
        <v>3442</v>
      </c>
      <c r="I39" s="79" t="s">
        <v>3443</v>
      </c>
      <c r="J39" s="79" t="s">
        <v>3440</v>
      </c>
      <c r="K39" s="79" t="s">
        <v>3444</v>
      </c>
      <c r="L39" s="79"/>
      <c r="M39" s="79"/>
      <c r="N39" s="79"/>
    </row>
    <row r="40" spans="1:14" s="78" customFormat="1" ht="18">
      <c r="A40" s="74">
        <v>2</v>
      </c>
      <c r="B40" s="74" t="s">
        <v>763</v>
      </c>
      <c r="C40" s="74" t="s">
        <v>4190</v>
      </c>
      <c r="D40" s="79" t="s">
        <v>3205</v>
      </c>
      <c r="E40" s="79" t="s">
        <v>3213</v>
      </c>
      <c r="F40" s="79" t="s">
        <v>3382</v>
      </c>
      <c r="G40" s="79" t="s">
        <v>3383</v>
      </c>
      <c r="H40" s="79" t="s">
        <v>3382</v>
      </c>
      <c r="I40" s="79" t="s">
        <v>3384</v>
      </c>
      <c r="J40" s="79">
        <v>0</v>
      </c>
      <c r="K40" s="79" t="s">
        <v>3385</v>
      </c>
      <c r="L40" s="79"/>
      <c r="M40" s="79"/>
      <c r="N40" s="79"/>
    </row>
    <row r="41" spans="1:14" s="78" customFormat="1" ht="18">
      <c r="A41" s="74">
        <v>4</v>
      </c>
      <c r="B41" s="74" t="s">
        <v>773</v>
      </c>
      <c r="C41" s="74" t="s">
        <v>4198</v>
      </c>
      <c r="D41" s="79" t="s">
        <v>3402</v>
      </c>
      <c r="E41" s="79" t="s">
        <v>3184</v>
      </c>
      <c r="F41" s="79" t="s">
        <v>3403</v>
      </c>
      <c r="G41" s="79" t="s">
        <v>3404</v>
      </c>
      <c r="H41" s="79" t="s">
        <v>3403</v>
      </c>
      <c r="I41" s="79" t="s">
        <v>3405</v>
      </c>
      <c r="J41" s="79" t="s">
        <v>3406</v>
      </c>
      <c r="K41" s="79" t="s">
        <v>3226</v>
      </c>
      <c r="L41" s="79"/>
      <c r="M41" s="79"/>
      <c r="N41" s="79"/>
    </row>
    <row r="42" spans="1:14" s="78" customFormat="1" ht="18">
      <c r="A42" s="74">
        <v>5</v>
      </c>
      <c r="B42" s="74" t="s">
        <v>717</v>
      </c>
      <c r="C42" s="74" t="s">
        <v>4205</v>
      </c>
      <c r="D42" s="79" t="s">
        <v>3262</v>
      </c>
      <c r="E42" s="79" t="s">
        <v>3184</v>
      </c>
      <c r="F42" s="79" t="s">
        <v>3485</v>
      </c>
      <c r="G42" s="79" t="s">
        <v>3486</v>
      </c>
      <c r="H42" s="79" t="s">
        <v>3487</v>
      </c>
      <c r="I42" s="79" t="s">
        <v>3488</v>
      </c>
      <c r="J42" s="79" t="s">
        <v>3485</v>
      </c>
      <c r="K42" s="79" t="s">
        <v>3489</v>
      </c>
      <c r="L42" s="79"/>
      <c r="M42" s="79"/>
      <c r="N42" s="79"/>
    </row>
    <row r="43" spans="1:14" s="78" customFormat="1" ht="18">
      <c r="A43" s="74">
        <v>7</v>
      </c>
      <c r="B43" s="74" t="s">
        <v>728</v>
      </c>
      <c r="C43" s="74" t="s">
        <v>4218</v>
      </c>
      <c r="D43" s="79" t="s">
        <v>3433</v>
      </c>
      <c r="E43" s="79" t="s">
        <v>3184</v>
      </c>
      <c r="F43" s="79" t="s">
        <v>3434</v>
      </c>
      <c r="G43" s="79" t="s">
        <v>1470</v>
      </c>
      <c r="H43" s="79" t="s">
        <v>3434</v>
      </c>
      <c r="I43" s="79" t="s">
        <v>3435</v>
      </c>
      <c r="J43" s="79" t="s">
        <v>3436</v>
      </c>
      <c r="K43" s="79" t="s">
        <v>3437</v>
      </c>
      <c r="L43" s="79"/>
      <c r="M43" s="79"/>
      <c r="N43" s="79"/>
    </row>
    <row r="44" spans="1:14" s="78" customFormat="1" ht="18">
      <c r="A44" s="74">
        <v>8</v>
      </c>
      <c r="B44" s="74" t="s">
        <v>724</v>
      </c>
      <c r="C44" s="74" t="s">
        <v>4224</v>
      </c>
      <c r="D44" s="79" t="s">
        <v>3421</v>
      </c>
      <c r="E44" s="79" t="s">
        <v>3184</v>
      </c>
      <c r="F44" s="79" t="s">
        <v>3422</v>
      </c>
      <c r="G44" s="79" t="s">
        <v>3423</v>
      </c>
      <c r="H44" s="79" t="s">
        <v>3422</v>
      </c>
      <c r="I44" s="79" t="s">
        <v>3424</v>
      </c>
      <c r="J44" s="79" t="s">
        <v>3425</v>
      </c>
      <c r="K44" s="79" t="s">
        <v>3426</v>
      </c>
      <c r="L44" s="79"/>
      <c r="M44" s="79"/>
      <c r="N44" s="79"/>
    </row>
    <row r="45" spans="1:14" s="78" customFormat="1" ht="18">
      <c r="A45" s="74">
        <v>9</v>
      </c>
      <c r="B45" s="74" t="s">
        <v>726</v>
      </c>
      <c r="C45" s="74" t="s">
        <v>5557</v>
      </c>
      <c r="D45" s="79" t="s">
        <v>3427</v>
      </c>
      <c r="E45" s="79" t="s">
        <v>3184</v>
      </c>
      <c r="F45" s="79" t="s">
        <v>3428</v>
      </c>
      <c r="G45" s="79" t="s">
        <v>3429</v>
      </c>
      <c r="H45" s="79" t="s">
        <v>3428</v>
      </c>
      <c r="I45" s="79" t="s">
        <v>3430</v>
      </c>
      <c r="J45" s="79" t="s">
        <v>3431</v>
      </c>
      <c r="K45" s="79" t="s">
        <v>3432</v>
      </c>
      <c r="L45" s="79"/>
      <c r="M45" s="79"/>
      <c r="N45" s="79"/>
    </row>
    <row r="46" spans="1:14" s="78" customFormat="1" ht="18">
      <c r="A46" s="74">
        <v>11</v>
      </c>
      <c r="B46" s="74" t="s">
        <v>722</v>
      </c>
      <c r="C46" s="74" t="s">
        <v>4236</v>
      </c>
      <c r="D46" s="79" t="s">
        <v>3415</v>
      </c>
      <c r="E46" s="79" t="s">
        <v>3213</v>
      </c>
      <c r="F46" s="79" t="s">
        <v>3416</v>
      </c>
      <c r="G46" s="79" t="s">
        <v>3417</v>
      </c>
      <c r="H46" s="79" t="s">
        <v>3418</v>
      </c>
      <c r="I46" s="79" t="s">
        <v>3419</v>
      </c>
      <c r="J46" s="79" t="s">
        <v>3416</v>
      </c>
      <c r="K46" s="79" t="s">
        <v>3420</v>
      </c>
      <c r="L46" s="79"/>
      <c r="M46" s="79"/>
      <c r="N46" s="79"/>
    </row>
    <row r="47" spans="1:14" s="78" customFormat="1" ht="18">
      <c r="A47" s="74">
        <v>12</v>
      </c>
      <c r="B47" s="74" t="s">
        <v>800</v>
      </c>
      <c r="C47" s="74" t="s">
        <v>4242</v>
      </c>
      <c r="D47" s="79" t="e">
        <v>#N/A</v>
      </c>
      <c r="E47" s="79" t="e">
        <v>#N/A</v>
      </c>
      <c r="F47" s="79" t="e">
        <v>#N/A</v>
      </c>
      <c r="G47" s="79" t="e">
        <v>#N/A</v>
      </c>
      <c r="H47" s="79" t="e">
        <v>#N/A</v>
      </c>
      <c r="I47" s="79" t="e">
        <v>#N/A</v>
      </c>
      <c r="J47" s="79" t="e">
        <v>#N/A</v>
      </c>
      <c r="K47" s="79" t="e">
        <v>#N/A</v>
      </c>
      <c r="L47" s="79"/>
      <c r="M47" s="79"/>
      <c r="N47" s="79"/>
    </row>
    <row r="48" spans="1:14" s="78" customFormat="1" ht="18">
      <c r="A48" s="74">
        <v>13</v>
      </c>
      <c r="B48" s="74" t="s">
        <v>742</v>
      </c>
      <c r="C48" s="74" t="s">
        <v>4247</v>
      </c>
      <c r="D48" s="79" t="s">
        <v>3376</v>
      </c>
      <c r="E48" s="79" t="s">
        <v>3184</v>
      </c>
      <c r="F48" s="79" t="s">
        <v>3377</v>
      </c>
      <c r="G48" s="79" t="s">
        <v>3378</v>
      </c>
      <c r="H48" s="79" t="s">
        <v>3377</v>
      </c>
      <c r="I48" s="79" t="s">
        <v>3379</v>
      </c>
      <c r="J48" s="79" t="s">
        <v>3380</v>
      </c>
      <c r="K48" s="79" t="s">
        <v>3381</v>
      </c>
      <c r="L48" s="79"/>
      <c r="M48" s="79"/>
      <c r="N48" s="79"/>
    </row>
    <row r="49" spans="1:14" s="78" customFormat="1" ht="18">
      <c r="A49" s="74">
        <v>14</v>
      </c>
      <c r="B49" s="74" t="s">
        <v>753</v>
      </c>
      <c r="C49" s="74" t="s">
        <v>4254</v>
      </c>
      <c r="D49" s="79" t="s">
        <v>5558</v>
      </c>
      <c r="E49" s="79" t="s">
        <v>3184</v>
      </c>
      <c r="F49" s="79" t="s">
        <v>5559</v>
      </c>
      <c r="G49" s="79" t="s">
        <v>5560</v>
      </c>
      <c r="H49" s="79" t="s">
        <v>5561</v>
      </c>
      <c r="I49" s="79" t="s">
        <v>5562</v>
      </c>
      <c r="J49" s="79" t="s">
        <v>5559</v>
      </c>
      <c r="K49" s="79" t="s">
        <v>5563</v>
      </c>
      <c r="L49" s="79"/>
      <c r="M49" s="79"/>
      <c r="N49" s="79"/>
    </row>
    <row r="50" spans="1:14" s="78" customFormat="1" ht="18">
      <c r="A50" s="74">
        <v>15</v>
      </c>
      <c r="B50" s="74" t="s">
        <v>734</v>
      </c>
      <c r="C50" s="74" t="s">
        <v>4261</v>
      </c>
      <c r="D50" s="79" t="s">
        <v>3445</v>
      </c>
      <c r="E50" s="79" t="s">
        <v>3213</v>
      </c>
      <c r="F50" s="79" t="s">
        <v>3446</v>
      </c>
      <c r="G50" s="79" t="s">
        <v>3447</v>
      </c>
      <c r="H50" s="79" t="s">
        <v>3446</v>
      </c>
      <c r="I50" s="79" t="s">
        <v>3448</v>
      </c>
      <c r="J50" s="79" t="s">
        <v>3449</v>
      </c>
      <c r="K50" s="79" t="s">
        <v>3450</v>
      </c>
      <c r="L50" s="79"/>
      <c r="M50" s="79"/>
      <c r="N50" s="79"/>
    </row>
    <row r="51" spans="1:14" s="78" customFormat="1" ht="18">
      <c r="A51" s="74">
        <v>17</v>
      </c>
      <c r="B51" s="74" t="s">
        <v>765</v>
      </c>
      <c r="C51" s="74" t="s">
        <v>4272</v>
      </c>
      <c r="D51" s="79" t="s">
        <v>3460</v>
      </c>
      <c r="E51" s="79" t="s">
        <v>3184</v>
      </c>
      <c r="F51" s="79" t="s">
        <v>3461</v>
      </c>
      <c r="G51" s="79" t="s">
        <v>3462</v>
      </c>
      <c r="H51" s="79" t="s">
        <v>3463</v>
      </c>
      <c r="I51" s="79" t="s">
        <v>3464</v>
      </c>
      <c r="J51" s="79" t="s">
        <v>3461</v>
      </c>
      <c r="K51" s="79" t="s">
        <v>3465</v>
      </c>
      <c r="L51" s="79"/>
      <c r="M51" s="79"/>
      <c r="N51" s="79"/>
    </row>
    <row r="52" spans="1:14" s="78" customFormat="1" ht="18">
      <c r="A52" s="74">
        <v>18</v>
      </c>
      <c r="B52" s="74" t="s">
        <v>755</v>
      </c>
      <c r="C52" s="74" t="s">
        <v>4278</v>
      </c>
      <c r="D52" s="79" t="s">
        <v>3478</v>
      </c>
      <c r="E52" s="79" t="s">
        <v>3213</v>
      </c>
      <c r="F52" s="79" t="s">
        <v>3479</v>
      </c>
      <c r="G52" s="79" t="s">
        <v>3480</v>
      </c>
      <c r="H52" s="79" t="s">
        <v>3481</v>
      </c>
      <c r="I52" s="79" t="s">
        <v>3482</v>
      </c>
      <c r="J52" s="79" t="s">
        <v>3483</v>
      </c>
      <c r="K52" s="79" t="s">
        <v>3484</v>
      </c>
      <c r="L52" s="79"/>
      <c r="M52" s="79"/>
      <c r="N52" s="79"/>
    </row>
    <row r="53" spans="1:14" s="78" customFormat="1" ht="18">
      <c r="A53" s="74">
        <v>19</v>
      </c>
      <c r="B53" s="74" t="s">
        <v>775</v>
      </c>
      <c r="C53" s="74" t="s">
        <v>4283</v>
      </c>
      <c r="D53" s="79" t="s">
        <v>3470</v>
      </c>
      <c r="E53" s="79" t="s">
        <v>3213</v>
      </c>
      <c r="F53" s="79" t="s">
        <v>3471</v>
      </c>
      <c r="G53" s="79" t="s">
        <v>3472</v>
      </c>
      <c r="H53" s="79" t="s">
        <v>3471</v>
      </c>
      <c r="I53" s="79" t="s">
        <v>3473</v>
      </c>
      <c r="J53" s="79" t="s">
        <v>3474</v>
      </c>
      <c r="K53" s="79" t="s">
        <v>3420</v>
      </c>
      <c r="L53" s="79"/>
      <c r="M53" s="79"/>
      <c r="N53" s="79"/>
    </row>
    <row r="54" spans="1:14" s="78" customFormat="1" ht="18">
      <c r="A54" s="74">
        <v>20</v>
      </c>
      <c r="B54" s="74" t="s">
        <v>771</v>
      </c>
      <c r="C54" s="74" t="s">
        <v>4290</v>
      </c>
      <c r="D54" s="79" t="s">
        <v>3396</v>
      </c>
      <c r="E54" s="79" t="s">
        <v>3184</v>
      </c>
      <c r="F54" s="79" t="s">
        <v>3397</v>
      </c>
      <c r="G54" s="79" t="s">
        <v>3398</v>
      </c>
      <c r="H54" s="79" t="s">
        <v>3399</v>
      </c>
      <c r="I54" s="79" t="s">
        <v>3400</v>
      </c>
      <c r="J54" s="79" t="s">
        <v>3397</v>
      </c>
      <c r="K54" s="79" t="s">
        <v>3401</v>
      </c>
      <c r="L54" s="79"/>
      <c r="M54" s="79"/>
      <c r="N54" s="79"/>
    </row>
    <row r="55" spans="1:14" s="78" customFormat="1" ht="18">
      <c r="A55" s="74">
        <v>22</v>
      </c>
      <c r="B55" s="74" t="s">
        <v>747</v>
      </c>
      <c r="C55" s="74" t="s">
        <v>4303</v>
      </c>
      <c r="D55" s="79" t="s">
        <v>5564</v>
      </c>
      <c r="E55" s="79" t="s">
        <v>3184</v>
      </c>
      <c r="F55" s="79" t="s">
        <v>5565</v>
      </c>
      <c r="G55" s="79" t="s">
        <v>5566</v>
      </c>
      <c r="H55" s="79" t="s">
        <v>5567</v>
      </c>
      <c r="I55" s="79" t="s">
        <v>5451</v>
      </c>
      <c r="J55" s="79" t="s">
        <v>5565</v>
      </c>
      <c r="K55" s="79" t="s">
        <v>5568</v>
      </c>
      <c r="L55" s="79"/>
      <c r="M55" s="79"/>
      <c r="N55" s="79"/>
    </row>
    <row r="56" spans="1:14" s="78" customFormat="1" ht="18">
      <c r="A56" s="74">
        <v>23</v>
      </c>
      <c r="B56" s="74" t="s">
        <v>757</v>
      </c>
      <c r="C56" s="74" t="s">
        <v>4309</v>
      </c>
      <c r="D56" s="79" t="s">
        <v>3410</v>
      </c>
      <c r="E56" s="79" t="s">
        <v>3184</v>
      </c>
      <c r="F56" s="79" t="s">
        <v>3411</v>
      </c>
      <c r="G56" s="79" t="s">
        <v>3412</v>
      </c>
      <c r="H56" s="79" t="s">
        <v>3413</v>
      </c>
      <c r="I56" s="79" t="s">
        <v>628</v>
      </c>
      <c r="J56" s="79" t="s">
        <v>3411</v>
      </c>
      <c r="K56" s="79" t="s">
        <v>3414</v>
      </c>
      <c r="L56" s="79"/>
      <c r="M56" s="79"/>
      <c r="N56" s="79"/>
    </row>
    <row r="57" spans="1:14" s="78" customFormat="1" ht="18">
      <c r="A57" s="74">
        <v>24</v>
      </c>
      <c r="B57" s="74" t="s">
        <v>738</v>
      </c>
      <c r="C57" s="74" t="s">
        <v>4314</v>
      </c>
      <c r="D57" s="79" t="s">
        <v>3451</v>
      </c>
      <c r="E57" s="79" t="s">
        <v>3213</v>
      </c>
      <c r="F57" s="79" t="s">
        <v>3452</v>
      </c>
      <c r="G57" s="79" t="s">
        <v>3453</v>
      </c>
      <c r="H57" s="79" t="s">
        <v>3454</v>
      </c>
      <c r="I57" s="79" t="s">
        <v>3455</v>
      </c>
      <c r="J57" s="79" t="s">
        <v>3452</v>
      </c>
      <c r="K57" s="79" t="s">
        <v>3456</v>
      </c>
      <c r="L57" s="79"/>
      <c r="M57" s="79"/>
      <c r="N57" s="79"/>
    </row>
    <row r="58" spans="1:14" s="78" customFormat="1" ht="18">
      <c r="A58" s="74">
        <v>25</v>
      </c>
      <c r="B58" s="74" t="s">
        <v>767</v>
      </c>
      <c r="C58" s="74" t="s">
        <v>4321</v>
      </c>
      <c r="D58" s="79" t="s">
        <v>3386</v>
      </c>
      <c r="E58" s="79" t="s">
        <v>3213</v>
      </c>
      <c r="F58" s="79" t="s">
        <v>3387</v>
      </c>
      <c r="G58" s="79" t="s">
        <v>3388</v>
      </c>
      <c r="H58" s="79" t="s">
        <v>3387</v>
      </c>
      <c r="I58" s="79" t="s">
        <v>3389</v>
      </c>
      <c r="J58" s="79" t="s">
        <v>3390</v>
      </c>
      <c r="K58" s="79" t="s">
        <v>3391</v>
      </c>
      <c r="L58" s="79"/>
      <c r="M58" s="79"/>
      <c r="N58" s="79"/>
    </row>
    <row r="59" spans="1:14" s="78" customFormat="1" ht="18">
      <c r="A59" s="74">
        <v>28</v>
      </c>
      <c r="B59" s="74" t="s">
        <v>736</v>
      </c>
      <c r="C59" s="74" t="s">
        <v>4340</v>
      </c>
      <c r="D59" s="79">
        <v>0</v>
      </c>
      <c r="E59" s="79">
        <v>0</v>
      </c>
      <c r="F59" s="79">
        <v>0</v>
      </c>
      <c r="G59" s="79">
        <v>0</v>
      </c>
      <c r="H59" s="79">
        <v>0</v>
      </c>
      <c r="I59" s="79">
        <v>0</v>
      </c>
      <c r="J59" s="79">
        <v>0</v>
      </c>
      <c r="K59" s="79">
        <v>0</v>
      </c>
      <c r="L59" s="79"/>
      <c r="M59" s="79"/>
      <c r="N59" s="79"/>
    </row>
    <row r="60" spans="1:14" s="78" customFormat="1" ht="18">
      <c r="A60" s="74">
        <v>29</v>
      </c>
      <c r="B60" s="74" t="s">
        <v>759</v>
      </c>
      <c r="C60" s="74" t="s">
        <v>4346</v>
      </c>
      <c r="D60" s="79">
        <v>0</v>
      </c>
      <c r="E60" s="79">
        <v>0</v>
      </c>
      <c r="F60" s="79">
        <v>0</v>
      </c>
      <c r="G60" s="79">
        <v>0</v>
      </c>
      <c r="H60" s="79">
        <v>0</v>
      </c>
      <c r="I60" s="79">
        <v>0</v>
      </c>
      <c r="J60" s="79">
        <v>0</v>
      </c>
      <c r="K60" s="79">
        <v>0</v>
      </c>
      <c r="L60" s="79"/>
      <c r="M60" s="79"/>
      <c r="N60" s="79"/>
    </row>
    <row r="61" spans="1:14" s="78" customFormat="1" ht="18">
      <c r="A61" s="74">
        <v>31</v>
      </c>
      <c r="B61" s="74" t="s">
        <v>503</v>
      </c>
      <c r="C61" s="74" t="s">
        <v>4358</v>
      </c>
      <c r="D61" s="79">
        <v>0</v>
      </c>
      <c r="E61" s="79">
        <v>0</v>
      </c>
      <c r="F61" s="79">
        <v>0</v>
      </c>
      <c r="G61" s="79">
        <v>0</v>
      </c>
      <c r="H61" s="79">
        <v>0</v>
      </c>
      <c r="I61" s="79">
        <v>0</v>
      </c>
      <c r="J61" s="79">
        <v>0</v>
      </c>
      <c r="K61" s="79">
        <v>0</v>
      </c>
      <c r="L61" s="79"/>
      <c r="M61" s="79"/>
      <c r="N61" s="79"/>
    </row>
    <row r="62" spans="1:14" s="78" customFormat="1" ht="18">
      <c r="A62" s="74">
        <v>32</v>
      </c>
      <c r="B62" s="74" t="s">
        <v>890</v>
      </c>
      <c r="C62" s="74" t="s">
        <v>5569</v>
      </c>
      <c r="D62" s="79">
        <v>0</v>
      </c>
      <c r="E62" s="79">
        <v>0</v>
      </c>
      <c r="F62" s="79">
        <v>0</v>
      </c>
      <c r="G62" s="79">
        <v>0</v>
      </c>
      <c r="H62" s="79">
        <v>0</v>
      </c>
      <c r="I62" s="79">
        <v>0</v>
      </c>
      <c r="J62" s="79">
        <v>0</v>
      </c>
      <c r="K62" s="79">
        <v>0</v>
      </c>
      <c r="L62" s="79"/>
      <c r="M62" s="79"/>
      <c r="N62" s="79"/>
    </row>
    <row r="63" spans="1:14" s="78" customFormat="1" ht="18">
      <c r="A63" s="74">
        <v>33</v>
      </c>
      <c r="B63" s="74" t="s">
        <v>730</v>
      </c>
      <c r="C63" s="74" t="s">
        <v>5570</v>
      </c>
      <c r="D63" s="79">
        <v>0</v>
      </c>
      <c r="E63" s="79">
        <v>0</v>
      </c>
      <c r="F63" s="79">
        <v>0</v>
      </c>
      <c r="G63" s="79">
        <v>0</v>
      </c>
      <c r="H63" s="79">
        <v>0</v>
      </c>
      <c r="I63" s="79">
        <v>0</v>
      </c>
      <c r="J63" s="79">
        <v>0</v>
      </c>
      <c r="K63" s="79">
        <v>0</v>
      </c>
      <c r="L63" s="79"/>
      <c r="M63" s="79"/>
      <c r="N63" s="79"/>
    </row>
    <row r="64" spans="1:14" s="78" customFormat="1" ht="18">
      <c r="A64" s="74">
        <v>35</v>
      </c>
      <c r="B64" s="74" t="s">
        <v>777</v>
      </c>
      <c r="C64" s="74" t="s">
        <v>4371</v>
      </c>
      <c r="D64" s="79">
        <v>0</v>
      </c>
      <c r="E64" s="79">
        <v>0</v>
      </c>
      <c r="F64" s="79">
        <v>0</v>
      </c>
      <c r="G64" s="79">
        <v>0</v>
      </c>
      <c r="H64" s="79">
        <v>0</v>
      </c>
      <c r="I64" s="79">
        <v>0</v>
      </c>
      <c r="J64" s="79">
        <v>0</v>
      </c>
      <c r="K64" s="79">
        <v>0</v>
      </c>
      <c r="L64" s="79"/>
      <c r="M64" s="79"/>
      <c r="N64" s="79"/>
    </row>
    <row r="65" spans="1:14" s="78" customFormat="1" ht="18">
      <c r="A65" s="74">
        <v>36</v>
      </c>
      <c r="B65" s="74" t="s">
        <v>769</v>
      </c>
      <c r="C65" s="74" t="s">
        <v>5571</v>
      </c>
      <c r="D65" s="79">
        <v>0</v>
      </c>
      <c r="E65" s="79">
        <v>0</v>
      </c>
      <c r="F65" s="79">
        <v>0</v>
      </c>
      <c r="G65" s="79">
        <v>0</v>
      </c>
      <c r="H65" s="79">
        <v>0</v>
      </c>
      <c r="I65" s="79">
        <v>0</v>
      </c>
      <c r="J65" s="79">
        <v>0</v>
      </c>
      <c r="K65" s="79">
        <v>0</v>
      </c>
      <c r="L65" s="79"/>
      <c r="M65" s="79"/>
      <c r="N65" s="79"/>
    </row>
    <row r="66" spans="1:14" s="78" customFormat="1" ht="18">
      <c r="A66" s="81">
        <v>38</v>
      </c>
      <c r="B66" s="81" t="s">
        <v>751</v>
      </c>
      <c r="C66" s="81" t="s">
        <v>4383</v>
      </c>
      <c r="D66" s="79">
        <v>0</v>
      </c>
      <c r="E66" s="79">
        <v>0</v>
      </c>
      <c r="F66" s="79">
        <v>0</v>
      </c>
      <c r="G66" s="79">
        <v>0</v>
      </c>
      <c r="H66" s="79">
        <v>0</v>
      </c>
      <c r="I66" s="79">
        <v>0</v>
      </c>
      <c r="J66" s="79">
        <v>0</v>
      </c>
      <c r="K66" s="79">
        <v>0</v>
      </c>
      <c r="L66" s="79"/>
      <c r="M66" s="79"/>
      <c r="N66" s="79"/>
    </row>
    <row r="67" spans="1:14" s="78" customFormat="1" ht="18">
      <c r="A67" s="74">
        <v>39</v>
      </c>
      <c r="B67" s="74" t="s">
        <v>5572</v>
      </c>
      <c r="C67" s="74" t="s">
        <v>4389</v>
      </c>
      <c r="D67" s="79">
        <v>0</v>
      </c>
      <c r="E67" s="79">
        <v>0</v>
      </c>
      <c r="F67" s="79">
        <v>0</v>
      </c>
      <c r="G67" s="79">
        <v>0</v>
      </c>
      <c r="H67" s="79">
        <v>0</v>
      </c>
      <c r="I67" s="79">
        <v>0</v>
      </c>
      <c r="J67" s="79">
        <v>0</v>
      </c>
      <c r="K67" s="79">
        <v>0</v>
      </c>
      <c r="L67" s="79"/>
      <c r="M67" s="79"/>
      <c r="N67" s="79"/>
    </row>
    <row r="68" spans="1:14" s="78" customFormat="1" ht="18">
      <c r="A68" s="74">
        <v>40</v>
      </c>
      <c r="B68" s="74" t="s">
        <v>5573</v>
      </c>
      <c r="C68" s="74" t="s">
        <v>4395</v>
      </c>
      <c r="D68" s="79">
        <v>0</v>
      </c>
      <c r="E68" s="79">
        <v>0</v>
      </c>
      <c r="F68" s="79">
        <v>0</v>
      </c>
      <c r="G68" s="79">
        <v>0</v>
      </c>
      <c r="H68" s="79">
        <v>0</v>
      </c>
      <c r="I68" s="79">
        <v>0</v>
      </c>
      <c r="J68" s="79">
        <v>0</v>
      </c>
      <c r="K68" s="79">
        <v>0</v>
      </c>
      <c r="L68" s="79"/>
      <c r="M68" s="79"/>
      <c r="N68" s="79"/>
    </row>
    <row r="69" spans="1:14" s="78" customFormat="1" ht="18">
      <c r="A69" s="74">
        <v>41</v>
      </c>
      <c r="B69" s="74" t="s">
        <v>5574</v>
      </c>
      <c r="C69" s="74" t="s">
        <v>5575</v>
      </c>
      <c r="D69" s="79">
        <v>0</v>
      </c>
      <c r="E69" s="79">
        <v>0</v>
      </c>
      <c r="F69" s="79">
        <v>0</v>
      </c>
      <c r="G69" s="79">
        <v>0</v>
      </c>
      <c r="H69" s="79">
        <v>0</v>
      </c>
      <c r="I69" s="79">
        <v>0</v>
      </c>
      <c r="J69" s="79">
        <v>0</v>
      </c>
      <c r="K69" s="79">
        <v>0</v>
      </c>
      <c r="L69" s="79"/>
      <c r="M69" s="79"/>
      <c r="N69" s="79"/>
    </row>
    <row r="70" spans="1:14" s="78" customFormat="1" ht="18">
      <c r="A70" s="74">
        <v>42</v>
      </c>
      <c r="B70" s="74" t="s">
        <v>5576</v>
      </c>
      <c r="C70" s="74" t="s">
        <v>5577</v>
      </c>
      <c r="D70" s="79">
        <v>0</v>
      </c>
      <c r="E70" s="79">
        <v>0</v>
      </c>
      <c r="F70" s="79">
        <v>0</v>
      </c>
      <c r="G70" s="79">
        <v>0</v>
      </c>
      <c r="H70" s="79">
        <v>0</v>
      </c>
      <c r="I70" s="79">
        <v>0</v>
      </c>
      <c r="J70" s="79">
        <v>0</v>
      </c>
      <c r="K70" s="79">
        <v>0</v>
      </c>
      <c r="L70" s="79"/>
      <c r="M70" s="79"/>
      <c r="N70" s="79"/>
    </row>
    <row r="71" spans="1:14" s="78" customFormat="1" ht="18">
      <c r="A71" s="74">
        <v>43</v>
      </c>
      <c r="B71" s="74" t="s">
        <v>5578</v>
      </c>
      <c r="C71" s="74" t="s">
        <v>5579</v>
      </c>
      <c r="D71" s="79">
        <v>0</v>
      </c>
      <c r="E71" s="79">
        <v>0</v>
      </c>
      <c r="F71" s="79">
        <v>0</v>
      </c>
      <c r="G71" s="79">
        <v>0</v>
      </c>
      <c r="H71" s="79">
        <v>0</v>
      </c>
      <c r="I71" s="79">
        <v>0</v>
      </c>
      <c r="J71" s="79">
        <v>0</v>
      </c>
      <c r="K71" s="79">
        <v>0</v>
      </c>
      <c r="L71" s="79"/>
      <c r="M71" s="79"/>
      <c r="N71" s="79"/>
    </row>
    <row r="72" spans="1:14" s="78" customFormat="1" ht="18">
      <c r="A72" s="74">
        <v>44</v>
      </c>
      <c r="B72" s="74" t="s">
        <v>5580</v>
      </c>
      <c r="C72" s="74" t="s">
        <v>5581</v>
      </c>
      <c r="D72" s="79">
        <v>0</v>
      </c>
      <c r="E72" s="79">
        <v>0</v>
      </c>
      <c r="F72" s="79">
        <v>0</v>
      </c>
      <c r="G72" s="79">
        <v>0</v>
      </c>
      <c r="H72" s="79">
        <v>0</v>
      </c>
      <c r="I72" s="79">
        <v>0</v>
      </c>
      <c r="J72" s="79">
        <v>0</v>
      </c>
      <c r="K72" s="79">
        <v>0</v>
      </c>
      <c r="L72" s="79"/>
      <c r="M72" s="79"/>
      <c r="N72" s="79"/>
    </row>
    <row r="73" spans="1:14" s="78" customFormat="1" ht="18">
      <c r="A73" s="74">
        <v>45</v>
      </c>
      <c r="B73" s="74" t="s">
        <v>5582</v>
      </c>
      <c r="C73" s="74" t="s">
        <v>5583</v>
      </c>
      <c r="D73" s="79">
        <v>0</v>
      </c>
      <c r="E73" s="79">
        <v>0</v>
      </c>
      <c r="F73" s="79">
        <v>0</v>
      </c>
      <c r="G73" s="79">
        <v>0</v>
      </c>
      <c r="H73" s="79">
        <v>0</v>
      </c>
      <c r="I73" s="79">
        <v>0</v>
      </c>
      <c r="J73" s="79">
        <v>0</v>
      </c>
      <c r="K73" s="79">
        <v>0</v>
      </c>
      <c r="L73" s="79"/>
      <c r="M73" s="79"/>
      <c r="N73" s="79"/>
    </row>
    <row r="74" spans="1:14" s="78" customFormat="1" ht="18">
      <c r="A74" s="74">
        <v>46</v>
      </c>
      <c r="B74" s="74" t="s">
        <v>740</v>
      </c>
      <c r="C74" s="74" t="s">
        <v>5584</v>
      </c>
      <c r="D74" s="79">
        <v>0</v>
      </c>
      <c r="E74" s="79">
        <v>0</v>
      </c>
      <c r="F74" s="79">
        <v>0</v>
      </c>
      <c r="G74" s="79">
        <v>0</v>
      </c>
      <c r="H74" s="79">
        <v>0</v>
      </c>
      <c r="I74" s="79">
        <v>0</v>
      </c>
      <c r="J74" s="79">
        <v>0</v>
      </c>
      <c r="K74" s="79">
        <v>0</v>
      </c>
      <c r="L74" s="79"/>
      <c r="M74" s="79"/>
      <c r="N74" s="79"/>
    </row>
    <row r="75" spans="1:14" s="78" customFormat="1" ht="18">
      <c r="A75" s="74">
        <v>47</v>
      </c>
      <c r="B75" s="74" t="s">
        <v>744</v>
      </c>
      <c r="C75" s="74" t="s">
        <v>5585</v>
      </c>
      <c r="D75" s="79">
        <v>0</v>
      </c>
      <c r="E75" s="79">
        <v>0</v>
      </c>
      <c r="F75" s="79">
        <v>0</v>
      </c>
      <c r="G75" s="79">
        <v>0</v>
      </c>
      <c r="H75" s="79">
        <v>0</v>
      </c>
      <c r="I75" s="79">
        <v>0</v>
      </c>
      <c r="J75" s="79">
        <v>0</v>
      </c>
      <c r="K75" s="79">
        <v>0</v>
      </c>
      <c r="L75" s="79"/>
      <c r="M75" s="79"/>
      <c r="N75" s="79"/>
    </row>
    <row r="76" spans="1:14" s="78" customFormat="1" ht="18">
      <c r="A76" s="74">
        <v>48</v>
      </c>
      <c r="B76" s="74" t="s">
        <v>5586</v>
      </c>
      <c r="C76" s="74" t="s">
        <v>5587</v>
      </c>
      <c r="D76" s="79">
        <v>0</v>
      </c>
      <c r="E76" s="79">
        <v>0</v>
      </c>
      <c r="F76" s="79">
        <v>0</v>
      </c>
      <c r="G76" s="79">
        <v>0</v>
      </c>
      <c r="H76" s="79">
        <v>0</v>
      </c>
      <c r="I76" s="79">
        <v>0</v>
      </c>
      <c r="J76" s="79">
        <v>0</v>
      </c>
      <c r="K76" s="79">
        <v>0</v>
      </c>
      <c r="L76" s="79"/>
      <c r="M76" s="79"/>
      <c r="N76" s="79"/>
    </row>
    <row r="77" spans="1:14" s="78" customFormat="1" ht="18">
      <c r="A77" s="74">
        <v>49</v>
      </c>
      <c r="B77" s="74" t="s">
        <v>5588</v>
      </c>
      <c r="C77" s="74" t="s">
        <v>5589</v>
      </c>
      <c r="D77" s="79">
        <v>0</v>
      </c>
      <c r="E77" s="79">
        <v>0</v>
      </c>
      <c r="F77" s="79">
        <v>0</v>
      </c>
      <c r="G77" s="79">
        <v>0</v>
      </c>
      <c r="H77" s="79">
        <v>0</v>
      </c>
      <c r="I77" s="79">
        <v>0</v>
      </c>
      <c r="J77" s="79">
        <v>0</v>
      </c>
      <c r="K77" s="79">
        <v>0</v>
      </c>
      <c r="L77" s="79"/>
      <c r="M77" s="79"/>
      <c r="N77" s="79"/>
    </row>
    <row r="78" spans="1:14" s="78" customFormat="1" ht="18">
      <c r="A78" s="74">
        <v>50</v>
      </c>
      <c r="B78" s="74" t="s">
        <v>5590</v>
      </c>
      <c r="C78" s="74" t="s">
        <v>5591</v>
      </c>
      <c r="D78" s="79">
        <v>0</v>
      </c>
      <c r="E78" s="79">
        <v>0</v>
      </c>
      <c r="F78" s="79">
        <v>0</v>
      </c>
      <c r="G78" s="79">
        <v>0</v>
      </c>
      <c r="H78" s="79">
        <v>0</v>
      </c>
      <c r="I78" s="79">
        <v>0</v>
      </c>
      <c r="J78" s="79">
        <v>0</v>
      </c>
      <c r="K78" s="79">
        <v>0</v>
      </c>
      <c r="L78" s="79"/>
      <c r="M78" s="79"/>
      <c r="N78" s="79"/>
    </row>
    <row r="79" spans="1:14" s="78" customFormat="1" ht="18">
      <c r="A79" s="74">
        <v>51</v>
      </c>
      <c r="B79" s="74" t="s">
        <v>5592</v>
      </c>
      <c r="C79" s="74" t="s">
        <v>5593</v>
      </c>
      <c r="D79" s="79">
        <v>0</v>
      </c>
      <c r="E79" s="79">
        <v>0</v>
      </c>
      <c r="F79" s="79">
        <v>0</v>
      </c>
      <c r="G79" s="79">
        <v>0</v>
      </c>
      <c r="H79" s="79">
        <v>0</v>
      </c>
      <c r="I79" s="79">
        <v>0</v>
      </c>
      <c r="J79" s="79">
        <v>0</v>
      </c>
      <c r="K79" s="79">
        <v>0</v>
      </c>
      <c r="L79" s="79"/>
      <c r="M79" s="79"/>
      <c r="N79" s="79"/>
    </row>
    <row r="80" spans="1:14" s="78" customFormat="1" ht="18">
      <c r="A80" s="74">
        <v>52</v>
      </c>
      <c r="B80" s="74" t="s">
        <v>5594</v>
      </c>
      <c r="C80" s="74" t="s">
        <v>5595</v>
      </c>
      <c r="D80" s="79">
        <v>0</v>
      </c>
      <c r="E80" s="79">
        <v>0</v>
      </c>
      <c r="F80" s="79">
        <v>0</v>
      </c>
      <c r="G80" s="79">
        <v>0</v>
      </c>
      <c r="H80" s="79">
        <v>0</v>
      </c>
      <c r="I80" s="79">
        <v>0</v>
      </c>
      <c r="J80" s="79">
        <v>0</v>
      </c>
      <c r="K80" s="79">
        <v>0</v>
      </c>
      <c r="L80" s="79"/>
      <c r="M80" s="79"/>
      <c r="N80" s="79"/>
    </row>
    <row r="81" spans="1:14" s="78" customFormat="1" ht="18">
      <c r="A81" s="74">
        <v>1</v>
      </c>
      <c r="B81" s="74" t="s">
        <v>779</v>
      </c>
      <c r="C81" s="74" t="s">
        <v>4401</v>
      </c>
      <c r="D81" s="79" t="s">
        <v>3510</v>
      </c>
      <c r="E81" s="79" t="s">
        <v>3184</v>
      </c>
      <c r="F81" s="79" t="s">
        <v>3511</v>
      </c>
      <c r="G81" s="79" t="s">
        <v>3512</v>
      </c>
      <c r="H81" s="79" t="s">
        <v>3511</v>
      </c>
      <c r="I81" s="79" t="s">
        <v>3513</v>
      </c>
      <c r="J81" s="79" t="s">
        <v>3514</v>
      </c>
      <c r="K81" s="79" t="s">
        <v>3515</v>
      </c>
      <c r="L81" s="79"/>
      <c r="M81" s="79"/>
      <c r="N81" s="79"/>
    </row>
    <row r="82" spans="1:14" s="78" customFormat="1" ht="18">
      <c r="A82" s="74">
        <v>3</v>
      </c>
      <c r="B82" s="74" t="s">
        <v>786</v>
      </c>
      <c r="C82" s="74" t="s">
        <v>4414</v>
      </c>
      <c r="D82" s="79" t="s">
        <v>5596</v>
      </c>
      <c r="E82" s="79" t="s">
        <v>3184</v>
      </c>
      <c r="F82" s="79" t="s">
        <v>5597</v>
      </c>
      <c r="G82" s="79" t="s">
        <v>5598</v>
      </c>
      <c r="H82" s="79">
        <v>0</v>
      </c>
      <c r="I82" s="79" t="s">
        <v>4110</v>
      </c>
      <c r="J82" s="79">
        <v>0</v>
      </c>
      <c r="K82" s="79" t="s">
        <v>5599</v>
      </c>
      <c r="L82" s="79"/>
      <c r="M82" s="79"/>
      <c r="N82" s="79"/>
    </row>
    <row r="83" spans="1:14" s="78" customFormat="1" ht="18">
      <c r="A83" s="74">
        <v>4</v>
      </c>
      <c r="B83" s="74" t="s">
        <v>788</v>
      </c>
      <c r="C83" s="74" t="s">
        <v>4421</v>
      </c>
      <c r="D83" s="79" t="s">
        <v>3503</v>
      </c>
      <c r="E83" s="79" t="s">
        <v>3213</v>
      </c>
      <c r="F83" s="79" t="s">
        <v>3504</v>
      </c>
      <c r="G83" s="79" t="s">
        <v>3505</v>
      </c>
      <c r="H83" s="79" t="s">
        <v>3506</v>
      </c>
      <c r="I83" s="79" t="s">
        <v>3507</v>
      </c>
      <c r="J83" s="79" t="s">
        <v>3504</v>
      </c>
      <c r="K83" s="79" t="s">
        <v>3508</v>
      </c>
      <c r="L83" s="79"/>
      <c r="M83" s="79"/>
      <c r="N83" s="79"/>
    </row>
    <row r="84" spans="1:14" s="78" customFormat="1" ht="18">
      <c r="A84" s="74">
        <v>6</v>
      </c>
      <c r="B84" s="74" t="s">
        <v>790</v>
      </c>
      <c r="C84" s="74" t="s">
        <v>4433</v>
      </c>
      <c r="D84" s="79" t="s">
        <v>3496</v>
      </c>
      <c r="E84" s="79" t="s">
        <v>3184</v>
      </c>
      <c r="F84" s="79" t="s">
        <v>3497</v>
      </c>
      <c r="G84" s="79" t="s">
        <v>3498</v>
      </c>
      <c r="H84" s="79">
        <v>0</v>
      </c>
      <c r="I84" s="79" t="s">
        <v>3499</v>
      </c>
      <c r="J84" s="79" t="s">
        <v>3500</v>
      </c>
      <c r="K84" s="79" t="s">
        <v>3501</v>
      </c>
      <c r="L84" s="79"/>
      <c r="M84" s="79"/>
      <c r="N84" s="79"/>
    </row>
    <row r="85" spans="1:14" s="78" customFormat="1" ht="18">
      <c r="A85" s="74">
        <v>17</v>
      </c>
      <c r="B85" s="74" t="s">
        <v>784</v>
      </c>
      <c r="C85" s="74" t="s">
        <v>4502</v>
      </c>
      <c r="D85" s="79" t="s">
        <v>5600</v>
      </c>
      <c r="E85" s="79" t="s">
        <v>3184</v>
      </c>
      <c r="F85" s="79" t="s">
        <v>5601</v>
      </c>
      <c r="G85" s="79" t="s">
        <v>5602</v>
      </c>
      <c r="H85" s="79" t="s">
        <v>5603</v>
      </c>
      <c r="I85" s="79" t="s">
        <v>5604</v>
      </c>
      <c r="J85" s="79" t="s">
        <v>5601</v>
      </c>
      <c r="K85" s="79" t="s">
        <v>4561</v>
      </c>
      <c r="L85" s="79"/>
      <c r="M85" s="79"/>
      <c r="N85" s="79"/>
    </row>
    <row r="86" spans="1:14" s="78" customFormat="1" ht="18">
      <c r="A86" s="74">
        <v>18</v>
      </c>
      <c r="B86" s="74" t="s">
        <v>618</v>
      </c>
      <c r="C86" s="74" t="s">
        <v>4509</v>
      </c>
      <c r="D86" s="79">
        <v>0</v>
      </c>
      <c r="E86" s="79">
        <v>0</v>
      </c>
      <c r="F86" s="79">
        <v>0</v>
      </c>
      <c r="G86" s="79">
        <v>0</v>
      </c>
      <c r="H86" s="79">
        <v>0</v>
      </c>
      <c r="I86" s="79">
        <v>0</v>
      </c>
      <c r="J86" s="79">
        <v>0</v>
      </c>
      <c r="K86" s="79">
        <v>0</v>
      </c>
      <c r="L86" s="79"/>
      <c r="M86" s="79"/>
      <c r="N86" s="79"/>
    </row>
    <row r="87" spans="1:14" s="78" customFormat="1" ht="18">
      <c r="A87" s="80">
        <v>1</v>
      </c>
      <c r="B87" s="80" t="s">
        <v>852</v>
      </c>
      <c r="C87" s="80" t="s">
        <v>4764</v>
      </c>
      <c r="D87" s="79" t="s">
        <v>5605</v>
      </c>
      <c r="E87" s="79" t="s">
        <v>3184</v>
      </c>
      <c r="F87" s="79" t="s">
        <v>5606</v>
      </c>
      <c r="G87" s="79" t="s">
        <v>5607</v>
      </c>
      <c r="H87" s="79" t="s">
        <v>5608</v>
      </c>
      <c r="I87" s="79" t="s">
        <v>5609</v>
      </c>
      <c r="J87" s="79" t="s">
        <v>5606</v>
      </c>
      <c r="K87" s="79" t="s">
        <v>5610</v>
      </c>
      <c r="L87" s="79"/>
      <c r="M87" s="79"/>
      <c r="N87" s="79"/>
    </row>
    <row r="88" spans="1:14" s="78" customFormat="1" ht="18">
      <c r="A88" s="80">
        <v>2</v>
      </c>
      <c r="B88" s="80" t="s">
        <v>850</v>
      </c>
      <c r="C88" s="80" t="s">
        <v>4768</v>
      </c>
      <c r="D88" s="79" t="s">
        <v>5611</v>
      </c>
      <c r="E88" s="79" t="s">
        <v>3184</v>
      </c>
      <c r="F88" s="79" t="s">
        <v>5612</v>
      </c>
      <c r="G88" s="79" t="s">
        <v>5613</v>
      </c>
      <c r="H88" s="79" t="s">
        <v>5614</v>
      </c>
      <c r="I88" s="79" t="s">
        <v>5615</v>
      </c>
      <c r="J88" s="79" t="s">
        <v>5612</v>
      </c>
      <c r="K88" s="79" t="s">
        <v>5616</v>
      </c>
      <c r="L88" s="79"/>
      <c r="M88" s="79"/>
      <c r="N88" s="79"/>
    </row>
    <row r="89" spans="1:14" s="78" customFormat="1" ht="18">
      <c r="A89" s="80">
        <v>3</v>
      </c>
      <c r="B89" s="80" t="s">
        <v>817</v>
      </c>
      <c r="C89" s="80" t="s">
        <v>4771</v>
      </c>
      <c r="D89" s="79" t="s">
        <v>5617</v>
      </c>
      <c r="E89" s="79" t="s">
        <v>3213</v>
      </c>
      <c r="F89" s="79" t="s">
        <v>5618</v>
      </c>
      <c r="G89" s="79" t="s">
        <v>5619</v>
      </c>
      <c r="H89" s="79" t="s">
        <v>5618</v>
      </c>
      <c r="I89" s="79" t="s">
        <v>3685</v>
      </c>
      <c r="J89" s="79" t="s">
        <v>5620</v>
      </c>
      <c r="K89" s="79" t="s">
        <v>5621</v>
      </c>
      <c r="L89" s="79"/>
      <c r="M89" s="79"/>
      <c r="N89" s="79"/>
    </row>
    <row r="90" spans="1:14" s="78" customFormat="1" ht="18">
      <c r="A90" s="80">
        <v>4</v>
      </c>
      <c r="B90" s="80" t="s">
        <v>825</v>
      </c>
      <c r="C90" s="80" t="s">
        <v>4774</v>
      </c>
      <c r="D90" s="79" t="s">
        <v>5622</v>
      </c>
      <c r="E90" s="79" t="s">
        <v>3213</v>
      </c>
      <c r="F90" s="79" t="s">
        <v>5623</v>
      </c>
      <c r="G90" s="79" t="s">
        <v>5624</v>
      </c>
      <c r="H90" s="79" t="s">
        <v>5625</v>
      </c>
      <c r="I90" s="79" t="s">
        <v>5452</v>
      </c>
      <c r="J90" s="79" t="s">
        <v>5623</v>
      </c>
      <c r="K90" s="79" t="s">
        <v>5626</v>
      </c>
      <c r="L90" s="79"/>
      <c r="M90" s="79"/>
      <c r="N90" s="79"/>
    </row>
    <row r="91" spans="1:14" s="78" customFormat="1" ht="18">
      <c r="A91" s="80">
        <v>5</v>
      </c>
      <c r="B91" s="80" t="s">
        <v>860</v>
      </c>
      <c r="C91" s="80" t="s">
        <v>4778</v>
      </c>
      <c r="D91" s="79" t="s">
        <v>5627</v>
      </c>
      <c r="E91" s="79" t="s">
        <v>3213</v>
      </c>
      <c r="F91" s="79" t="s">
        <v>5628</v>
      </c>
      <c r="G91" s="79" t="s">
        <v>5629</v>
      </c>
      <c r="H91" s="79" t="s">
        <v>5630</v>
      </c>
      <c r="I91" s="79" t="s">
        <v>5631</v>
      </c>
      <c r="J91" s="79" t="s">
        <v>5628</v>
      </c>
      <c r="K91" s="79" t="s">
        <v>5632</v>
      </c>
      <c r="L91" s="79"/>
      <c r="M91" s="79"/>
      <c r="N91" s="79"/>
    </row>
    <row r="92" spans="1:14" s="78" customFormat="1" ht="18">
      <c r="A92" s="80">
        <v>6</v>
      </c>
      <c r="B92" s="80" t="s">
        <v>838</v>
      </c>
      <c r="C92" s="80" t="s">
        <v>4782</v>
      </c>
      <c r="D92" s="79" t="s">
        <v>5633</v>
      </c>
      <c r="E92" s="79" t="s">
        <v>3184</v>
      </c>
      <c r="F92" s="79" t="s">
        <v>5634</v>
      </c>
      <c r="G92" s="79" t="s">
        <v>5635</v>
      </c>
      <c r="H92" s="79" t="s">
        <v>5636</v>
      </c>
      <c r="I92" s="79" t="s">
        <v>5637</v>
      </c>
      <c r="J92" s="79" t="s">
        <v>5634</v>
      </c>
      <c r="K92" s="79" t="s">
        <v>5398</v>
      </c>
      <c r="L92" s="79"/>
      <c r="M92" s="79"/>
      <c r="N92" s="79"/>
    </row>
    <row r="93" spans="1:14" s="78" customFormat="1" ht="18">
      <c r="A93" s="80">
        <v>7</v>
      </c>
      <c r="B93" s="80" t="s">
        <v>844</v>
      </c>
      <c r="C93" s="80" t="s">
        <v>4786</v>
      </c>
      <c r="D93" s="79" t="s">
        <v>3421</v>
      </c>
      <c r="E93" s="79" t="s">
        <v>3213</v>
      </c>
      <c r="F93" s="79" t="s">
        <v>5638</v>
      </c>
      <c r="G93" s="79" t="s">
        <v>5639</v>
      </c>
      <c r="H93" s="79" t="s">
        <v>5638</v>
      </c>
      <c r="I93" s="79" t="s">
        <v>5640</v>
      </c>
      <c r="J93" s="79" t="s">
        <v>5638</v>
      </c>
      <c r="K93" s="79" t="s">
        <v>5641</v>
      </c>
      <c r="L93" s="79"/>
      <c r="M93" s="79"/>
      <c r="N93" s="79"/>
    </row>
    <row r="94" spans="1:14" s="78" customFormat="1" ht="18">
      <c r="A94" s="80">
        <v>8</v>
      </c>
      <c r="B94" s="80" t="s">
        <v>811</v>
      </c>
      <c r="C94" s="80" t="s">
        <v>4790</v>
      </c>
      <c r="D94" s="79" t="s">
        <v>5642</v>
      </c>
      <c r="E94" s="79" t="s">
        <v>3184</v>
      </c>
      <c r="F94" s="79" t="s">
        <v>5643</v>
      </c>
      <c r="G94" s="79" t="s">
        <v>5644</v>
      </c>
      <c r="H94" s="79" t="s">
        <v>5645</v>
      </c>
      <c r="I94" s="79" t="s">
        <v>5646</v>
      </c>
      <c r="J94" s="79" t="s">
        <v>5643</v>
      </c>
      <c r="K94" s="79" t="s">
        <v>5647</v>
      </c>
      <c r="L94" s="79"/>
      <c r="M94" s="79"/>
      <c r="N94" s="79"/>
    </row>
    <row r="95" spans="1:14" s="78" customFormat="1" ht="18">
      <c r="A95" s="80">
        <v>9</v>
      </c>
      <c r="B95" s="80" t="s">
        <v>4233</v>
      </c>
      <c r="C95" s="80" t="s">
        <v>4795</v>
      </c>
      <c r="D95" s="79" t="s">
        <v>5648</v>
      </c>
      <c r="E95" s="79" t="s">
        <v>3184</v>
      </c>
      <c r="F95" s="79" t="s">
        <v>5649</v>
      </c>
      <c r="G95" s="79" t="s">
        <v>5650</v>
      </c>
      <c r="H95" s="79" t="s">
        <v>5651</v>
      </c>
      <c r="I95" s="79" t="s">
        <v>5504</v>
      </c>
      <c r="J95" s="79" t="s">
        <v>5649</v>
      </c>
      <c r="K95" s="79" t="s">
        <v>5652</v>
      </c>
      <c r="L95" s="79"/>
      <c r="M95" s="79"/>
      <c r="N95" s="79"/>
    </row>
    <row r="96" spans="1:14" s="78" customFormat="1" ht="18">
      <c r="A96" s="80">
        <v>10</v>
      </c>
      <c r="B96" s="80" t="s">
        <v>807</v>
      </c>
      <c r="C96" s="80" t="s">
        <v>4796</v>
      </c>
      <c r="D96" s="79" t="s">
        <v>5653</v>
      </c>
      <c r="E96" s="79" t="s">
        <v>3213</v>
      </c>
      <c r="F96" s="79" t="s">
        <v>5654</v>
      </c>
      <c r="G96" s="79" t="s">
        <v>5655</v>
      </c>
      <c r="H96" s="79" t="s">
        <v>5656</v>
      </c>
      <c r="I96" s="79" t="s">
        <v>5657</v>
      </c>
      <c r="J96" s="79" t="s">
        <v>5654</v>
      </c>
      <c r="K96" s="79" t="s">
        <v>5478</v>
      </c>
      <c r="L96" s="79"/>
      <c r="M96" s="79"/>
      <c r="N96" s="79"/>
    </row>
    <row r="97" spans="1:14" s="78" customFormat="1" ht="18">
      <c r="A97" s="80">
        <v>11</v>
      </c>
      <c r="B97" s="80" t="s">
        <v>809</v>
      </c>
      <c r="C97" s="80" t="s">
        <v>4800</v>
      </c>
      <c r="D97" s="79" t="s">
        <v>3242</v>
      </c>
      <c r="E97" s="79" t="s">
        <v>3184</v>
      </c>
      <c r="F97" s="79" t="s">
        <v>5658</v>
      </c>
      <c r="G97" s="79" t="s">
        <v>5659</v>
      </c>
      <c r="H97" s="79" t="s">
        <v>5660</v>
      </c>
      <c r="I97" s="79" t="s">
        <v>5530</v>
      </c>
      <c r="J97" s="79" t="s">
        <v>5658</v>
      </c>
      <c r="K97" s="79" t="s">
        <v>5661</v>
      </c>
      <c r="L97" s="79"/>
      <c r="M97" s="79"/>
      <c r="N97" s="79"/>
    </row>
    <row r="98" spans="1:14" s="78" customFormat="1" ht="18">
      <c r="A98" s="81">
        <v>12</v>
      </c>
      <c r="B98" s="81" t="s">
        <v>842</v>
      </c>
      <c r="C98" s="81" t="s">
        <v>4801</v>
      </c>
      <c r="D98" s="79" t="s">
        <v>5662</v>
      </c>
      <c r="E98" s="79" t="s">
        <v>3213</v>
      </c>
      <c r="F98" s="79" t="s">
        <v>5663</v>
      </c>
      <c r="G98" s="79" t="s">
        <v>5664</v>
      </c>
      <c r="H98" s="79" t="s">
        <v>5663</v>
      </c>
      <c r="I98" s="79" t="s">
        <v>5665</v>
      </c>
      <c r="J98" s="79" t="s">
        <v>5666</v>
      </c>
      <c r="K98" s="79" t="s">
        <v>5667</v>
      </c>
      <c r="L98" s="79"/>
      <c r="M98" s="79"/>
      <c r="N98" s="79"/>
    </row>
    <row r="99" spans="1:14" s="78" customFormat="1" ht="18">
      <c r="A99" s="80">
        <v>13</v>
      </c>
      <c r="B99" s="80" t="s">
        <v>834</v>
      </c>
      <c r="C99" s="80" t="s">
        <v>4802</v>
      </c>
      <c r="D99" s="79" t="s">
        <v>5648</v>
      </c>
      <c r="E99" s="79" t="s">
        <v>3213</v>
      </c>
      <c r="F99" s="79" t="s">
        <v>5668</v>
      </c>
      <c r="G99" s="79" t="s">
        <v>5669</v>
      </c>
      <c r="H99" s="79" t="s">
        <v>5670</v>
      </c>
      <c r="I99" s="79" t="s">
        <v>5671</v>
      </c>
      <c r="J99" s="79" t="s">
        <v>5668</v>
      </c>
      <c r="K99" s="79" t="s">
        <v>5672</v>
      </c>
      <c r="L99" s="79"/>
      <c r="M99" s="79"/>
      <c r="N99" s="79"/>
    </row>
    <row r="100" spans="1:14" s="78" customFormat="1" ht="18">
      <c r="A100" s="80">
        <v>14</v>
      </c>
      <c r="B100" s="80" t="s">
        <v>840</v>
      </c>
      <c r="C100" s="80" t="s">
        <v>5673</v>
      </c>
      <c r="D100" s="79" t="s">
        <v>5674</v>
      </c>
      <c r="E100" s="79" t="s">
        <v>3184</v>
      </c>
      <c r="F100" s="79" t="s">
        <v>5675</v>
      </c>
      <c r="G100" s="79" t="s">
        <v>5501</v>
      </c>
      <c r="H100" s="79" t="s">
        <v>5675</v>
      </c>
      <c r="I100" s="79" t="s">
        <v>5502</v>
      </c>
      <c r="J100" s="79" t="s">
        <v>5676</v>
      </c>
      <c r="K100" s="79" t="s">
        <v>5677</v>
      </c>
      <c r="L100" s="79"/>
      <c r="M100" s="79"/>
      <c r="N100" s="79"/>
    </row>
    <row r="101" spans="1:14" s="78" customFormat="1" ht="18">
      <c r="A101" s="80">
        <v>16</v>
      </c>
      <c r="B101" s="80" t="s">
        <v>848</v>
      </c>
      <c r="C101" s="80" t="s">
        <v>4810</v>
      </c>
      <c r="D101" s="79" t="s">
        <v>5678</v>
      </c>
      <c r="E101" s="79" t="s">
        <v>3213</v>
      </c>
      <c r="F101" s="79" t="s">
        <v>5679</v>
      </c>
      <c r="G101" s="79" t="s">
        <v>5680</v>
      </c>
      <c r="H101" s="79" t="s">
        <v>5681</v>
      </c>
      <c r="I101" s="79" t="s">
        <v>5682</v>
      </c>
      <c r="J101" s="79" t="s">
        <v>5679</v>
      </c>
      <c r="K101" s="79" t="s">
        <v>5683</v>
      </c>
      <c r="L101" s="79"/>
      <c r="M101" s="79"/>
      <c r="N101" s="79"/>
    </row>
    <row r="102" spans="1:14" s="78" customFormat="1" ht="18">
      <c r="A102" s="80">
        <v>17</v>
      </c>
      <c r="B102" s="80" t="s">
        <v>862</v>
      </c>
      <c r="C102" s="80" t="s">
        <v>4814</v>
      </c>
      <c r="D102" s="79" t="s">
        <v>3736</v>
      </c>
      <c r="E102" s="79" t="s">
        <v>3213</v>
      </c>
      <c r="F102" s="79" t="s">
        <v>5684</v>
      </c>
      <c r="G102" s="79" t="s">
        <v>5685</v>
      </c>
      <c r="H102" s="79" t="s">
        <v>5686</v>
      </c>
      <c r="I102" s="79" t="s">
        <v>5687</v>
      </c>
      <c r="J102" s="79" t="s">
        <v>5684</v>
      </c>
      <c r="K102" s="79" t="s">
        <v>3420</v>
      </c>
      <c r="L102" s="79"/>
      <c r="M102" s="79"/>
      <c r="N102" s="79"/>
    </row>
    <row r="103" spans="1:14" s="78" customFormat="1" ht="18">
      <c r="A103" s="80">
        <v>18</v>
      </c>
      <c r="B103" s="80" t="s">
        <v>805</v>
      </c>
      <c r="C103" s="80" t="s">
        <v>4818</v>
      </c>
      <c r="D103" s="79" t="s">
        <v>5688</v>
      </c>
      <c r="E103" s="79" t="s">
        <v>3213</v>
      </c>
      <c r="F103" s="79" t="s">
        <v>5689</v>
      </c>
      <c r="G103" s="79" t="s">
        <v>5690</v>
      </c>
      <c r="H103" s="79" t="s">
        <v>5691</v>
      </c>
      <c r="I103" s="79" t="s">
        <v>5692</v>
      </c>
      <c r="J103" s="79" t="s">
        <v>5689</v>
      </c>
      <c r="K103" s="79" t="s">
        <v>5693</v>
      </c>
      <c r="L103" s="79"/>
      <c r="M103" s="79"/>
      <c r="N103" s="79"/>
    </row>
    <row r="104" spans="1:14" s="78" customFormat="1" ht="18">
      <c r="A104" s="80">
        <v>19</v>
      </c>
      <c r="B104" s="80" t="s">
        <v>829</v>
      </c>
      <c r="C104" s="80" t="s">
        <v>4822</v>
      </c>
      <c r="D104" s="79" t="s">
        <v>3392</v>
      </c>
      <c r="E104" s="79" t="s">
        <v>3184</v>
      </c>
      <c r="F104" s="79" t="s">
        <v>5694</v>
      </c>
      <c r="G104" s="79" t="s">
        <v>5695</v>
      </c>
      <c r="H104" s="79" t="s">
        <v>5696</v>
      </c>
      <c r="I104" s="79" t="s">
        <v>5697</v>
      </c>
      <c r="J104" s="79" t="s">
        <v>5694</v>
      </c>
      <c r="K104" s="79" t="s">
        <v>5403</v>
      </c>
      <c r="L104" s="79"/>
      <c r="M104" s="79"/>
      <c r="N104" s="79"/>
    </row>
    <row r="105" spans="1:14" s="78" customFormat="1" ht="18">
      <c r="A105" s="80">
        <v>20</v>
      </c>
      <c r="B105" s="80" t="s">
        <v>827</v>
      </c>
      <c r="C105" s="80" t="s">
        <v>4826</v>
      </c>
      <c r="D105" s="79" t="s">
        <v>5698</v>
      </c>
      <c r="E105" s="79" t="s">
        <v>3213</v>
      </c>
      <c r="F105" s="79" t="s">
        <v>5699</v>
      </c>
      <c r="G105" s="79" t="s">
        <v>5700</v>
      </c>
      <c r="H105" s="79" t="s">
        <v>5701</v>
      </c>
      <c r="I105" s="79" t="s">
        <v>5702</v>
      </c>
      <c r="J105" s="79" t="s">
        <v>5699</v>
      </c>
      <c r="K105" s="79" t="s">
        <v>5703</v>
      </c>
      <c r="L105" s="79"/>
      <c r="M105" s="79"/>
      <c r="N105" s="79"/>
    </row>
    <row r="106" spans="1:14" s="78" customFormat="1" ht="18">
      <c r="A106" s="80">
        <v>21</v>
      </c>
      <c r="B106" s="80" t="s">
        <v>832</v>
      </c>
      <c r="C106" s="80" t="s">
        <v>4831</v>
      </c>
      <c r="D106" s="79" t="s">
        <v>5704</v>
      </c>
      <c r="E106" s="79" t="s">
        <v>3184</v>
      </c>
      <c r="F106" s="79" t="s">
        <v>5705</v>
      </c>
      <c r="G106" s="79" t="s">
        <v>51</v>
      </c>
      <c r="H106" s="79" t="s">
        <v>5706</v>
      </c>
      <c r="I106" s="79" t="s">
        <v>5707</v>
      </c>
      <c r="J106" s="79" t="s">
        <v>5705</v>
      </c>
      <c r="K106" s="79" t="s">
        <v>5708</v>
      </c>
      <c r="L106" s="79"/>
      <c r="M106" s="79"/>
      <c r="N106" s="79"/>
    </row>
    <row r="107" spans="1:14" s="78" customFormat="1" ht="18">
      <c r="A107" s="80">
        <v>22</v>
      </c>
      <c r="B107" s="80" t="s">
        <v>813</v>
      </c>
      <c r="C107" s="80" t="s">
        <v>4832</v>
      </c>
      <c r="D107" s="79" t="s">
        <v>5709</v>
      </c>
      <c r="E107" s="79" t="s">
        <v>3213</v>
      </c>
      <c r="F107" s="79" t="s">
        <v>5710</v>
      </c>
      <c r="G107" s="79" t="s">
        <v>4286</v>
      </c>
      <c r="H107" s="79" t="s">
        <v>5711</v>
      </c>
      <c r="I107" s="79" t="s">
        <v>5712</v>
      </c>
      <c r="J107" s="79" t="s">
        <v>5713</v>
      </c>
      <c r="K107" s="79" t="s">
        <v>5714</v>
      </c>
      <c r="L107" s="79"/>
      <c r="M107" s="79"/>
      <c r="N107" s="79"/>
    </row>
    <row r="108" spans="1:14" s="78" customFormat="1" ht="18">
      <c r="A108" s="80">
        <v>23</v>
      </c>
      <c r="B108" s="80" t="s">
        <v>823</v>
      </c>
      <c r="C108" s="80" t="s">
        <v>4836</v>
      </c>
      <c r="D108" s="79" t="s">
        <v>3721</v>
      </c>
      <c r="E108" s="79" t="s">
        <v>3184</v>
      </c>
      <c r="F108" s="79" t="s">
        <v>5715</v>
      </c>
      <c r="G108" s="79" t="s">
        <v>5716</v>
      </c>
      <c r="H108" s="79" t="s">
        <v>5717</v>
      </c>
      <c r="I108" s="79" t="s">
        <v>5718</v>
      </c>
      <c r="J108" s="79" t="s">
        <v>5715</v>
      </c>
      <c r="K108" s="79" t="s">
        <v>5719</v>
      </c>
      <c r="L108" s="79"/>
      <c r="M108" s="79"/>
      <c r="N108" s="79"/>
    </row>
    <row r="109" spans="1:14" s="78" customFormat="1" ht="0.6" customHeight="1">
      <c r="A109" s="81">
        <v>24</v>
      </c>
      <c r="B109" s="81" t="s">
        <v>821</v>
      </c>
      <c r="C109" s="81" t="s">
        <v>4840</v>
      </c>
      <c r="D109" s="79" t="s">
        <v>5720</v>
      </c>
      <c r="E109" s="79" t="s">
        <v>3213</v>
      </c>
      <c r="F109" s="79" t="s">
        <v>5721</v>
      </c>
      <c r="G109" s="79" t="s">
        <v>5722</v>
      </c>
      <c r="H109" s="79" t="s">
        <v>5723</v>
      </c>
      <c r="I109" s="79" t="s">
        <v>5724</v>
      </c>
      <c r="J109" s="79" t="s">
        <v>5721</v>
      </c>
      <c r="K109" s="79" t="s">
        <v>5725</v>
      </c>
      <c r="L109" s="79"/>
      <c r="M109" s="79"/>
      <c r="N109" s="79"/>
    </row>
    <row r="110" spans="1:14" s="78" customFormat="1" ht="18">
      <c r="A110" s="80">
        <v>25</v>
      </c>
      <c r="B110" s="80" t="s">
        <v>846</v>
      </c>
      <c r="C110" s="80" t="s">
        <v>4843</v>
      </c>
      <c r="D110" s="79" t="s">
        <v>5726</v>
      </c>
      <c r="E110" s="79" t="s">
        <v>3213</v>
      </c>
      <c r="F110" s="79" t="s">
        <v>5727</v>
      </c>
      <c r="G110" s="79" t="s">
        <v>5728</v>
      </c>
      <c r="H110" s="79" t="s">
        <v>5729</v>
      </c>
      <c r="I110" s="79" t="s">
        <v>5730</v>
      </c>
      <c r="J110" s="79" t="s">
        <v>5727</v>
      </c>
      <c r="K110" s="79" t="s">
        <v>5731</v>
      </c>
      <c r="L110" s="79"/>
      <c r="M110" s="79"/>
      <c r="N110" s="79"/>
    </row>
    <row r="111" spans="1:14" s="78" customFormat="1" ht="18">
      <c r="A111" s="80">
        <v>26</v>
      </c>
      <c r="B111" s="80" t="s">
        <v>802</v>
      </c>
      <c r="C111" s="80" t="s">
        <v>4847</v>
      </c>
      <c r="D111" s="79" t="s">
        <v>5732</v>
      </c>
      <c r="E111" s="79" t="s">
        <v>3184</v>
      </c>
      <c r="F111" s="79" t="s">
        <v>5733</v>
      </c>
      <c r="G111" s="79" t="s">
        <v>4963</v>
      </c>
      <c r="H111" s="79" t="s">
        <v>5734</v>
      </c>
      <c r="I111" s="79" t="s">
        <v>5735</v>
      </c>
      <c r="J111" s="79" t="s">
        <v>5733</v>
      </c>
      <c r="K111" s="79" t="s">
        <v>3596</v>
      </c>
      <c r="L111" s="79"/>
      <c r="M111" s="79"/>
      <c r="N111" s="79"/>
    </row>
    <row r="112" spans="1:14" s="78" customFormat="1" ht="18">
      <c r="A112" s="80">
        <v>27</v>
      </c>
      <c r="B112" s="80" t="s">
        <v>858</v>
      </c>
      <c r="C112" s="80" t="s">
        <v>4851</v>
      </c>
      <c r="D112" s="79" t="s">
        <v>5736</v>
      </c>
      <c r="E112" s="79" t="s">
        <v>3184</v>
      </c>
      <c r="F112" s="79" t="s">
        <v>5737</v>
      </c>
      <c r="G112" s="79" t="s">
        <v>5738</v>
      </c>
      <c r="H112" s="79" t="s">
        <v>5737</v>
      </c>
      <c r="I112" s="79" t="s">
        <v>3271</v>
      </c>
      <c r="J112" s="79" t="s">
        <v>5737</v>
      </c>
      <c r="K112" s="79" t="s">
        <v>5739</v>
      </c>
      <c r="L112" s="79"/>
      <c r="M112" s="79"/>
      <c r="N112" s="79"/>
    </row>
    <row r="113" spans="1:14" s="78" customFormat="1" ht="18">
      <c r="A113" s="80">
        <v>29</v>
      </c>
      <c r="B113" s="80" t="s">
        <v>856</v>
      </c>
      <c r="C113" s="80" t="s">
        <v>4856</v>
      </c>
      <c r="D113" s="79" t="s">
        <v>5740</v>
      </c>
      <c r="E113" s="79" t="s">
        <v>3213</v>
      </c>
      <c r="F113" s="79" t="s">
        <v>5741</v>
      </c>
      <c r="G113" s="79" t="s">
        <v>5742</v>
      </c>
      <c r="H113" s="79" t="s">
        <v>5743</v>
      </c>
      <c r="I113" s="79" t="s">
        <v>5744</v>
      </c>
      <c r="J113" s="79" t="s">
        <v>5741</v>
      </c>
      <c r="K113" s="79" t="s">
        <v>5745</v>
      </c>
      <c r="L113" s="79"/>
      <c r="M113" s="79"/>
      <c r="N113" s="79"/>
    </row>
    <row r="114" spans="1:14" s="78" customFormat="1" ht="18">
      <c r="A114" s="80">
        <v>30</v>
      </c>
      <c r="B114" s="80" t="s">
        <v>864</v>
      </c>
      <c r="C114" s="80" t="s">
        <v>4857</v>
      </c>
      <c r="D114" s="79" t="s">
        <v>3646</v>
      </c>
      <c r="E114" s="79" t="s">
        <v>3213</v>
      </c>
      <c r="F114" s="79" t="s">
        <v>5746</v>
      </c>
      <c r="G114" s="79" t="s">
        <v>5747</v>
      </c>
      <c r="H114" s="79" t="s">
        <v>5748</v>
      </c>
      <c r="I114" s="79" t="s">
        <v>5749</v>
      </c>
      <c r="J114" s="79" t="s">
        <v>5746</v>
      </c>
      <c r="K114" s="79" t="s">
        <v>5750</v>
      </c>
      <c r="L114" s="79"/>
      <c r="M114" s="79"/>
      <c r="N114" s="79"/>
    </row>
    <row r="115" spans="1:14" s="78" customFormat="1" ht="18">
      <c r="A115" s="80">
        <v>31</v>
      </c>
      <c r="B115" s="80" t="s">
        <v>819</v>
      </c>
      <c r="C115" s="80" t="s">
        <v>4858</v>
      </c>
      <c r="D115" s="79" t="s">
        <v>5751</v>
      </c>
      <c r="E115" s="79" t="s">
        <v>3213</v>
      </c>
      <c r="F115" s="79" t="s">
        <v>5752</v>
      </c>
      <c r="G115" s="79" t="s">
        <v>5753</v>
      </c>
      <c r="H115" s="79" t="s">
        <v>5754</v>
      </c>
      <c r="I115" s="79" t="s">
        <v>5755</v>
      </c>
      <c r="J115" s="79" t="s">
        <v>5752</v>
      </c>
      <c r="K115" s="79" t="s">
        <v>5756</v>
      </c>
      <c r="L115" s="79"/>
      <c r="M115" s="79"/>
      <c r="N115" s="79"/>
    </row>
    <row r="116" spans="1:14" s="78" customFormat="1" ht="18">
      <c r="A116" s="80">
        <v>32</v>
      </c>
      <c r="B116" s="80" t="s">
        <v>866</v>
      </c>
      <c r="C116" s="80" t="s">
        <v>4859</v>
      </c>
      <c r="D116" s="79" t="s">
        <v>5757</v>
      </c>
      <c r="E116" s="79" t="s">
        <v>3184</v>
      </c>
      <c r="F116" s="79" t="s">
        <v>5758</v>
      </c>
      <c r="G116" s="79" t="s">
        <v>5759</v>
      </c>
      <c r="H116" s="79" t="s">
        <v>5760</v>
      </c>
      <c r="I116" s="79" t="s">
        <v>5761</v>
      </c>
      <c r="J116" s="79" t="s">
        <v>5758</v>
      </c>
      <c r="K116" s="79" t="s">
        <v>5762</v>
      </c>
      <c r="L116" s="79"/>
      <c r="M116" s="79"/>
      <c r="N116" s="79"/>
    </row>
    <row r="117" spans="1:14" s="78" customFormat="1" ht="18">
      <c r="A117" s="81">
        <v>33</v>
      </c>
      <c r="B117" s="81" t="s">
        <v>693</v>
      </c>
      <c r="C117" s="81" t="s">
        <v>4860</v>
      </c>
      <c r="D117" s="79" t="s">
        <v>5763</v>
      </c>
      <c r="E117" s="79" t="s">
        <v>3184</v>
      </c>
      <c r="F117" s="79" t="s">
        <v>5764</v>
      </c>
      <c r="G117" s="79" t="s">
        <v>5765</v>
      </c>
      <c r="H117" s="79" t="s">
        <v>5766</v>
      </c>
      <c r="I117" s="79" t="s">
        <v>5767</v>
      </c>
      <c r="J117" s="79" t="s">
        <v>5764</v>
      </c>
      <c r="K117" s="79" t="s">
        <v>5768</v>
      </c>
      <c r="L117" s="79"/>
      <c r="M117" s="79"/>
      <c r="N117" s="79"/>
    </row>
    <row r="118" spans="1:14" s="78" customFormat="1" ht="18">
      <c r="A118" s="80">
        <v>34</v>
      </c>
      <c r="B118" s="80" t="s">
        <v>854</v>
      </c>
      <c r="C118" s="80" t="s">
        <v>4861</v>
      </c>
      <c r="D118" s="79" t="e">
        <v>#N/A</v>
      </c>
      <c r="E118" s="79" t="e">
        <v>#N/A</v>
      </c>
      <c r="F118" s="79" t="e">
        <v>#N/A</v>
      </c>
      <c r="G118" s="79" t="e">
        <v>#N/A</v>
      </c>
      <c r="H118" s="79" t="e">
        <v>#N/A</v>
      </c>
      <c r="I118" s="79" t="e">
        <v>#N/A</v>
      </c>
      <c r="J118" s="79" t="e">
        <v>#N/A</v>
      </c>
      <c r="K118" s="79" t="e">
        <v>#N/A</v>
      </c>
      <c r="L118" s="79"/>
      <c r="M118" s="79"/>
      <c r="N118" s="79"/>
    </row>
    <row r="119" spans="1:14" s="78" customFormat="1" ht="18">
      <c r="A119" s="80">
        <v>35</v>
      </c>
      <c r="B119" s="80" t="s">
        <v>5769</v>
      </c>
      <c r="C119" s="80" t="s">
        <v>4862</v>
      </c>
      <c r="D119" s="79" t="e">
        <v>#N/A</v>
      </c>
      <c r="E119" s="79" t="e">
        <v>#N/A</v>
      </c>
      <c r="F119" s="79" t="e">
        <v>#N/A</v>
      </c>
      <c r="G119" s="79" t="e">
        <v>#N/A</v>
      </c>
      <c r="H119" s="79" t="e">
        <v>#N/A</v>
      </c>
      <c r="I119" s="79" t="e">
        <v>#N/A</v>
      </c>
      <c r="J119" s="79" t="e">
        <v>#N/A</v>
      </c>
      <c r="K119" s="79" t="e">
        <v>#N/A</v>
      </c>
      <c r="L119" s="79"/>
      <c r="M119" s="79"/>
      <c r="N119" s="79"/>
    </row>
    <row r="120" spans="1:14" s="78" customFormat="1" ht="18">
      <c r="A120" s="80">
        <v>36</v>
      </c>
      <c r="B120" s="80" t="s">
        <v>5770</v>
      </c>
      <c r="C120" s="80" t="s">
        <v>4863</v>
      </c>
      <c r="D120" s="79" t="e">
        <v>#N/A</v>
      </c>
      <c r="E120" s="79" t="e">
        <v>#N/A</v>
      </c>
      <c r="F120" s="79" t="e">
        <v>#N/A</v>
      </c>
      <c r="G120" s="79" t="e">
        <v>#N/A</v>
      </c>
      <c r="H120" s="79" t="e">
        <v>#N/A</v>
      </c>
      <c r="I120" s="79" t="e">
        <v>#N/A</v>
      </c>
      <c r="J120" s="79" t="e">
        <v>#N/A</v>
      </c>
      <c r="K120" s="79" t="e">
        <v>#N/A</v>
      </c>
      <c r="L120" s="79"/>
      <c r="M120" s="79"/>
      <c r="N120" s="79"/>
    </row>
    <row r="121" spans="1:14" s="78" customFormat="1" ht="18">
      <c r="A121" s="80">
        <v>37</v>
      </c>
      <c r="B121" s="80" t="s">
        <v>815</v>
      </c>
      <c r="C121" s="80" t="s">
        <v>4864</v>
      </c>
      <c r="D121" s="79" t="s">
        <v>3279</v>
      </c>
      <c r="E121" s="79" t="s">
        <v>3213</v>
      </c>
      <c r="F121" s="79" t="s">
        <v>5771</v>
      </c>
      <c r="G121" s="79" t="s">
        <v>5772</v>
      </c>
      <c r="H121" s="79" t="s">
        <v>5773</v>
      </c>
      <c r="I121" s="79" t="s">
        <v>4631</v>
      </c>
      <c r="J121" s="79" t="s">
        <v>5771</v>
      </c>
      <c r="K121" s="79" t="s">
        <v>5774</v>
      </c>
      <c r="L121" s="79"/>
      <c r="M121" s="79"/>
      <c r="N121" s="79"/>
    </row>
    <row r="122" spans="1:14" s="78" customFormat="1" ht="18">
      <c r="A122" s="80">
        <v>38</v>
      </c>
      <c r="B122" s="80" t="s">
        <v>5775</v>
      </c>
      <c r="C122" s="80" t="s">
        <v>4865</v>
      </c>
      <c r="D122" s="79" t="e">
        <v>#N/A</v>
      </c>
      <c r="E122" s="79" t="e">
        <v>#N/A</v>
      </c>
      <c r="F122" s="79" t="e">
        <v>#N/A</v>
      </c>
      <c r="G122" s="79" t="e">
        <v>#N/A</v>
      </c>
      <c r="H122" s="79" t="e">
        <v>#N/A</v>
      </c>
      <c r="I122" s="79" t="e">
        <v>#N/A</v>
      </c>
      <c r="J122" s="79" t="e">
        <v>#N/A</v>
      </c>
      <c r="K122" s="79" t="e">
        <v>#N/A</v>
      </c>
      <c r="L122" s="79"/>
      <c r="M122" s="79"/>
      <c r="N122" s="79"/>
    </row>
    <row r="123" spans="1:14" s="78" customFormat="1" ht="18">
      <c r="A123" s="80">
        <v>4</v>
      </c>
      <c r="B123" s="80" t="s">
        <v>868</v>
      </c>
      <c r="C123" s="80" t="s">
        <v>5776</v>
      </c>
      <c r="D123" s="79">
        <v>0</v>
      </c>
      <c r="E123" s="79">
        <v>0</v>
      </c>
      <c r="F123" s="79">
        <v>0</v>
      </c>
      <c r="G123" s="79">
        <v>0</v>
      </c>
      <c r="H123" s="79">
        <v>0</v>
      </c>
      <c r="I123" s="79">
        <v>0</v>
      </c>
      <c r="J123" s="79">
        <v>0</v>
      </c>
      <c r="K123" s="79">
        <v>0</v>
      </c>
      <c r="L123" s="79"/>
      <c r="M123" s="79"/>
      <c r="N123" s="79"/>
    </row>
    <row r="124" spans="1:14" s="78" customFormat="1" ht="18">
      <c r="A124" s="80">
        <v>11</v>
      </c>
      <c r="B124" s="80" t="s">
        <v>454</v>
      </c>
      <c r="C124" s="80" t="s">
        <v>5777</v>
      </c>
      <c r="D124" s="79">
        <v>0</v>
      </c>
      <c r="E124" s="79">
        <v>0</v>
      </c>
      <c r="F124" s="79">
        <v>0</v>
      </c>
      <c r="G124" s="79">
        <v>0</v>
      </c>
      <c r="H124" s="79">
        <v>0</v>
      </c>
      <c r="I124" s="79">
        <v>0</v>
      </c>
      <c r="J124" s="79">
        <v>0</v>
      </c>
      <c r="K124" s="79">
        <v>0</v>
      </c>
      <c r="L124" s="79"/>
      <c r="M124" s="79"/>
      <c r="N124" s="79"/>
    </row>
    <row r="125" spans="1:14" s="78" customFormat="1" ht="18">
      <c r="A125" s="80">
        <v>13</v>
      </c>
      <c r="B125" s="80" t="s">
        <v>888</v>
      </c>
      <c r="C125" s="80" t="s">
        <v>5778</v>
      </c>
      <c r="D125" s="79">
        <v>0</v>
      </c>
      <c r="E125" s="79">
        <v>0</v>
      </c>
      <c r="F125" s="79">
        <v>0</v>
      </c>
      <c r="G125" s="79">
        <v>0</v>
      </c>
      <c r="H125" s="79">
        <v>0</v>
      </c>
      <c r="I125" s="79">
        <v>0</v>
      </c>
      <c r="J125" s="79">
        <v>0</v>
      </c>
      <c r="K125" s="79">
        <v>0</v>
      </c>
      <c r="L125" s="79"/>
      <c r="M125" s="79"/>
      <c r="N125" s="79"/>
    </row>
    <row r="126" spans="1:14" s="78" customFormat="1" ht="18">
      <c r="A126" s="80">
        <v>17</v>
      </c>
      <c r="B126" s="80" t="s">
        <v>892</v>
      </c>
      <c r="C126" s="80" t="s">
        <v>5779</v>
      </c>
      <c r="D126" s="79">
        <v>0</v>
      </c>
      <c r="E126" s="79">
        <v>0</v>
      </c>
      <c r="F126" s="79">
        <v>0</v>
      </c>
      <c r="G126" s="79">
        <v>0</v>
      </c>
      <c r="H126" s="79">
        <v>0</v>
      </c>
      <c r="I126" s="79">
        <v>0</v>
      </c>
      <c r="J126" s="79">
        <v>0</v>
      </c>
      <c r="K126" s="79">
        <v>0</v>
      </c>
      <c r="L126" s="79"/>
      <c r="M126" s="79"/>
      <c r="N126" s="79"/>
    </row>
    <row r="127" spans="1:14" s="78" customFormat="1" ht="18">
      <c r="A127" s="74">
        <v>1</v>
      </c>
      <c r="B127" s="74" t="s">
        <v>924</v>
      </c>
      <c r="C127" s="74" t="s">
        <v>5780</v>
      </c>
      <c r="D127" s="79" t="s">
        <v>3517</v>
      </c>
      <c r="E127" s="79" t="s">
        <v>3184</v>
      </c>
      <c r="F127" s="79" t="s">
        <v>3551</v>
      </c>
      <c r="G127" s="79" t="s">
        <v>3552</v>
      </c>
      <c r="H127" s="79" t="s">
        <v>3553</v>
      </c>
      <c r="I127" s="79" t="s">
        <v>3554</v>
      </c>
      <c r="J127" s="79">
        <v>0</v>
      </c>
      <c r="K127" s="79" t="s">
        <v>3555</v>
      </c>
      <c r="L127" s="79"/>
      <c r="M127" s="79"/>
      <c r="N127" s="79"/>
    </row>
    <row r="128" spans="1:14" s="78" customFormat="1" ht="18">
      <c r="A128" s="74">
        <v>2</v>
      </c>
      <c r="B128" s="74" t="s">
        <v>921</v>
      </c>
      <c r="C128" s="74" t="s">
        <v>5781</v>
      </c>
      <c r="D128" s="79" t="s">
        <v>3536</v>
      </c>
      <c r="E128" s="79" t="s">
        <v>3213</v>
      </c>
      <c r="F128" s="79" t="s">
        <v>3537</v>
      </c>
      <c r="G128" s="79" t="s">
        <v>3538</v>
      </c>
      <c r="H128" s="79" t="s">
        <v>3539</v>
      </c>
      <c r="I128" s="79" t="s">
        <v>3540</v>
      </c>
      <c r="J128" s="79" t="s">
        <v>3541</v>
      </c>
      <c r="K128" s="79" t="s">
        <v>3542</v>
      </c>
      <c r="L128" s="79"/>
      <c r="M128" s="79"/>
      <c r="N128" s="79"/>
    </row>
    <row r="129" spans="1:14" s="78" customFormat="1" ht="18">
      <c r="A129" s="74">
        <v>3</v>
      </c>
      <c r="B129" s="74" t="s">
        <v>926</v>
      </c>
      <c r="C129" s="74" t="s">
        <v>4873</v>
      </c>
      <c r="D129" s="79" t="s">
        <v>5782</v>
      </c>
      <c r="E129" s="79" t="s">
        <v>3184</v>
      </c>
      <c r="F129" s="79" t="s">
        <v>5783</v>
      </c>
      <c r="G129" s="79" t="s">
        <v>5784</v>
      </c>
      <c r="H129" s="79" t="s">
        <v>5785</v>
      </c>
      <c r="I129" s="79" t="s">
        <v>5786</v>
      </c>
      <c r="J129" s="79">
        <v>0</v>
      </c>
      <c r="K129" s="79" t="s">
        <v>5787</v>
      </c>
      <c r="L129" s="79"/>
      <c r="M129" s="79"/>
      <c r="N129" s="79"/>
    </row>
    <row r="130" spans="1:14" s="78" customFormat="1" ht="18">
      <c r="A130" s="74">
        <v>4</v>
      </c>
      <c r="B130" s="74" t="s">
        <v>917</v>
      </c>
      <c r="C130" s="74" t="s">
        <v>4874</v>
      </c>
      <c r="D130" s="79" t="s">
        <v>3523</v>
      </c>
      <c r="E130" s="79" t="s">
        <v>3184</v>
      </c>
      <c r="F130" s="79" t="s">
        <v>3524</v>
      </c>
      <c r="G130" s="79" t="s">
        <v>3525</v>
      </c>
      <c r="H130" s="79" t="s">
        <v>3526</v>
      </c>
      <c r="I130" s="79" t="s">
        <v>3527</v>
      </c>
      <c r="J130" s="79">
        <v>0</v>
      </c>
      <c r="K130" s="79" t="s">
        <v>3528</v>
      </c>
      <c r="L130" s="79"/>
      <c r="M130" s="79"/>
      <c r="N130" s="79"/>
    </row>
    <row r="131" spans="1:14" s="78" customFormat="1" ht="18">
      <c r="A131" s="74">
        <v>5</v>
      </c>
      <c r="B131" s="74" t="s">
        <v>525</v>
      </c>
      <c r="C131" s="74" t="s">
        <v>5788</v>
      </c>
      <c r="D131" s="79" t="s">
        <v>3470</v>
      </c>
      <c r="E131" s="79" t="s">
        <v>3213</v>
      </c>
      <c r="F131" s="79" t="s">
        <v>3544</v>
      </c>
      <c r="G131" s="79" t="s">
        <v>3545</v>
      </c>
      <c r="H131" s="79" t="s">
        <v>3546</v>
      </c>
      <c r="I131" s="79" t="s">
        <v>3547</v>
      </c>
      <c r="J131" s="79" t="s">
        <v>3548</v>
      </c>
      <c r="K131" s="79" t="s">
        <v>3549</v>
      </c>
      <c r="L131" s="79"/>
      <c r="M131" s="79"/>
      <c r="N131" s="79"/>
    </row>
    <row r="132" spans="1:14" s="78" customFormat="1" ht="18">
      <c r="A132" s="74">
        <v>6</v>
      </c>
      <c r="B132" s="74" t="s">
        <v>919</v>
      </c>
      <c r="C132" s="74" t="s">
        <v>5789</v>
      </c>
      <c r="D132" s="79" t="s">
        <v>3530</v>
      </c>
      <c r="E132" s="79" t="s">
        <v>3213</v>
      </c>
      <c r="F132" s="79" t="s">
        <v>3531</v>
      </c>
      <c r="G132" s="79" t="s">
        <v>3532</v>
      </c>
      <c r="H132" s="79">
        <v>0</v>
      </c>
      <c r="I132" s="79" t="s">
        <v>3533</v>
      </c>
      <c r="J132" s="79">
        <v>0</v>
      </c>
      <c r="K132" s="79" t="s">
        <v>3534</v>
      </c>
      <c r="L132" s="79"/>
      <c r="M132" s="79"/>
      <c r="N132" s="79"/>
    </row>
    <row r="133" spans="1:14" s="78" customFormat="1" ht="18">
      <c r="A133" s="74">
        <v>7</v>
      </c>
      <c r="B133" s="74" t="s">
        <v>905</v>
      </c>
      <c r="C133" s="74" t="s">
        <v>5790</v>
      </c>
      <c r="D133" s="79" t="s">
        <v>3585</v>
      </c>
      <c r="E133" s="79" t="s">
        <v>3213</v>
      </c>
      <c r="F133" s="79" t="s">
        <v>3586</v>
      </c>
      <c r="G133" s="79" t="s">
        <v>3587</v>
      </c>
      <c r="H133" s="79" t="s">
        <v>3588</v>
      </c>
      <c r="I133" s="79" t="s">
        <v>3589</v>
      </c>
      <c r="J133" s="79" t="s">
        <v>3590</v>
      </c>
      <c r="K133" s="79" t="s">
        <v>3591</v>
      </c>
      <c r="L133" s="79"/>
      <c r="M133" s="79"/>
      <c r="N133" s="79"/>
    </row>
    <row r="134" spans="1:14" s="78" customFormat="1" ht="18">
      <c r="A134" s="74">
        <v>8</v>
      </c>
      <c r="B134" s="74" t="s">
        <v>930</v>
      </c>
      <c r="C134" s="74" t="s">
        <v>5791</v>
      </c>
      <c r="D134" s="79" t="s">
        <v>3578</v>
      </c>
      <c r="E134" s="79" t="s">
        <v>3213</v>
      </c>
      <c r="F134" s="79" t="s">
        <v>3579</v>
      </c>
      <c r="G134" s="79" t="s">
        <v>3580</v>
      </c>
      <c r="H134" s="79" t="s">
        <v>3581</v>
      </c>
      <c r="I134" s="79" t="s">
        <v>3582</v>
      </c>
      <c r="J134" s="79">
        <v>0</v>
      </c>
      <c r="K134" s="79" t="s">
        <v>3583</v>
      </c>
      <c r="L134" s="79"/>
      <c r="M134" s="79"/>
      <c r="N134" s="79"/>
    </row>
    <row r="135" spans="1:14" s="78" customFormat="1" ht="18">
      <c r="A135" s="74">
        <v>9</v>
      </c>
      <c r="B135" s="74" t="s">
        <v>928</v>
      </c>
      <c r="C135" s="74" t="s">
        <v>5792</v>
      </c>
      <c r="D135" s="79" t="s">
        <v>3427</v>
      </c>
      <c r="E135" s="79" t="s">
        <v>3184</v>
      </c>
      <c r="F135" s="79" t="s">
        <v>3557</v>
      </c>
      <c r="G135" s="79" t="s">
        <v>3558</v>
      </c>
      <c r="H135" s="79" t="s">
        <v>3559</v>
      </c>
      <c r="I135" s="79" t="s">
        <v>3560</v>
      </c>
      <c r="J135" s="79">
        <v>0</v>
      </c>
      <c r="K135" s="79" t="s">
        <v>3561</v>
      </c>
      <c r="L135" s="79"/>
      <c r="M135" s="79"/>
      <c r="N135" s="79"/>
    </row>
    <row r="136" spans="1:14" s="78" customFormat="1" ht="18">
      <c r="A136" s="81">
        <v>10</v>
      </c>
      <c r="B136" s="81" t="s">
        <v>5793</v>
      </c>
      <c r="C136" s="81" t="s">
        <v>5794</v>
      </c>
      <c r="D136" s="79" t="e">
        <v>#N/A</v>
      </c>
      <c r="E136" s="79" t="e">
        <v>#N/A</v>
      </c>
      <c r="F136" s="79" t="e">
        <v>#N/A</v>
      </c>
      <c r="G136" s="79" t="e">
        <v>#N/A</v>
      </c>
      <c r="H136" s="79" t="e">
        <v>#N/A</v>
      </c>
      <c r="I136" s="79" t="e">
        <v>#N/A</v>
      </c>
      <c r="J136" s="79" t="e">
        <v>#N/A</v>
      </c>
      <c r="K136" s="79" t="e">
        <v>#N/A</v>
      </c>
      <c r="L136" s="79"/>
      <c r="M136" s="79"/>
      <c r="N136" s="79"/>
    </row>
    <row r="137" spans="1:14" s="78" customFormat="1" ht="18">
      <c r="A137" s="74">
        <v>11</v>
      </c>
      <c r="B137" s="74" t="s">
        <v>907</v>
      </c>
      <c r="C137" s="74" t="s">
        <v>5795</v>
      </c>
      <c r="D137" s="79" t="e">
        <v>#N/A</v>
      </c>
      <c r="E137" s="79" t="e">
        <v>#N/A</v>
      </c>
      <c r="F137" s="79" t="e">
        <v>#N/A</v>
      </c>
      <c r="G137" s="79" t="e">
        <v>#N/A</v>
      </c>
      <c r="H137" s="79" t="e">
        <v>#N/A</v>
      </c>
      <c r="I137" s="79" t="e">
        <v>#N/A</v>
      </c>
      <c r="J137" s="79" t="e">
        <v>#N/A</v>
      </c>
      <c r="K137" s="79" t="e">
        <v>#N/A</v>
      </c>
      <c r="L137" s="79"/>
      <c r="M137" s="79"/>
      <c r="N137" s="79"/>
    </row>
    <row r="138" spans="1:14" s="78" customFormat="1" ht="18">
      <c r="A138" s="74">
        <v>1</v>
      </c>
      <c r="B138" s="74" t="s">
        <v>595</v>
      </c>
      <c r="C138" s="74" t="s">
        <v>5796</v>
      </c>
      <c r="D138" s="79" t="s">
        <v>3651</v>
      </c>
      <c r="E138" s="79" t="s">
        <v>3213</v>
      </c>
      <c r="F138" s="79" t="s">
        <v>3652</v>
      </c>
      <c r="G138" s="79" t="s">
        <v>3653</v>
      </c>
      <c r="H138" s="79" t="s">
        <v>3654</v>
      </c>
      <c r="I138" s="79" t="s">
        <v>3655</v>
      </c>
      <c r="J138" s="79" t="s">
        <v>3656</v>
      </c>
      <c r="K138" s="79" t="s">
        <v>3657</v>
      </c>
      <c r="L138" s="79"/>
      <c r="M138" s="79"/>
      <c r="N138" s="79"/>
    </row>
    <row r="139" spans="1:14" s="78" customFormat="1" ht="18">
      <c r="A139" s="74">
        <v>2</v>
      </c>
      <c r="B139" s="74" t="s">
        <v>606</v>
      </c>
      <c r="C139" s="74" t="s">
        <v>5797</v>
      </c>
      <c r="D139" s="79" t="s">
        <v>3221</v>
      </c>
      <c r="E139" s="79" t="s">
        <v>3184</v>
      </c>
      <c r="F139" s="79" t="s">
        <v>5798</v>
      </c>
      <c r="G139" s="79" t="s">
        <v>5799</v>
      </c>
      <c r="H139" s="79" t="s">
        <v>5800</v>
      </c>
      <c r="I139" s="79" t="s">
        <v>5801</v>
      </c>
      <c r="J139" s="79" t="s">
        <v>5802</v>
      </c>
      <c r="K139" s="79" t="s">
        <v>5803</v>
      </c>
      <c r="L139" s="79"/>
      <c r="M139" s="79"/>
      <c r="N139" s="79"/>
    </row>
    <row r="140" spans="1:14" s="78" customFormat="1" ht="18">
      <c r="A140" s="74">
        <v>3</v>
      </c>
      <c r="B140" s="74" t="s">
        <v>604</v>
      </c>
      <c r="C140" s="74" t="s">
        <v>5804</v>
      </c>
      <c r="D140" s="79">
        <v>40067</v>
      </c>
      <c r="E140" s="79" t="s">
        <v>3213</v>
      </c>
      <c r="F140" s="79" t="s">
        <v>3744</v>
      </c>
      <c r="G140" s="79" t="s">
        <v>3745</v>
      </c>
      <c r="H140" s="79" t="s">
        <v>3746</v>
      </c>
      <c r="I140" s="79" t="s">
        <v>3747</v>
      </c>
      <c r="J140" s="79" t="s">
        <v>3748</v>
      </c>
      <c r="K140" s="79" t="s">
        <v>3749</v>
      </c>
      <c r="L140" s="79"/>
      <c r="M140" s="79"/>
      <c r="N140" s="79"/>
    </row>
    <row r="141" spans="1:14" s="78" customFormat="1" ht="18">
      <c r="A141" s="74">
        <v>4</v>
      </c>
      <c r="B141" s="74" t="s">
        <v>624</v>
      </c>
      <c r="C141" s="74" t="s">
        <v>5805</v>
      </c>
      <c r="D141" s="79" t="s">
        <v>3673</v>
      </c>
      <c r="E141" s="79" t="s">
        <v>3213</v>
      </c>
      <c r="F141" s="79" t="s">
        <v>3674</v>
      </c>
      <c r="G141" s="79" t="s">
        <v>3675</v>
      </c>
      <c r="H141" s="79" t="s">
        <v>3676</v>
      </c>
      <c r="I141" s="79" t="s">
        <v>3677</v>
      </c>
      <c r="J141" s="79" t="s">
        <v>3678</v>
      </c>
      <c r="K141" s="79" t="s">
        <v>3679</v>
      </c>
      <c r="L141" s="79"/>
      <c r="M141" s="79"/>
      <c r="N141" s="79"/>
    </row>
    <row r="142" spans="1:14" s="78" customFormat="1" ht="18">
      <c r="A142" s="74">
        <v>5</v>
      </c>
      <c r="B142" s="74" t="s">
        <v>602</v>
      </c>
      <c r="C142" s="74" t="s">
        <v>5806</v>
      </c>
      <c r="D142" s="79" t="s">
        <v>3396</v>
      </c>
      <c r="E142" s="79" t="s">
        <v>3213</v>
      </c>
      <c r="F142" s="79" t="s">
        <v>3729</v>
      </c>
      <c r="G142" s="79" t="s">
        <v>3730</v>
      </c>
      <c r="H142" s="79" t="s">
        <v>3731</v>
      </c>
      <c r="I142" s="79" t="s">
        <v>3732</v>
      </c>
      <c r="J142" s="79" t="s">
        <v>3733</v>
      </c>
      <c r="K142" s="79" t="s">
        <v>3734</v>
      </c>
      <c r="L142" s="79"/>
      <c r="M142" s="79"/>
      <c r="N142" s="79"/>
    </row>
    <row r="143" spans="1:14" s="78" customFormat="1" ht="18">
      <c r="A143" s="74">
        <v>6</v>
      </c>
      <c r="B143" s="74" t="s">
        <v>600</v>
      </c>
      <c r="C143" s="74" t="s">
        <v>5807</v>
      </c>
      <c r="D143" s="79" t="s">
        <v>3721</v>
      </c>
      <c r="E143" s="79" t="s">
        <v>3213</v>
      </c>
      <c r="F143" s="79" t="s">
        <v>3722</v>
      </c>
      <c r="G143" s="79" t="s">
        <v>3723</v>
      </c>
      <c r="H143" s="79" t="s">
        <v>3724</v>
      </c>
      <c r="I143" s="79" t="s">
        <v>3725</v>
      </c>
      <c r="J143" s="79" t="s">
        <v>3726</v>
      </c>
      <c r="K143" s="79" t="s">
        <v>3727</v>
      </c>
      <c r="L143" s="79"/>
      <c r="M143" s="79"/>
      <c r="N143" s="79"/>
    </row>
    <row r="144" spans="1:14" s="78" customFormat="1" ht="18">
      <c r="A144" s="74">
        <v>7</v>
      </c>
      <c r="B144" s="74" t="s">
        <v>626</v>
      </c>
      <c r="C144" s="74" t="s">
        <v>5808</v>
      </c>
      <c r="D144" s="79" t="s">
        <v>3736</v>
      </c>
      <c r="E144" s="79" t="s">
        <v>3213</v>
      </c>
      <c r="F144" s="79" t="s">
        <v>3737</v>
      </c>
      <c r="G144" s="79" t="s">
        <v>3738</v>
      </c>
      <c r="H144" s="79" t="s">
        <v>3739</v>
      </c>
      <c r="I144" s="79" t="s">
        <v>3740</v>
      </c>
      <c r="J144" s="79" t="s">
        <v>3741</v>
      </c>
      <c r="K144" s="79" t="s">
        <v>3742</v>
      </c>
      <c r="L144" s="79"/>
      <c r="M144" s="79"/>
      <c r="N144" s="79"/>
    </row>
    <row r="145" spans="1:14" s="78" customFormat="1" ht="18">
      <c r="A145" s="74">
        <v>8</v>
      </c>
      <c r="B145" s="74" t="s">
        <v>620</v>
      </c>
      <c r="C145" s="74" t="s">
        <v>5809</v>
      </c>
      <c r="D145" s="79" t="e">
        <v>#N/A</v>
      </c>
      <c r="E145" s="79" t="e">
        <v>#N/A</v>
      </c>
      <c r="F145" s="79" t="e">
        <v>#N/A</v>
      </c>
      <c r="G145" s="79" t="e">
        <v>#N/A</v>
      </c>
      <c r="H145" s="79" t="e">
        <v>#N/A</v>
      </c>
      <c r="I145" s="79" t="e">
        <v>#N/A</v>
      </c>
      <c r="J145" s="79" t="e">
        <v>#N/A</v>
      </c>
      <c r="K145" s="79" t="e">
        <v>#N/A</v>
      </c>
      <c r="L145" s="79"/>
      <c r="M145" s="79"/>
      <c r="N145" s="79"/>
    </row>
    <row r="146" spans="1:14" s="78" customFormat="1" ht="18">
      <c r="A146" s="74">
        <v>9</v>
      </c>
      <c r="B146" s="74" t="s">
        <v>633</v>
      </c>
      <c r="C146" s="74" t="s">
        <v>5810</v>
      </c>
      <c r="D146" s="79" t="s">
        <v>3705</v>
      </c>
      <c r="E146" s="79" t="s">
        <v>3184</v>
      </c>
      <c r="F146" s="79" t="s">
        <v>3706</v>
      </c>
      <c r="G146" s="79" t="s">
        <v>3707</v>
      </c>
      <c r="H146" s="79" t="s">
        <v>3708</v>
      </c>
      <c r="I146" s="79" t="s">
        <v>3709</v>
      </c>
      <c r="J146" s="79" t="s">
        <v>3710</v>
      </c>
      <c r="K146" s="79" t="s">
        <v>3711</v>
      </c>
      <c r="L146" s="79"/>
      <c r="M146" s="79"/>
      <c r="N146" s="79"/>
    </row>
    <row r="147" spans="1:14" s="78" customFormat="1" ht="18">
      <c r="A147" s="74">
        <v>10</v>
      </c>
      <c r="B147" s="74" t="s">
        <v>285</v>
      </c>
      <c r="C147" s="74" t="s">
        <v>5811</v>
      </c>
      <c r="D147" s="79" t="s">
        <v>3697</v>
      </c>
      <c r="E147" s="79" t="s">
        <v>3184</v>
      </c>
      <c r="F147" s="79" t="s">
        <v>3698</v>
      </c>
      <c r="G147" s="79" t="s">
        <v>3699</v>
      </c>
      <c r="H147" s="79" t="s">
        <v>3700</v>
      </c>
      <c r="I147" s="79" t="s">
        <v>3701</v>
      </c>
      <c r="J147" s="79" t="s">
        <v>3702</v>
      </c>
      <c r="K147" s="79" t="s">
        <v>3703</v>
      </c>
      <c r="L147" s="79"/>
      <c r="M147" s="79"/>
      <c r="N147" s="79"/>
    </row>
    <row r="148" spans="1:14" s="78" customFormat="1" ht="18">
      <c r="A148" s="74">
        <v>11</v>
      </c>
      <c r="B148" s="74" t="s">
        <v>612</v>
      </c>
      <c r="C148" s="74" t="s">
        <v>5812</v>
      </c>
      <c r="D148" s="79">
        <v>39975</v>
      </c>
      <c r="E148" s="79" t="s">
        <v>3213</v>
      </c>
      <c r="F148" s="79" t="s">
        <v>3766</v>
      </c>
      <c r="G148" s="79" t="s">
        <v>3767</v>
      </c>
      <c r="H148" s="79" t="s">
        <v>3768</v>
      </c>
      <c r="I148" s="79" t="s">
        <v>628</v>
      </c>
      <c r="J148" s="79" t="s">
        <v>3769</v>
      </c>
      <c r="K148" s="79" t="s">
        <v>3770</v>
      </c>
      <c r="L148" s="79"/>
      <c r="M148" s="79"/>
      <c r="N148" s="79"/>
    </row>
    <row r="149" spans="1:14" s="78" customFormat="1" ht="18">
      <c r="A149" s="74">
        <v>12</v>
      </c>
      <c r="B149" s="74" t="s">
        <v>618</v>
      </c>
      <c r="C149" s="74" t="s">
        <v>5813</v>
      </c>
      <c r="D149" s="79" t="s">
        <v>3659</v>
      </c>
      <c r="E149" s="79" t="s">
        <v>3184</v>
      </c>
      <c r="F149" s="79" t="s">
        <v>3660</v>
      </c>
      <c r="G149" s="79" t="s">
        <v>1516</v>
      </c>
      <c r="H149" s="79" t="s">
        <v>3661</v>
      </c>
      <c r="I149" s="79" t="s">
        <v>3662</v>
      </c>
      <c r="J149" s="79" t="s">
        <v>3663</v>
      </c>
      <c r="K149" s="79" t="s">
        <v>3664</v>
      </c>
      <c r="L149" s="79"/>
      <c r="M149" s="79"/>
      <c r="N149" s="79"/>
    </row>
    <row r="150" spans="1:14" s="78" customFormat="1" ht="18">
      <c r="A150" s="74">
        <v>14</v>
      </c>
      <c r="B150" s="74" t="s">
        <v>614</v>
      </c>
      <c r="C150" s="74" t="s">
        <v>5814</v>
      </c>
      <c r="D150" s="79" t="s">
        <v>3509</v>
      </c>
      <c r="E150" s="79" t="s">
        <v>3213</v>
      </c>
      <c r="F150" s="79" t="s">
        <v>3787</v>
      </c>
      <c r="G150" s="79" t="s">
        <v>3788</v>
      </c>
      <c r="H150" s="79" t="s">
        <v>3789</v>
      </c>
      <c r="I150" s="79" t="s">
        <v>3790</v>
      </c>
      <c r="J150" s="79" t="s">
        <v>3791</v>
      </c>
      <c r="K150" s="79" t="s">
        <v>3792</v>
      </c>
      <c r="L150" s="79"/>
      <c r="M150" s="79"/>
      <c r="N150" s="79"/>
    </row>
    <row r="151" spans="1:14" s="78" customFormat="1" ht="18">
      <c r="A151" s="74">
        <v>15</v>
      </c>
      <c r="B151" s="74" t="s">
        <v>628</v>
      </c>
      <c r="C151" s="74" t="s">
        <v>5815</v>
      </c>
      <c r="D151" s="79" t="e">
        <v>#N/A</v>
      </c>
      <c r="E151" s="79" t="e">
        <v>#N/A</v>
      </c>
      <c r="F151" s="79" t="e">
        <v>#N/A</v>
      </c>
      <c r="G151" s="79" t="e">
        <v>#N/A</v>
      </c>
      <c r="H151" s="79" t="e">
        <v>#N/A</v>
      </c>
      <c r="I151" s="79" t="e">
        <v>#N/A</v>
      </c>
      <c r="J151" s="79" t="e">
        <v>#N/A</v>
      </c>
      <c r="K151" s="79" t="e">
        <v>#N/A</v>
      </c>
      <c r="L151" s="79"/>
      <c r="M151" s="79"/>
      <c r="N151" s="79"/>
    </row>
    <row r="152" spans="1:14" s="78" customFormat="1" ht="18">
      <c r="A152" s="74">
        <v>16</v>
      </c>
      <c r="B152" s="74" t="s">
        <v>608</v>
      </c>
      <c r="C152" s="74" t="s">
        <v>5816</v>
      </c>
      <c r="D152" s="79" t="s">
        <v>3421</v>
      </c>
      <c r="E152" s="79" t="s">
        <v>3213</v>
      </c>
      <c r="F152" s="79" t="s">
        <v>3751</v>
      </c>
      <c r="G152" s="79" t="s">
        <v>3752</v>
      </c>
      <c r="H152" s="79" t="s">
        <v>3753</v>
      </c>
      <c r="I152" s="79" t="s">
        <v>3754</v>
      </c>
      <c r="J152" s="79" t="s">
        <v>3755</v>
      </c>
      <c r="K152" s="79" t="s">
        <v>3756</v>
      </c>
      <c r="L152" s="79"/>
      <c r="M152" s="79"/>
      <c r="N152" s="79"/>
    </row>
    <row r="153" spans="1:14" s="78" customFormat="1" ht="18">
      <c r="A153" s="74">
        <v>17</v>
      </c>
      <c r="B153" s="74" t="s">
        <v>616</v>
      </c>
      <c r="C153" s="74" t="s">
        <v>5817</v>
      </c>
      <c r="D153" s="79">
        <v>40037</v>
      </c>
      <c r="E153" s="79" t="s">
        <v>3184</v>
      </c>
      <c r="F153" s="79" t="s">
        <v>3772</v>
      </c>
      <c r="G153" s="79" t="s">
        <v>935</v>
      </c>
      <c r="H153" s="79" t="s">
        <v>3773</v>
      </c>
      <c r="I153" s="79" t="s">
        <v>3774</v>
      </c>
      <c r="J153" s="79" t="s">
        <v>3775</v>
      </c>
      <c r="K153" s="79" t="s">
        <v>3776</v>
      </c>
      <c r="L153" s="79"/>
      <c r="M153" s="79"/>
      <c r="N153" s="79"/>
    </row>
    <row r="154" spans="1:14" s="78" customFormat="1" ht="18">
      <c r="A154" s="74">
        <v>18</v>
      </c>
      <c r="B154" s="74" t="s">
        <v>610</v>
      </c>
      <c r="C154" s="74" t="s">
        <v>5818</v>
      </c>
      <c r="D154" s="79" t="s">
        <v>3758</v>
      </c>
      <c r="E154" s="79" t="s">
        <v>3213</v>
      </c>
      <c r="F154" s="79" t="s">
        <v>3759</v>
      </c>
      <c r="G154" s="79" t="s">
        <v>3760</v>
      </c>
      <c r="H154" s="79" t="s">
        <v>3761</v>
      </c>
      <c r="I154" s="79" t="s">
        <v>3762</v>
      </c>
      <c r="J154" s="79" t="s">
        <v>3763</v>
      </c>
      <c r="K154" s="79" t="s">
        <v>3764</v>
      </c>
      <c r="L154" s="79"/>
      <c r="M154" s="79"/>
      <c r="N154" s="79"/>
    </row>
    <row r="155" spans="1:14" s="78" customFormat="1" ht="18">
      <c r="A155" s="74">
        <v>19</v>
      </c>
      <c r="B155" s="74" t="s">
        <v>598</v>
      </c>
      <c r="C155" s="74" t="s">
        <v>5819</v>
      </c>
      <c r="D155" s="79" t="s">
        <v>3713</v>
      </c>
      <c r="E155" s="79" t="s">
        <v>3184</v>
      </c>
      <c r="F155" s="79" t="s">
        <v>3714</v>
      </c>
      <c r="G155" s="79" t="s">
        <v>3715</v>
      </c>
      <c r="H155" s="79" t="s">
        <v>3716</v>
      </c>
      <c r="I155" s="79" t="s">
        <v>3717</v>
      </c>
      <c r="J155" s="79" t="s">
        <v>3718</v>
      </c>
      <c r="K155" s="79" t="s">
        <v>3719</v>
      </c>
      <c r="L155" s="79"/>
      <c r="M155" s="79"/>
      <c r="N155" s="79"/>
    </row>
    <row r="156" spans="1:14" s="78" customFormat="1" ht="18">
      <c r="A156" s="74">
        <v>20</v>
      </c>
      <c r="B156" s="74" t="s">
        <v>622</v>
      </c>
      <c r="C156" s="74" t="s">
        <v>5820</v>
      </c>
      <c r="D156" s="79" t="s">
        <v>3585</v>
      </c>
      <c r="E156" s="79" t="s">
        <v>3213</v>
      </c>
      <c r="F156" s="79" t="s">
        <v>3666</v>
      </c>
      <c r="G156" s="79" t="s">
        <v>3667</v>
      </c>
      <c r="H156" s="79" t="s">
        <v>3668</v>
      </c>
      <c r="I156" s="79" t="s">
        <v>3669</v>
      </c>
      <c r="J156" s="79" t="s">
        <v>3670</v>
      </c>
      <c r="K156" s="79" t="s">
        <v>3671</v>
      </c>
      <c r="L156" s="79"/>
      <c r="M156" s="79"/>
      <c r="N156" s="79"/>
    </row>
    <row r="157" spans="1:14" s="78" customFormat="1" ht="18">
      <c r="A157" s="81">
        <v>21</v>
      </c>
      <c r="B157" s="81" t="s">
        <v>630</v>
      </c>
      <c r="C157" s="81" t="s">
        <v>5821</v>
      </c>
      <c r="D157" s="79" t="e">
        <v>#N/A</v>
      </c>
      <c r="E157" s="79" t="e">
        <v>#N/A</v>
      </c>
      <c r="F157" s="79" t="e">
        <v>#N/A</v>
      </c>
      <c r="G157" s="79" t="e">
        <v>#N/A</v>
      </c>
      <c r="H157" s="79" t="e">
        <v>#N/A</v>
      </c>
      <c r="I157" s="79" t="e">
        <v>#N/A</v>
      </c>
      <c r="J157" s="79" t="e">
        <v>#N/A</v>
      </c>
      <c r="K157" s="79" t="e">
        <v>#N/A</v>
      </c>
      <c r="L157" s="79"/>
      <c r="M157" s="79"/>
      <c r="N157" s="79"/>
    </row>
    <row r="158" spans="1:14" s="78" customFormat="1" ht="18">
      <c r="A158" s="74">
        <v>1</v>
      </c>
      <c r="B158" s="74" t="s">
        <v>1132</v>
      </c>
      <c r="C158" s="74" t="s">
        <v>5822</v>
      </c>
      <c r="D158" s="79" t="s">
        <v>3886</v>
      </c>
      <c r="E158" s="79" t="s">
        <v>3213</v>
      </c>
      <c r="F158" s="79" t="s">
        <v>3887</v>
      </c>
      <c r="G158" s="79" t="s">
        <v>3888</v>
      </c>
      <c r="H158" s="79" t="s">
        <v>3889</v>
      </c>
      <c r="I158" s="79" t="s">
        <v>3890</v>
      </c>
      <c r="J158" s="79" t="s">
        <v>3887</v>
      </c>
      <c r="K158" s="79" t="s">
        <v>3891</v>
      </c>
      <c r="L158" s="79"/>
      <c r="M158" s="79"/>
      <c r="N158" s="79"/>
    </row>
    <row r="159" spans="1:14" s="78" customFormat="1" ht="18">
      <c r="A159" s="74">
        <v>2</v>
      </c>
      <c r="B159" s="74" t="s">
        <v>1121</v>
      </c>
      <c r="C159" s="74" t="s">
        <v>5823</v>
      </c>
      <c r="D159" s="79" t="s">
        <v>3823</v>
      </c>
      <c r="E159" s="79" t="s">
        <v>3184</v>
      </c>
      <c r="F159" s="79" t="s">
        <v>3824</v>
      </c>
      <c r="G159" s="79" t="s">
        <v>3825</v>
      </c>
      <c r="H159" s="79" t="s">
        <v>3826</v>
      </c>
      <c r="I159" s="79" t="s">
        <v>3827</v>
      </c>
      <c r="J159" s="79" t="s">
        <v>3824</v>
      </c>
      <c r="K159" s="79" t="s">
        <v>3469</v>
      </c>
      <c r="L159" s="79"/>
      <c r="M159" s="79"/>
      <c r="N159" s="79"/>
    </row>
    <row r="160" spans="1:14" s="78" customFormat="1" ht="18">
      <c r="A160" s="74">
        <v>3</v>
      </c>
      <c r="B160" s="74" t="s">
        <v>1110</v>
      </c>
      <c r="C160" s="74" t="s">
        <v>5824</v>
      </c>
      <c r="D160" s="79" t="s">
        <v>3853</v>
      </c>
      <c r="E160" s="79" t="s">
        <v>3213</v>
      </c>
      <c r="F160" s="79" t="s">
        <v>3854</v>
      </c>
      <c r="G160" s="79" t="s">
        <v>3855</v>
      </c>
      <c r="H160" s="79" t="s">
        <v>3856</v>
      </c>
      <c r="I160" s="79" t="s">
        <v>3857</v>
      </c>
      <c r="J160" s="79" t="s">
        <v>3854</v>
      </c>
      <c r="K160" s="79" t="s">
        <v>3858</v>
      </c>
      <c r="L160" s="79"/>
      <c r="M160" s="79"/>
      <c r="N160" s="79"/>
    </row>
    <row r="161" spans="1:14" s="78" customFormat="1" ht="18">
      <c r="A161" s="74">
        <v>4</v>
      </c>
      <c r="B161" s="74" t="s">
        <v>1108</v>
      </c>
      <c r="C161" s="74" t="s">
        <v>5825</v>
      </c>
      <c r="D161" s="79" t="s">
        <v>3847</v>
      </c>
      <c r="E161" s="79" t="s">
        <v>3213</v>
      </c>
      <c r="F161" s="79" t="s">
        <v>3848</v>
      </c>
      <c r="G161" s="79" t="s">
        <v>3849</v>
      </c>
      <c r="H161" s="79" t="s">
        <v>3850</v>
      </c>
      <c r="I161" s="79" t="s">
        <v>3851</v>
      </c>
      <c r="J161" s="79" t="s">
        <v>3848</v>
      </c>
      <c r="K161" s="79" t="s">
        <v>3610</v>
      </c>
      <c r="L161" s="79"/>
      <c r="M161" s="79"/>
      <c r="N161" s="79"/>
    </row>
    <row r="162" spans="1:14" s="78" customFormat="1" ht="18">
      <c r="A162" s="74">
        <v>5</v>
      </c>
      <c r="B162" s="74" t="s">
        <v>1154</v>
      </c>
      <c r="C162" s="74" t="s">
        <v>5826</v>
      </c>
      <c r="D162" s="79" t="s">
        <v>3836</v>
      </c>
      <c r="E162" s="79" t="s">
        <v>3213</v>
      </c>
      <c r="F162" s="79" t="s">
        <v>3837</v>
      </c>
      <c r="G162" s="79" t="s">
        <v>3838</v>
      </c>
      <c r="H162" s="79">
        <v>0</v>
      </c>
      <c r="I162" s="79" t="s">
        <v>3839</v>
      </c>
      <c r="J162" s="79" t="s">
        <v>3837</v>
      </c>
      <c r="K162" s="79" t="s">
        <v>3231</v>
      </c>
      <c r="L162" s="79"/>
      <c r="M162" s="79"/>
      <c r="N162" s="79"/>
    </row>
    <row r="163" spans="1:14" s="78" customFormat="1" ht="18">
      <c r="A163" s="74">
        <v>6</v>
      </c>
      <c r="B163" s="74" t="s">
        <v>1144</v>
      </c>
      <c r="C163" s="74" t="s">
        <v>5827</v>
      </c>
      <c r="D163" s="79" t="s">
        <v>3960</v>
      </c>
      <c r="E163" s="79" t="s">
        <v>3213</v>
      </c>
      <c r="F163" s="79" t="s">
        <v>3961</v>
      </c>
      <c r="G163" s="79" t="s">
        <v>3962</v>
      </c>
      <c r="H163" s="79" t="s">
        <v>3963</v>
      </c>
      <c r="I163" s="79" t="s">
        <v>3964</v>
      </c>
      <c r="J163" s="79" t="s">
        <v>3961</v>
      </c>
      <c r="K163" s="79" t="s">
        <v>3965</v>
      </c>
      <c r="L163" s="79"/>
      <c r="M163" s="79"/>
      <c r="N163" s="79"/>
    </row>
    <row r="164" spans="1:14" s="78" customFormat="1" ht="18">
      <c r="A164" s="74">
        <v>7</v>
      </c>
      <c r="B164" s="74" t="s">
        <v>1114</v>
      </c>
      <c r="C164" s="74" t="s">
        <v>5828</v>
      </c>
      <c r="D164" s="79" t="s">
        <v>3900</v>
      </c>
      <c r="E164" s="79" t="s">
        <v>3184</v>
      </c>
      <c r="F164" s="79" t="s">
        <v>3901</v>
      </c>
      <c r="G164" s="79" t="s">
        <v>3902</v>
      </c>
      <c r="H164" s="79">
        <v>0</v>
      </c>
      <c r="I164" s="79" t="s">
        <v>3903</v>
      </c>
      <c r="J164" s="79">
        <v>0</v>
      </c>
      <c r="K164" s="79" t="s">
        <v>3904</v>
      </c>
      <c r="L164" s="79"/>
      <c r="M164" s="79"/>
      <c r="N164" s="79"/>
    </row>
    <row r="165" spans="1:14" s="78" customFormat="1" ht="18">
      <c r="A165" s="74">
        <v>8</v>
      </c>
      <c r="B165" s="74" t="s">
        <v>1142</v>
      </c>
      <c r="C165" s="74" t="s">
        <v>5829</v>
      </c>
      <c r="D165" s="79" t="s">
        <v>3893</v>
      </c>
      <c r="E165" s="79" t="s">
        <v>3213</v>
      </c>
      <c r="F165" s="79" t="s">
        <v>3954</v>
      </c>
      <c r="G165" s="79" t="s">
        <v>3955</v>
      </c>
      <c r="H165" s="79" t="s">
        <v>3954</v>
      </c>
      <c r="I165" s="79" t="s">
        <v>3956</v>
      </c>
      <c r="J165" s="79" t="s">
        <v>3957</v>
      </c>
      <c r="K165" s="79" t="s">
        <v>3958</v>
      </c>
      <c r="L165" s="79"/>
      <c r="M165" s="79"/>
      <c r="N165" s="79"/>
    </row>
    <row r="166" spans="1:14" s="78" customFormat="1" ht="18">
      <c r="A166" s="74">
        <v>9</v>
      </c>
      <c r="B166" s="74" t="s">
        <v>1037</v>
      </c>
      <c r="C166" s="74" t="s">
        <v>5830</v>
      </c>
      <c r="D166" s="79" t="s">
        <v>3967</v>
      </c>
      <c r="E166" s="79" t="s">
        <v>3184</v>
      </c>
      <c r="F166" s="79" t="s">
        <v>3968</v>
      </c>
      <c r="G166" s="79" t="s">
        <v>3969</v>
      </c>
      <c r="H166" s="79">
        <v>0</v>
      </c>
      <c r="I166" s="79" t="s">
        <v>3970</v>
      </c>
      <c r="J166" s="79">
        <v>0</v>
      </c>
      <c r="K166" s="79" t="s">
        <v>3971</v>
      </c>
      <c r="L166" s="79"/>
      <c r="M166" s="79"/>
      <c r="N166" s="79"/>
    </row>
    <row r="167" spans="1:14" s="78" customFormat="1" ht="18">
      <c r="A167" s="74">
        <v>10</v>
      </c>
      <c r="B167" s="74" t="s">
        <v>1138</v>
      </c>
      <c r="C167" s="74" t="s">
        <v>5831</v>
      </c>
      <c r="D167" s="79" t="s">
        <v>3940</v>
      </c>
      <c r="E167" s="79" t="s">
        <v>3213</v>
      </c>
      <c r="F167" s="79" t="s">
        <v>3941</v>
      </c>
      <c r="G167" s="79" t="s">
        <v>3942</v>
      </c>
      <c r="H167" s="79" t="s">
        <v>3941</v>
      </c>
      <c r="I167" s="79" t="s">
        <v>3943</v>
      </c>
      <c r="J167" s="79" t="s">
        <v>3944</v>
      </c>
      <c r="K167" s="79" t="s">
        <v>3945</v>
      </c>
      <c r="L167" s="79"/>
      <c r="M167" s="79"/>
      <c r="N167" s="79"/>
    </row>
    <row r="168" spans="1:14" s="78" customFormat="1" ht="18">
      <c r="A168" s="74">
        <v>11</v>
      </c>
      <c r="B168" s="74" t="s">
        <v>1152</v>
      </c>
      <c r="C168" s="74" t="s">
        <v>5832</v>
      </c>
      <c r="D168" s="79" t="s">
        <v>3816</v>
      </c>
      <c r="E168" s="79" t="s">
        <v>3213</v>
      </c>
      <c r="F168" s="79" t="s">
        <v>3817</v>
      </c>
      <c r="G168" s="79" t="s">
        <v>3818</v>
      </c>
      <c r="H168" s="79" t="s">
        <v>3819</v>
      </c>
      <c r="I168" s="79" t="s">
        <v>3820</v>
      </c>
      <c r="J168" s="79" t="s">
        <v>3817</v>
      </c>
      <c r="K168" s="79" t="s">
        <v>3821</v>
      </c>
      <c r="L168" s="79"/>
      <c r="M168" s="79"/>
      <c r="N168" s="79"/>
    </row>
    <row r="169" spans="1:14" s="78" customFormat="1" ht="18">
      <c r="A169" s="74">
        <v>12</v>
      </c>
      <c r="B169" s="74" t="s">
        <v>1128</v>
      </c>
      <c r="C169" s="74" t="s">
        <v>5833</v>
      </c>
      <c r="D169" s="79" t="s">
        <v>3860</v>
      </c>
      <c r="E169" s="79" t="s">
        <v>3184</v>
      </c>
      <c r="F169" s="79" t="s">
        <v>3861</v>
      </c>
      <c r="G169" s="79" t="s">
        <v>3862</v>
      </c>
      <c r="H169" s="79" t="s">
        <v>3863</v>
      </c>
      <c r="I169" s="79" t="s">
        <v>3864</v>
      </c>
      <c r="J169" s="79" t="s">
        <v>3861</v>
      </c>
      <c r="K169" s="79" t="s">
        <v>3865</v>
      </c>
      <c r="L169" s="79"/>
      <c r="M169" s="79"/>
      <c r="N169" s="79"/>
    </row>
    <row r="170" spans="1:14" s="78" customFormat="1" ht="18">
      <c r="A170" s="74">
        <v>13</v>
      </c>
      <c r="B170" s="74" t="s">
        <v>1136</v>
      </c>
      <c r="C170" s="74" t="s">
        <v>5834</v>
      </c>
      <c r="D170" s="79" t="s">
        <v>3926</v>
      </c>
      <c r="E170" s="79" t="s">
        <v>3184</v>
      </c>
      <c r="F170" s="79" t="s">
        <v>3927</v>
      </c>
      <c r="G170" s="79" t="s">
        <v>3928</v>
      </c>
      <c r="H170" s="79" t="s">
        <v>3929</v>
      </c>
      <c r="I170" s="79" t="s">
        <v>3930</v>
      </c>
      <c r="J170" s="79" t="s">
        <v>3927</v>
      </c>
      <c r="K170" s="79" t="s">
        <v>3931</v>
      </c>
      <c r="L170" s="79"/>
      <c r="M170" s="79"/>
      <c r="N170" s="79"/>
    </row>
    <row r="171" spans="1:14" s="78" customFormat="1" ht="18">
      <c r="A171" s="74">
        <v>14</v>
      </c>
      <c r="B171" s="74" t="s">
        <v>1105</v>
      </c>
      <c r="C171" s="74" t="s">
        <v>5835</v>
      </c>
      <c r="D171" s="79" t="s">
        <v>3893</v>
      </c>
      <c r="E171" s="79" t="s">
        <v>3184</v>
      </c>
      <c r="F171" s="79" t="s">
        <v>3894</v>
      </c>
      <c r="G171" s="79" t="s">
        <v>3895</v>
      </c>
      <c r="H171" s="79" t="s">
        <v>3896</v>
      </c>
      <c r="I171" s="79" t="s">
        <v>3897</v>
      </c>
      <c r="J171" s="79" t="s">
        <v>3894</v>
      </c>
      <c r="K171" s="79" t="s">
        <v>3898</v>
      </c>
      <c r="L171" s="79"/>
      <c r="M171" s="79"/>
      <c r="N171" s="79"/>
    </row>
    <row r="172" spans="1:14" s="78" customFormat="1" ht="18">
      <c r="A172" s="74">
        <v>15</v>
      </c>
      <c r="B172" s="74" t="s">
        <v>771</v>
      </c>
      <c r="C172" s="74" t="s">
        <v>5836</v>
      </c>
      <c r="D172" s="79" t="s">
        <v>3829</v>
      </c>
      <c r="E172" s="79" t="s">
        <v>3184</v>
      </c>
      <c r="F172" s="79" t="s">
        <v>3830</v>
      </c>
      <c r="G172" s="79" t="s">
        <v>3831</v>
      </c>
      <c r="H172" s="79" t="s">
        <v>3832</v>
      </c>
      <c r="I172" s="79" t="s">
        <v>3833</v>
      </c>
      <c r="J172" s="79" t="s">
        <v>3830</v>
      </c>
      <c r="K172" s="79" t="s">
        <v>3834</v>
      </c>
      <c r="L172" s="79"/>
      <c r="M172" s="79"/>
      <c r="N172" s="79"/>
    </row>
    <row r="173" spans="1:14" s="78" customFormat="1" ht="18">
      <c r="A173" s="74">
        <v>16</v>
      </c>
      <c r="B173" s="74" t="s">
        <v>1134</v>
      </c>
      <c r="C173" s="74" t="s">
        <v>5837</v>
      </c>
      <c r="D173" s="79" t="s">
        <v>3906</v>
      </c>
      <c r="E173" s="79" t="s">
        <v>3213</v>
      </c>
      <c r="F173" s="79" t="s">
        <v>3907</v>
      </c>
      <c r="G173" s="79" t="s">
        <v>703</v>
      </c>
      <c r="H173" s="79">
        <v>0</v>
      </c>
      <c r="I173" s="79" t="s">
        <v>3908</v>
      </c>
      <c r="J173" s="79">
        <v>0</v>
      </c>
      <c r="K173" s="79" t="s">
        <v>3909</v>
      </c>
      <c r="L173" s="79"/>
      <c r="M173" s="79"/>
      <c r="N173" s="79"/>
    </row>
    <row r="174" spans="1:14" s="78" customFormat="1" ht="18">
      <c r="A174" s="74">
        <v>17</v>
      </c>
      <c r="B174" s="74" t="s">
        <v>51</v>
      </c>
      <c r="C174" s="74" t="s">
        <v>5838</v>
      </c>
      <c r="D174" s="79" t="s">
        <v>3811</v>
      </c>
      <c r="E174" s="79" t="s">
        <v>3184</v>
      </c>
      <c r="F174" s="79" t="s">
        <v>3812</v>
      </c>
      <c r="G174" s="79" t="s">
        <v>3813</v>
      </c>
      <c r="H174" s="79">
        <v>0</v>
      </c>
      <c r="I174" s="79" t="s">
        <v>3814</v>
      </c>
      <c r="J174" s="79">
        <v>0</v>
      </c>
      <c r="K174" s="79" t="s">
        <v>3231</v>
      </c>
      <c r="L174" s="79"/>
      <c r="M174" s="79"/>
      <c r="N174" s="79"/>
    </row>
    <row r="175" spans="1:14" s="78" customFormat="1" ht="18">
      <c r="A175" s="74">
        <v>18</v>
      </c>
      <c r="B175" s="74" t="s">
        <v>1112</v>
      </c>
      <c r="C175" s="74" t="s">
        <v>5839</v>
      </c>
      <c r="D175" s="79" t="s">
        <v>3867</v>
      </c>
      <c r="E175" s="79" t="s">
        <v>3184</v>
      </c>
      <c r="F175" s="79" t="s">
        <v>3868</v>
      </c>
      <c r="G175" s="79" t="s">
        <v>3869</v>
      </c>
      <c r="H175" s="79">
        <v>0</v>
      </c>
      <c r="I175" s="79" t="s">
        <v>3870</v>
      </c>
      <c r="J175" s="79">
        <v>0</v>
      </c>
      <c r="K175" s="79" t="s">
        <v>3231</v>
      </c>
      <c r="L175" s="79"/>
      <c r="M175" s="79"/>
      <c r="N175" s="79"/>
    </row>
    <row r="176" spans="1:14" s="78" customFormat="1" ht="18">
      <c r="A176" s="74">
        <v>19</v>
      </c>
      <c r="B176" s="74" t="s">
        <v>1130</v>
      </c>
      <c r="C176" s="74" t="s">
        <v>5840</v>
      </c>
      <c r="D176" s="79" t="s">
        <v>3872</v>
      </c>
      <c r="E176" s="79" t="s">
        <v>3184</v>
      </c>
      <c r="F176" s="79" t="s">
        <v>3873</v>
      </c>
      <c r="G176" s="79" t="s">
        <v>3874</v>
      </c>
      <c r="H176" s="79" t="s">
        <v>3875</v>
      </c>
      <c r="I176" s="79" t="s">
        <v>3876</v>
      </c>
      <c r="J176" s="79" t="s">
        <v>3873</v>
      </c>
      <c r="K176" s="79" t="s">
        <v>3877</v>
      </c>
      <c r="L176" s="79"/>
      <c r="M176" s="79"/>
      <c r="N176" s="79"/>
    </row>
    <row r="177" spans="1:14" s="78" customFormat="1" ht="18">
      <c r="A177" s="74">
        <v>20</v>
      </c>
      <c r="B177" s="74" t="s">
        <v>757</v>
      </c>
      <c r="C177" s="74" t="s">
        <v>5841</v>
      </c>
      <c r="D177" s="79" t="s">
        <v>3879</v>
      </c>
      <c r="E177" s="79" t="s">
        <v>3184</v>
      </c>
      <c r="F177" s="79" t="s">
        <v>3880</v>
      </c>
      <c r="G177" s="79" t="s">
        <v>3881</v>
      </c>
      <c r="H177" s="79" t="s">
        <v>3882</v>
      </c>
      <c r="I177" s="79" t="s">
        <v>3883</v>
      </c>
      <c r="J177" s="79" t="s">
        <v>3880</v>
      </c>
      <c r="K177" s="79" t="s">
        <v>3884</v>
      </c>
      <c r="L177" s="79"/>
      <c r="M177" s="79"/>
      <c r="N177" s="79"/>
    </row>
    <row r="178" spans="1:14" s="78" customFormat="1" ht="18">
      <c r="A178" s="74">
        <v>21</v>
      </c>
      <c r="B178" s="74" t="s">
        <v>1118</v>
      </c>
      <c r="C178" s="74" t="s">
        <v>5842</v>
      </c>
      <c r="D178" s="79" t="s">
        <v>3919</v>
      </c>
      <c r="E178" s="79" t="s">
        <v>3213</v>
      </c>
      <c r="F178" s="79" t="s">
        <v>3920</v>
      </c>
      <c r="G178" s="79" t="s">
        <v>3921</v>
      </c>
      <c r="H178" s="79" t="s">
        <v>3922</v>
      </c>
      <c r="I178" s="79" t="s">
        <v>3923</v>
      </c>
      <c r="J178" s="79" t="s">
        <v>3920</v>
      </c>
      <c r="K178" s="79" t="s">
        <v>3924</v>
      </c>
      <c r="L178" s="79"/>
      <c r="M178" s="79"/>
      <c r="N178" s="79"/>
    </row>
    <row r="179" spans="1:14" s="78" customFormat="1" ht="18">
      <c r="A179" s="74">
        <v>22</v>
      </c>
      <c r="B179" s="74" t="s">
        <v>1147</v>
      </c>
      <c r="C179" s="74" t="s">
        <v>5843</v>
      </c>
      <c r="D179" s="79" t="s">
        <v>3799</v>
      </c>
      <c r="E179" s="79" t="s">
        <v>3213</v>
      </c>
      <c r="F179" s="79" t="s">
        <v>3800</v>
      </c>
      <c r="G179" s="79" t="s">
        <v>3801</v>
      </c>
      <c r="H179" s="79">
        <v>0</v>
      </c>
      <c r="I179" s="79" t="s">
        <v>3802</v>
      </c>
      <c r="J179" s="79" t="s">
        <v>3800</v>
      </c>
      <c r="K179" s="79" t="s">
        <v>3803</v>
      </c>
      <c r="L179" s="79"/>
      <c r="M179" s="79"/>
      <c r="N179" s="79"/>
    </row>
    <row r="180" spans="1:14" s="78" customFormat="1" ht="18">
      <c r="A180" s="74">
        <v>23</v>
      </c>
      <c r="B180" s="74" t="s">
        <v>1125</v>
      </c>
      <c r="C180" s="74" t="s">
        <v>5844</v>
      </c>
      <c r="D180" s="79" t="s">
        <v>3841</v>
      </c>
      <c r="E180" s="79" t="s">
        <v>3184</v>
      </c>
      <c r="F180" s="79" t="s">
        <v>3842</v>
      </c>
      <c r="G180" s="79" t="s">
        <v>3843</v>
      </c>
      <c r="H180" s="79" t="s">
        <v>3842</v>
      </c>
      <c r="I180" s="79" t="s">
        <v>3844</v>
      </c>
      <c r="J180" s="79" t="s">
        <v>3842</v>
      </c>
      <c r="K180" s="79" t="s">
        <v>3845</v>
      </c>
      <c r="L180" s="79"/>
      <c r="M180" s="79"/>
      <c r="N180" s="79"/>
    </row>
    <row r="181" spans="1:14" s="78" customFormat="1" ht="18">
      <c r="A181" s="74">
        <v>24</v>
      </c>
      <c r="B181" s="74" t="s">
        <v>1140</v>
      </c>
      <c r="C181" s="74" t="s">
        <v>5845</v>
      </c>
      <c r="D181" s="79" t="s">
        <v>3947</v>
      </c>
      <c r="E181" s="79" t="s">
        <v>3184</v>
      </c>
      <c r="F181" s="79" t="s">
        <v>3948</v>
      </c>
      <c r="G181" s="79" t="s">
        <v>3949</v>
      </c>
      <c r="H181" s="79" t="s">
        <v>3950</v>
      </c>
      <c r="I181" s="79" t="s">
        <v>3951</v>
      </c>
      <c r="J181" s="79" t="s">
        <v>3948</v>
      </c>
      <c r="K181" s="79" t="s">
        <v>3952</v>
      </c>
      <c r="L181" s="79"/>
      <c r="M181" s="79"/>
      <c r="N181" s="79"/>
    </row>
    <row r="182" spans="1:14" s="78" customFormat="1" ht="18">
      <c r="A182" s="74">
        <v>25</v>
      </c>
      <c r="B182" s="74" t="s">
        <v>1116</v>
      </c>
      <c r="C182" s="74" t="s">
        <v>5846</v>
      </c>
      <c r="D182" s="79" t="s">
        <v>3913</v>
      </c>
      <c r="E182" s="79" t="s">
        <v>3184</v>
      </c>
      <c r="F182" s="79" t="s">
        <v>3914</v>
      </c>
      <c r="G182" s="79" t="s">
        <v>3915</v>
      </c>
      <c r="H182" s="79">
        <v>0</v>
      </c>
      <c r="I182" s="79" t="s">
        <v>3916</v>
      </c>
      <c r="J182" s="79">
        <v>0</v>
      </c>
      <c r="K182" s="79" t="s">
        <v>3917</v>
      </c>
      <c r="L182" s="79"/>
      <c r="M182" s="79"/>
      <c r="N182" s="79"/>
    </row>
    <row r="183" spans="1:14" s="78" customFormat="1" ht="18">
      <c r="A183" s="74">
        <v>26</v>
      </c>
      <c r="B183" s="74" t="s">
        <v>1149</v>
      </c>
      <c r="C183" s="74" t="s">
        <v>5847</v>
      </c>
      <c r="D183" s="79" t="s">
        <v>3805</v>
      </c>
      <c r="E183" s="79" t="s">
        <v>3213</v>
      </c>
      <c r="F183" s="79" t="s">
        <v>3806</v>
      </c>
      <c r="G183" s="79" t="s">
        <v>3807</v>
      </c>
      <c r="H183" s="79" t="s">
        <v>3808</v>
      </c>
      <c r="I183" s="79" t="s">
        <v>3389</v>
      </c>
      <c r="J183" s="79" t="s">
        <v>3806</v>
      </c>
      <c r="K183" s="79" t="s">
        <v>3809</v>
      </c>
      <c r="L183" s="79"/>
      <c r="M183" s="79"/>
      <c r="N183" s="79"/>
    </row>
    <row r="184" spans="1:14" s="78" customFormat="1" ht="18">
      <c r="A184" s="74">
        <v>1</v>
      </c>
      <c r="B184" s="74" t="s">
        <v>1223</v>
      </c>
      <c r="C184" s="74" t="s">
        <v>5341</v>
      </c>
      <c r="D184" s="79" t="s">
        <v>3853</v>
      </c>
      <c r="E184" s="79" t="s">
        <v>3184</v>
      </c>
      <c r="F184" s="79" t="s">
        <v>3973</v>
      </c>
      <c r="G184" s="79" t="s">
        <v>3974</v>
      </c>
      <c r="H184" s="79" t="s">
        <v>3975</v>
      </c>
      <c r="I184" s="79" t="s">
        <v>3976</v>
      </c>
      <c r="J184" s="79" t="s">
        <v>3977</v>
      </c>
      <c r="K184" s="79" t="s">
        <v>3231</v>
      </c>
      <c r="L184" s="79"/>
      <c r="M184" s="79"/>
      <c r="N184" s="79"/>
    </row>
    <row r="185" spans="1:14" s="78" customFormat="1" ht="18">
      <c r="A185" s="74">
        <v>2</v>
      </c>
      <c r="B185" s="74" t="s">
        <v>1203</v>
      </c>
      <c r="C185" s="74" t="s">
        <v>5342</v>
      </c>
      <c r="D185" s="79" t="s">
        <v>3979</v>
      </c>
      <c r="E185" s="79" t="s">
        <v>3213</v>
      </c>
      <c r="F185" s="79" t="s">
        <v>3980</v>
      </c>
      <c r="G185" s="79" t="s">
        <v>3981</v>
      </c>
      <c r="H185" s="79" t="s">
        <v>3980</v>
      </c>
      <c r="I185" s="79" t="s">
        <v>3982</v>
      </c>
      <c r="J185" s="79" t="s">
        <v>3983</v>
      </c>
      <c r="K185" s="79" t="s">
        <v>3231</v>
      </c>
      <c r="L185" s="79"/>
      <c r="M185" s="79"/>
      <c r="N185" s="79"/>
    </row>
    <row r="186" spans="1:14" s="78" customFormat="1" ht="18">
      <c r="A186" s="74">
        <v>3</v>
      </c>
      <c r="B186" s="74" t="s">
        <v>1177</v>
      </c>
      <c r="C186" s="74" t="s">
        <v>5343</v>
      </c>
      <c r="D186" s="79" t="s">
        <v>3985</v>
      </c>
      <c r="E186" s="79" t="s">
        <v>3184</v>
      </c>
      <c r="F186" s="79" t="s">
        <v>3986</v>
      </c>
      <c r="G186" s="79" t="s">
        <v>3987</v>
      </c>
      <c r="H186" s="79" t="s">
        <v>3988</v>
      </c>
      <c r="I186" s="79" t="s">
        <v>3989</v>
      </c>
      <c r="J186" s="79" t="s">
        <v>3986</v>
      </c>
      <c r="K186" s="79" t="s">
        <v>3990</v>
      </c>
      <c r="L186" s="79"/>
      <c r="M186" s="79"/>
      <c r="N186" s="79"/>
    </row>
    <row r="187" spans="1:14" s="78" customFormat="1" ht="18">
      <c r="A187" s="74">
        <v>5</v>
      </c>
      <c r="B187" s="74" t="s">
        <v>1225</v>
      </c>
      <c r="C187" s="74" t="s">
        <v>5344</v>
      </c>
      <c r="D187" s="79" t="s">
        <v>3992</v>
      </c>
      <c r="E187" s="79" t="s">
        <v>3184</v>
      </c>
      <c r="F187" s="79" t="s">
        <v>3993</v>
      </c>
      <c r="G187" s="79" t="s">
        <v>3994</v>
      </c>
      <c r="H187" s="79" t="s">
        <v>3995</v>
      </c>
      <c r="I187" s="79" t="s">
        <v>3996</v>
      </c>
      <c r="J187" s="79" t="s">
        <v>3993</v>
      </c>
      <c r="K187" s="79" t="s">
        <v>3997</v>
      </c>
      <c r="L187" s="79"/>
      <c r="M187" s="79"/>
      <c r="N187" s="79"/>
    </row>
    <row r="188" spans="1:14" s="78" customFormat="1" ht="18">
      <c r="A188" s="74">
        <v>6</v>
      </c>
      <c r="B188" s="74" t="s">
        <v>1201</v>
      </c>
      <c r="C188" s="74" t="s">
        <v>5345</v>
      </c>
      <c r="D188" s="79" t="s">
        <v>3999</v>
      </c>
      <c r="E188" s="79" t="s">
        <v>3184</v>
      </c>
      <c r="F188" s="79" t="s">
        <v>4000</v>
      </c>
      <c r="G188" s="79" t="s">
        <v>4001</v>
      </c>
      <c r="H188" s="79" t="s">
        <v>4002</v>
      </c>
      <c r="I188" s="79" t="s">
        <v>4003</v>
      </c>
      <c r="J188" s="79" t="s">
        <v>4000</v>
      </c>
      <c r="K188" s="79" t="s">
        <v>3432</v>
      </c>
      <c r="L188" s="79"/>
      <c r="M188" s="79"/>
      <c r="N188" s="79"/>
    </row>
    <row r="189" spans="1:14" s="78" customFormat="1" ht="18">
      <c r="A189" s="74">
        <v>7</v>
      </c>
      <c r="B189" s="74" t="s">
        <v>1165</v>
      </c>
      <c r="C189" s="74" t="s">
        <v>5346</v>
      </c>
      <c r="D189" s="79" t="s">
        <v>4005</v>
      </c>
      <c r="E189" s="79" t="s">
        <v>3184</v>
      </c>
      <c r="F189" s="79" t="s">
        <v>4006</v>
      </c>
      <c r="G189" s="79" t="s">
        <v>4007</v>
      </c>
      <c r="H189" s="79" t="s">
        <v>4006</v>
      </c>
      <c r="I189" s="79" t="s">
        <v>4008</v>
      </c>
      <c r="J189" s="79" t="s">
        <v>4009</v>
      </c>
      <c r="K189" s="79" t="s">
        <v>4010</v>
      </c>
      <c r="L189" s="79"/>
      <c r="M189" s="79"/>
      <c r="N189" s="79"/>
    </row>
    <row r="190" spans="1:14" s="78" customFormat="1" ht="18">
      <c r="A190" s="74">
        <v>8</v>
      </c>
      <c r="B190" s="74" t="s">
        <v>1163</v>
      </c>
      <c r="C190" s="74" t="s">
        <v>5347</v>
      </c>
      <c r="D190" s="79" t="s">
        <v>4012</v>
      </c>
      <c r="E190" s="79" t="s">
        <v>3213</v>
      </c>
      <c r="F190" s="79" t="s">
        <v>4013</v>
      </c>
      <c r="G190" s="79" t="s">
        <v>4014</v>
      </c>
      <c r="H190" s="79">
        <v>0</v>
      </c>
      <c r="I190" s="79" t="s">
        <v>4015</v>
      </c>
      <c r="J190" s="79" t="s">
        <v>4013</v>
      </c>
      <c r="K190" s="79" t="s">
        <v>4016</v>
      </c>
      <c r="L190" s="79"/>
      <c r="M190" s="79"/>
      <c r="N190" s="79"/>
    </row>
    <row r="191" spans="1:14" s="78" customFormat="1" ht="18">
      <c r="A191" s="74">
        <v>10</v>
      </c>
      <c r="B191" s="74" t="s">
        <v>1184</v>
      </c>
      <c r="C191" s="74" t="s">
        <v>5348</v>
      </c>
      <c r="D191" s="79" t="s">
        <v>4032</v>
      </c>
      <c r="E191" s="79" t="s">
        <v>3213</v>
      </c>
      <c r="F191" s="79" t="s">
        <v>4033</v>
      </c>
      <c r="G191" s="79" t="s">
        <v>4034</v>
      </c>
      <c r="H191" s="79">
        <v>0</v>
      </c>
      <c r="I191" s="79" t="s">
        <v>4035</v>
      </c>
      <c r="J191" s="79">
        <v>0</v>
      </c>
      <c r="K191" s="79" t="s">
        <v>4036</v>
      </c>
      <c r="L191" s="79"/>
      <c r="M191" s="79"/>
      <c r="N191" s="79"/>
    </row>
    <row r="192" spans="1:14" s="78" customFormat="1" ht="18">
      <c r="A192" s="74">
        <v>11</v>
      </c>
      <c r="B192" s="74" t="s">
        <v>1171</v>
      </c>
      <c r="C192" s="74" t="s">
        <v>5349</v>
      </c>
      <c r="D192" s="79" t="s">
        <v>4038</v>
      </c>
      <c r="E192" s="79" t="s">
        <v>3184</v>
      </c>
      <c r="F192" s="79" t="s">
        <v>4039</v>
      </c>
      <c r="G192" s="79" t="s">
        <v>4040</v>
      </c>
      <c r="H192" s="79">
        <v>0</v>
      </c>
      <c r="I192" s="79" t="s">
        <v>4041</v>
      </c>
      <c r="J192" s="79" t="s">
        <v>4042</v>
      </c>
      <c r="K192" s="79" t="s">
        <v>3909</v>
      </c>
      <c r="L192" s="79"/>
      <c r="M192" s="79"/>
      <c r="N192" s="79"/>
    </row>
    <row r="193" spans="1:14" s="78" customFormat="1" ht="18">
      <c r="A193" s="74">
        <v>12</v>
      </c>
      <c r="B193" s="74" t="s">
        <v>1229</v>
      </c>
      <c r="C193" s="74" t="s">
        <v>5350</v>
      </c>
      <c r="D193" s="79" t="s">
        <v>4049</v>
      </c>
      <c r="E193" s="79" t="s">
        <v>3184</v>
      </c>
      <c r="F193" s="79" t="s">
        <v>4050</v>
      </c>
      <c r="G193" s="79" t="s">
        <v>1326</v>
      </c>
      <c r="H193" s="79" t="s">
        <v>4051</v>
      </c>
      <c r="I193" s="79" t="s">
        <v>4052</v>
      </c>
      <c r="J193" s="79" t="s">
        <v>4050</v>
      </c>
      <c r="K193" s="79" t="s">
        <v>4053</v>
      </c>
      <c r="L193" s="79"/>
      <c r="M193" s="79"/>
      <c r="N193" s="79"/>
    </row>
    <row r="194" spans="1:14" s="78" customFormat="1" ht="18">
      <c r="A194" s="74">
        <v>16</v>
      </c>
      <c r="B194" s="74" t="s">
        <v>1207</v>
      </c>
      <c r="C194" s="74" t="s">
        <v>5351</v>
      </c>
      <c r="D194" s="79" t="s">
        <v>4055</v>
      </c>
      <c r="E194" s="79" t="s">
        <v>3184</v>
      </c>
      <c r="F194" s="79" t="s">
        <v>4056</v>
      </c>
      <c r="G194" s="79" t="s">
        <v>4057</v>
      </c>
      <c r="H194" s="79">
        <v>0</v>
      </c>
      <c r="I194" s="79" t="s">
        <v>4058</v>
      </c>
      <c r="J194" s="79">
        <v>0</v>
      </c>
      <c r="K194" s="79" t="s">
        <v>4059</v>
      </c>
      <c r="L194" s="79"/>
      <c r="M194" s="79"/>
      <c r="N194" s="79"/>
    </row>
    <row r="195" spans="1:14" s="78" customFormat="1" ht="18">
      <c r="A195" s="74">
        <v>17</v>
      </c>
      <c r="B195" s="74" t="s">
        <v>1175</v>
      </c>
      <c r="C195" s="74" t="s">
        <v>5352</v>
      </c>
      <c r="D195" s="79" t="s">
        <v>4061</v>
      </c>
      <c r="E195" s="79" t="s">
        <v>3184</v>
      </c>
      <c r="F195" s="79" t="s">
        <v>4062</v>
      </c>
      <c r="G195" s="79" t="s">
        <v>51</v>
      </c>
      <c r="H195" s="79" t="s">
        <v>4063</v>
      </c>
      <c r="I195" s="79" t="s">
        <v>4064</v>
      </c>
      <c r="J195" s="79" t="s">
        <v>4062</v>
      </c>
      <c r="K195" s="79" t="s">
        <v>4065</v>
      </c>
      <c r="L195" s="79"/>
      <c r="M195" s="79"/>
      <c r="N195" s="79"/>
    </row>
    <row r="196" spans="1:14" s="78" customFormat="1" ht="18">
      <c r="A196" s="74">
        <v>18</v>
      </c>
      <c r="B196" s="74" t="s">
        <v>164</v>
      </c>
      <c r="C196" s="74" t="s">
        <v>5353</v>
      </c>
      <c r="D196" s="79" t="s">
        <v>4179</v>
      </c>
      <c r="E196" s="79" t="s">
        <v>3184</v>
      </c>
      <c r="F196" s="79" t="s">
        <v>4180</v>
      </c>
      <c r="G196" s="79" t="s">
        <v>1326</v>
      </c>
      <c r="H196" s="79" t="s">
        <v>4181</v>
      </c>
      <c r="I196" s="79" t="s">
        <v>4182</v>
      </c>
      <c r="J196" s="79" t="s">
        <v>4180</v>
      </c>
      <c r="K196" s="79" t="s">
        <v>4183</v>
      </c>
      <c r="L196" s="79"/>
      <c r="M196" s="79"/>
      <c r="N196" s="79"/>
    </row>
    <row r="197" spans="1:14" s="78" customFormat="1" ht="18">
      <c r="A197" s="74">
        <v>19</v>
      </c>
      <c r="B197" s="74" t="s">
        <v>1227</v>
      </c>
      <c r="C197" s="74" t="s">
        <v>5354</v>
      </c>
      <c r="D197" s="79" t="s">
        <v>4067</v>
      </c>
      <c r="E197" s="79" t="s">
        <v>3184</v>
      </c>
      <c r="F197" s="79" t="s">
        <v>4068</v>
      </c>
      <c r="G197" s="79" t="s">
        <v>4069</v>
      </c>
      <c r="H197" s="79" t="s">
        <v>4070</v>
      </c>
      <c r="I197" s="79" t="s">
        <v>1065</v>
      </c>
      <c r="J197" s="79" t="s">
        <v>4068</v>
      </c>
      <c r="K197" s="79" t="s">
        <v>4071</v>
      </c>
      <c r="L197" s="79"/>
      <c r="M197" s="79"/>
      <c r="N197" s="79"/>
    </row>
    <row r="198" spans="1:14" s="78" customFormat="1" ht="18">
      <c r="A198" s="74">
        <v>20</v>
      </c>
      <c r="B198" s="74" t="s">
        <v>5848</v>
      </c>
      <c r="C198" s="74" t="s">
        <v>5355</v>
      </c>
      <c r="D198" s="79" t="s">
        <v>4516</v>
      </c>
      <c r="E198" s="79" t="s">
        <v>3184</v>
      </c>
      <c r="F198" s="79" t="s">
        <v>5849</v>
      </c>
      <c r="G198" s="79" t="s">
        <v>5850</v>
      </c>
      <c r="H198" s="79" t="s">
        <v>5851</v>
      </c>
      <c r="I198" s="79" t="s">
        <v>5852</v>
      </c>
      <c r="J198" s="79" t="s">
        <v>5849</v>
      </c>
      <c r="K198" s="79" t="s">
        <v>5500</v>
      </c>
      <c r="L198" s="79"/>
      <c r="M198" s="79"/>
      <c r="N198" s="79"/>
    </row>
    <row r="199" spans="1:14" s="78" customFormat="1" ht="18">
      <c r="A199" s="74">
        <v>21</v>
      </c>
      <c r="B199" s="74" t="s">
        <v>1182</v>
      </c>
      <c r="C199" s="74" t="s">
        <v>5356</v>
      </c>
      <c r="D199" s="79" t="s">
        <v>4019</v>
      </c>
      <c r="E199" s="79" t="s">
        <v>3184</v>
      </c>
      <c r="F199" s="79" t="s">
        <v>4077</v>
      </c>
      <c r="G199" s="79" t="s">
        <v>4078</v>
      </c>
      <c r="H199" s="79" t="s">
        <v>4079</v>
      </c>
      <c r="I199" s="79" t="s">
        <v>4080</v>
      </c>
      <c r="J199" s="79" t="s">
        <v>4077</v>
      </c>
      <c r="K199" s="79" t="s">
        <v>3231</v>
      </c>
      <c r="L199" s="79"/>
      <c r="M199" s="79"/>
      <c r="N199" s="79"/>
    </row>
    <row r="200" spans="1:14" s="78" customFormat="1" ht="18">
      <c r="A200" s="74">
        <v>22</v>
      </c>
      <c r="B200" s="74" t="s">
        <v>1169</v>
      </c>
      <c r="C200" s="74" t="s">
        <v>5357</v>
      </c>
      <c r="D200" s="79" t="s">
        <v>4082</v>
      </c>
      <c r="E200" s="79" t="s">
        <v>3184</v>
      </c>
      <c r="F200" s="79" t="s">
        <v>4083</v>
      </c>
      <c r="G200" s="79" t="s">
        <v>4084</v>
      </c>
      <c r="H200" s="79" t="s">
        <v>4085</v>
      </c>
      <c r="I200" s="79" t="s">
        <v>4086</v>
      </c>
      <c r="J200" s="79" t="s">
        <v>4083</v>
      </c>
      <c r="K200" s="79" t="s">
        <v>4087</v>
      </c>
      <c r="L200" s="79"/>
      <c r="M200" s="79"/>
      <c r="N200" s="79"/>
    </row>
    <row r="201" spans="1:14" s="78" customFormat="1" ht="18">
      <c r="A201" s="74">
        <v>23</v>
      </c>
      <c r="B201" s="74" t="s">
        <v>1195</v>
      </c>
      <c r="C201" s="74" t="s">
        <v>5358</v>
      </c>
      <c r="D201" s="79" t="s">
        <v>4089</v>
      </c>
      <c r="E201" s="79" t="s">
        <v>3184</v>
      </c>
      <c r="F201" s="79" t="s">
        <v>4090</v>
      </c>
      <c r="G201" s="79" t="s">
        <v>4091</v>
      </c>
      <c r="H201" s="79" t="s">
        <v>4090</v>
      </c>
      <c r="I201" s="79" t="s">
        <v>4092</v>
      </c>
      <c r="J201" s="79">
        <v>0</v>
      </c>
      <c r="K201" s="79" t="s">
        <v>3231</v>
      </c>
      <c r="L201" s="79"/>
      <c r="M201" s="79"/>
      <c r="N201" s="79"/>
    </row>
    <row r="202" spans="1:14" s="78" customFormat="1" ht="18">
      <c r="A202" s="74">
        <v>24</v>
      </c>
      <c r="B202" s="74" t="s">
        <v>525</v>
      </c>
      <c r="C202" s="74" t="s">
        <v>5853</v>
      </c>
      <c r="D202" s="79" t="s">
        <v>4101</v>
      </c>
      <c r="E202" s="79" t="s">
        <v>3213</v>
      </c>
      <c r="F202" s="79" t="s">
        <v>4102</v>
      </c>
      <c r="G202" s="79" t="s">
        <v>1006</v>
      </c>
      <c r="H202" s="79" t="s">
        <v>4103</v>
      </c>
      <c r="I202" s="79" t="s">
        <v>4104</v>
      </c>
      <c r="J202" s="79" t="s">
        <v>4102</v>
      </c>
      <c r="K202" s="79" t="s">
        <v>3231</v>
      </c>
      <c r="L202" s="79"/>
      <c r="M202" s="79"/>
      <c r="N202" s="79"/>
    </row>
    <row r="203" spans="1:14" s="78" customFormat="1" ht="18">
      <c r="A203" s="74">
        <v>25</v>
      </c>
      <c r="B203" s="74" t="s">
        <v>1161</v>
      </c>
      <c r="C203" s="74" t="s">
        <v>5359</v>
      </c>
      <c r="D203" s="79" t="s">
        <v>4106</v>
      </c>
      <c r="E203" s="79" t="s">
        <v>3184</v>
      </c>
      <c r="F203" s="79" t="s">
        <v>4107</v>
      </c>
      <c r="G203" s="79" t="s">
        <v>4108</v>
      </c>
      <c r="H203" s="79" t="s">
        <v>4109</v>
      </c>
      <c r="I203" s="79" t="s">
        <v>4110</v>
      </c>
      <c r="J203" s="79" t="s">
        <v>4107</v>
      </c>
      <c r="K203" s="79" t="s">
        <v>4111</v>
      </c>
      <c r="L203" s="79"/>
      <c r="M203" s="79"/>
      <c r="N203" s="79"/>
    </row>
    <row r="204" spans="1:14" s="78" customFormat="1" ht="18">
      <c r="A204" s="74">
        <v>26</v>
      </c>
      <c r="B204" s="74" t="s">
        <v>1219</v>
      </c>
      <c r="C204" s="74" t="s">
        <v>5360</v>
      </c>
      <c r="D204" s="79" t="s">
        <v>4082</v>
      </c>
      <c r="E204" s="79" t="s">
        <v>3213</v>
      </c>
      <c r="F204" s="79" t="s">
        <v>4113</v>
      </c>
      <c r="G204" s="79" t="s">
        <v>4114</v>
      </c>
      <c r="H204" s="79" t="s">
        <v>4115</v>
      </c>
      <c r="I204" s="79" t="s">
        <v>4116</v>
      </c>
      <c r="J204" s="79" t="s">
        <v>4113</v>
      </c>
      <c r="K204" s="79" t="s">
        <v>3217</v>
      </c>
      <c r="L204" s="79"/>
      <c r="M204" s="79"/>
      <c r="N204" s="79"/>
    </row>
    <row r="205" spans="1:14" s="78" customFormat="1" ht="18">
      <c r="A205" s="74">
        <v>27</v>
      </c>
      <c r="B205" s="74" t="s">
        <v>1186</v>
      </c>
      <c r="C205" s="74" t="s">
        <v>5361</v>
      </c>
      <c r="D205" s="79" t="s">
        <v>4118</v>
      </c>
      <c r="E205" s="79" t="s">
        <v>3184</v>
      </c>
      <c r="F205" s="79" t="s">
        <v>3317</v>
      </c>
      <c r="G205" s="79" t="s">
        <v>3314</v>
      </c>
      <c r="H205" s="79" t="s">
        <v>4119</v>
      </c>
      <c r="I205" s="79" t="s">
        <v>3316</v>
      </c>
      <c r="J205" s="79" t="s">
        <v>3317</v>
      </c>
      <c r="K205" s="79" t="s">
        <v>4120</v>
      </c>
      <c r="L205" s="79"/>
      <c r="M205" s="79"/>
      <c r="N205" s="79"/>
    </row>
    <row r="206" spans="1:14" s="78" customFormat="1" ht="18">
      <c r="A206" s="74">
        <v>28</v>
      </c>
      <c r="B206" s="74" t="s">
        <v>1197</v>
      </c>
      <c r="C206" s="74" t="s">
        <v>5362</v>
      </c>
      <c r="D206" s="79" t="s">
        <v>3926</v>
      </c>
      <c r="E206" s="79" t="s">
        <v>3184</v>
      </c>
      <c r="F206" s="79" t="s">
        <v>4122</v>
      </c>
      <c r="G206" s="79" t="s">
        <v>4123</v>
      </c>
      <c r="H206" s="79">
        <v>0</v>
      </c>
      <c r="I206" s="79" t="s">
        <v>4124</v>
      </c>
      <c r="J206" s="79">
        <v>0</v>
      </c>
      <c r="K206" s="79" t="s">
        <v>4125</v>
      </c>
      <c r="L206" s="79"/>
      <c r="M206" s="79"/>
      <c r="N206" s="79"/>
    </row>
    <row r="207" spans="1:14" s="78" customFormat="1" ht="18">
      <c r="A207" s="74">
        <v>29</v>
      </c>
      <c r="B207" s="74" t="s">
        <v>1179</v>
      </c>
      <c r="C207" s="74" t="s">
        <v>5363</v>
      </c>
      <c r="D207" s="79" t="s">
        <v>4132</v>
      </c>
      <c r="E207" s="79" t="s">
        <v>3184</v>
      </c>
      <c r="F207" s="79" t="s">
        <v>4133</v>
      </c>
      <c r="G207" s="79" t="s">
        <v>4134</v>
      </c>
      <c r="H207" s="79">
        <v>0</v>
      </c>
      <c r="I207" s="79" t="s">
        <v>4135</v>
      </c>
      <c r="J207" s="79" t="s">
        <v>4133</v>
      </c>
      <c r="K207" s="79" t="s">
        <v>4136</v>
      </c>
      <c r="L207" s="79"/>
      <c r="M207" s="79"/>
      <c r="N207" s="79"/>
    </row>
    <row r="208" spans="1:14" s="78" customFormat="1" ht="18">
      <c r="A208" s="74">
        <v>30</v>
      </c>
      <c r="B208" s="74" t="s">
        <v>1221</v>
      </c>
      <c r="C208" s="74" t="s">
        <v>5364</v>
      </c>
      <c r="D208" s="79" t="s">
        <v>4138</v>
      </c>
      <c r="E208" s="79" t="s">
        <v>3213</v>
      </c>
      <c r="F208" s="79" t="s">
        <v>4139</v>
      </c>
      <c r="G208" s="79" t="s">
        <v>4140</v>
      </c>
      <c r="H208" s="79">
        <v>0</v>
      </c>
      <c r="I208" s="79" t="s">
        <v>4141</v>
      </c>
      <c r="J208" s="79">
        <v>0</v>
      </c>
      <c r="K208" s="79" t="s">
        <v>4142</v>
      </c>
      <c r="L208" s="79"/>
      <c r="M208" s="79"/>
      <c r="N208" s="79"/>
    </row>
    <row r="209" spans="1:14" s="78" customFormat="1" ht="18">
      <c r="A209" s="74">
        <v>31</v>
      </c>
      <c r="B209" s="74" t="s">
        <v>1191</v>
      </c>
      <c r="C209" s="74" t="s">
        <v>5365</v>
      </c>
      <c r="D209" s="79" t="s">
        <v>4144</v>
      </c>
      <c r="E209" s="79" t="s">
        <v>3184</v>
      </c>
      <c r="F209" s="79" t="s">
        <v>4145</v>
      </c>
      <c r="G209" s="79" t="s">
        <v>4146</v>
      </c>
      <c r="H209" s="79">
        <v>0</v>
      </c>
      <c r="I209" s="79" t="s">
        <v>4147</v>
      </c>
      <c r="J209" s="79">
        <v>0</v>
      </c>
      <c r="K209" s="79" t="s">
        <v>3469</v>
      </c>
      <c r="L209" s="79"/>
      <c r="M209" s="79"/>
      <c r="N209" s="79"/>
    </row>
    <row r="210" spans="1:14" s="78" customFormat="1" ht="18">
      <c r="A210" s="74">
        <v>32</v>
      </c>
      <c r="B210" s="74" t="s">
        <v>1158</v>
      </c>
      <c r="C210" s="74" t="s">
        <v>5366</v>
      </c>
      <c r="D210" s="79" t="s">
        <v>4149</v>
      </c>
      <c r="E210" s="79" t="s">
        <v>3184</v>
      </c>
      <c r="F210" s="79" t="s">
        <v>4150</v>
      </c>
      <c r="G210" s="79" t="s">
        <v>4151</v>
      </c>
      <c r="H210" s="79">
        <v>0</v>
      </c>
      <c r="I210" s="79" t="s">
        <v>4152</v>
      </c>
      <c r="J210" s="79">
        <v>0</v>
      </c>
      <c r="K210" s="79" t="s">
        <v>3231</v>
      </c>
      <c r="L210" s="79"/>
      <c r="M210" s="79"/>
      <c r="N210" s="79"/>
    </row>
    <row r="211" spans="1:14" s="78" customFormat="1" ht="18">
      <c r="A211" s="74">
        <v>33</v>
      </c>
      <c r="B211" s="74" t="s">
        <v>1173</v>
      </c>
      <c r="C211" s="74" t="s">
        <v>5367</v>
      </c>
      <c r="D211" s="79" t="s">
        <v>4154</v>
      </c>
      <c r="E211" s="79" t="s">
        <v>3213</v>
      </c>
      <c r="F211" s="79" t="s">
        <v>4155</v>
      </c>
      <c r="G211" s="79" t="s">
        <v>4156</v>
      </c>
      <c r="H211" s="79" t="s">
        <v>4157</v>
      </c>
      <c r="I211" s="79" t="s">
        <v>4158</v>
      </c>
      <c r="J211" s="79" t="s">
        <v>4155</v>
      </c>
      <c r="K211" s="79" t="s">
        <v>4159</v>
      </c>
      <c r="L211" s="79"/>
      <c r="M211" s="79"/>
      <c r="N211" s="79"/>
    </row>
    <row r="212" spans="1:14" s="78" customFormat="1" ht="18">
      <c r="A212" s="74">
        <v>34</v>
      </c>
      <c r="B212" s="74" t="s">
        <v>1167</v>
      </c>
      <c r="C212" s="74" t="s">
        <v>5368</v>
      </c>
      <c r="D212" s="79" t="s">
        <v>4161</v>
      </c>
      <c r="E212" s="79" t="s">
        <v>3184</v>
      </c>
      <c r="F212" s="79" t="s">
        <v>4162</v>
      </c>
      <c r="G212" s="79" t="s">
        <v>4163</v>
      </c>
      <c r="H212" s="79" t="s">
        <v>4164</v>
      </c>
      <c r="I212" s="79" t="s">
        <v>4165</v>
      </c>
      <c r="J212" s="79" t="s">
        <v>4162</v>
      </c>
      <c r="K212" s="79" t="s">
        <v>4166</v>
      </c>
      <c r="L212" s="79"/>
      <c r="M212" s="79"/>
      <c r="N212" s="79"/>
    </row>
    <row r="213" spans="1:14" s="78" customFormat="1" ht="18">
      <c r="A213" s="74">
        <v>35</v>
      </c>
      <c r="B213" s="74" t="s">
        <v>1188</v>
      </c>
      <c r="C213" s="74" t="s">
        <v>5369</v>
      </c>
      <c r="D213" s="79" t="s">
        <v>3823</v>
      </c>
      <c r="E213" s="79" t="s">
        <v>3213</v>
      </c>
      <c r="F213" s="79" t="s">
        <v>4168</v>
      </c>
      <c r="G213" s="79" t="s">
        <v>4169</v>
      </c>
      <c r="H213" s="79" t="s">
        <v>4170</v>
      </c>
      <c r="I213" s="79" t="s">
        <v>4171</v>
      </c>
      <c r="J213" s="79" t="s">
        <v>4168</v>
      </c>
      <c r="K213" s="79" t="s">
        <v>3231</v>
      </c>
      <c r="L213" s="79"/>
      <c r="M213" s="79"/>
      <c r="N213" s="79"/>
    </row>
    <row r="214" spans="1:14" s="78" customFormat="1" ht="18">
      <c r="A214" s="74">
        <v>36</v>
      </c>
      <c r="B214" s="74" t="s">
        <v>1209</v>
      </c>
      <c r="C214" s="74" t="s">
        <v>5370</v>
      </c>
      <c r="D214" s="79" t="s">
        <v>4173</v>
      </c>
      <c r="E214" s="79" t="s">
        <v>3184</v>
      </c>
      <c r="F214" s="79" t="s">
        <v>4174</v>
      </c>
      <c r="G214" s="79" t="s">
        <v>4151</v>
      </c>
      <c r="H214" s="79" t="s">
        <v>4175</v>
      </c>
      <c r="I214" s="79" t="s">
        <v>4176</v>
      </c>
      <c r="J214" s="79" t="s">
        <v>4174</v>
      </c>
      <c r="K214" s="79" t="s">
        <v>4177</v>
      </c>
      <c r="L214" s="79"/>
      <c r="M214" s="79"/>
      <c r="N214" s="79"/>
    </row>
    <row r="215" spans="1:14" s="78" customFormat="1" ht="18">
      <c r="A215" s="74">
        <v>37</v>
      </c>
      <c r="B215" s="74" t="s">
        <v>1199</v>
      </c>
      <c r="C215" s="74" t="s">
        <v>5371</v>
      </c>
      <c r="D215" s="79" t="s">
        <v>4127</v>
      </c>
      <c r="E215" s="79" t="s">
        <v>3184</v>
      </c>
      <c r="F215" s="79" t="s">
        <v>4128</v>
      </c>
      <c r="G215" s="79" t="s">
        <v>4129</v>
      </c>
      <c r="H215" s="79">
        <v>0</v>
      </c>
      <c r="I215" s="79" t="s">
        <v>4130</v>
      </c>
      <c r="J215" s="79" t="s">
        <v>4128</v>
      </c>
      <c r="K215" s="79" t="s">
        <v>3231</v>
      </c>
      <c r="L215" s="79"/>
      <c r="M215" s="79"/>
      <c r="N215" s="79"/>
    </row>
    <row r="216" spans="1:14" s="78" customFormat="1" ht="18">
      <c r="A216" s="74">
        <v>38</v>
      </c>
      <c r="B216" s="74" t="s">
        <v>1211</v>
      </c>
      <c r="C216" s="74" t="s">
        <v>5372</v>
      </c>
      <c r="D216" s="79" t="s">
        <v>4073</v>
      </c>
      <c r="E216" s="79" t="s">
        <v>3184</v>
      </c>
      <c r="F216" s="79" t="s">
        <v>4074</v>
      </c>
      <c r="G216" s="79" t="s">
        <v>4075</v>
      </c>
      <c r="H216" s="79">
        <v>0</v>
      </c>
      <c r="I216" s="79" t="s">
        <v>3916</v>
      </c>
      <c r="J216" s="79" t="s">
        <v>4074</v>
      </c>
      <c r="K216" s="79" t="s">
        <v>3272</v>
      </c>
      <c r="L216" s="79"/>
      <c r="M216" s="79"/>
      <c r="N216" s="79"/>
    </row>
    <row r="217" spans="1:14" s="78" customFormat="1" ht="18">
      <c r="A217" s="74">
        <v>39</v>
      </c>
      <c r="B217" s="74" t="s">
        <v>1213</v>
      </c>
      <c r="C217" s="74" t="s">
        <v>5373</v>
      </c>
      <c r="D217" s="79" t="s">
        <v>4434</v>
      </c>
      <c r="E217" s="79" t="s">
        <v>3213</v>
      </c>
      <c r="F217" s="79" t="s">
        <v>5854</v>
      </c>
      <c r="G217" s="79" t="s">
        <v>5855</v>
      </c>
      <c r="H217" s="79" t="s">
        <v>5854</v>
      </c>
      <c r="I217" s="79" t="s">
        <v>5856</v>
      </c>
      <c r="J217" s="79" t="s">
        <v>5857</v>
      </c>
      <c r="K217" s="79" t="s">
        <v>3189</v>
      </c>
      <c r="L217" s="79"/>
      <c r="M217" s="79"/>
      <c r="N217" s="79"/>
    </row>
    <row r="218" spans="1:14" s="78" customFormat="1" ht="18">
      <c r="A218" s="74">
        <v>40</v>
      </c>
      <c r="B218" s="74" t="s">
        <v>1215</v>
      </c>
      <c r="C218" s="74" t="s">
        <v>5374</v>
      </c>
      <c r="D218" s="79" t="s">
        <v>4709</v>
      </c>
      <c r="E218" s="79" t="s">
        <v>3184</v>
      </c>
      <c r="F218" s="79" t="s">
        <v>5858</v>
      </c>
      <c r="G218" s="79" t="s">
        <v>5859</v>
      </c>
      <c r="H218" s="79">
        <v>0</v>
      </c>
      <c r="I218" s="79" t="s">
        <v>5860</v>
      </c>
      <c r="J218" s="79" t="s">
        <v>5858</v>
      </c>
      <c r="K218" s="79" t="s">
        <v>5861</v>
      </c>
      <c r="L218" s="79"/>
      <c r="M218" s="79"/>
      <c r="N218" s="79"/>
    </row>
    <row r="219" spans="1:14" s="78" customFormat="1" ht="18">
      <c r="A219" s="74">
        <v>41</v>
      </c>
      <c r="B219" s="74" t="s">
        <v>1217</v>
      </c>
      <c r="C219" s="74" t="s">
        <v>5375</v>
      </c>
      <c r="D219" s="79" t="e">
        <v>#N/A</v>
      </c>
      <c r="E219" s="79" t="e">
        <v>#N/A</v>
      </c>
      <c r="F219" s="79" t="e">
        <v>#N/A</v>
      </c>
      <c r="G219" s="79" t="e">
        <v>#N/A</v>
      </c>
      <c r="H219" s="79" t="e">
        <v>#N/A</v>
      </c>
      <c r="I219" s="79" t="e">
        <v>#N/A</v>
      </c>
      <c r="J219" s="79" t="e">
        <v>#N/A</v>
      </c>
      <c r="K219" s="79" t="e">
        <v>#N/A</v>
      </c>
      <c r="L219" s="79"/>
      <c r="M219" s="79"/>
      <c r="N219" s="79"/>
    </row>
    <row r="220" spans="1:14" s="78" customFormat="1" ht="18">
      <c r="A220" s="74">
        <v>1</v>
      </c>
      <c r="B220" s="74" t="s">
        <v>1303</v>
      </c>
      <c r="C220" s="74" t="s">
        <v>5377</v>
      </c>
      <c r="D220" s="79" t="s">
        <v>4328</v>
      </c>
      <c r="E220" s="79" t="s">
        <v>3213</v>
      </c>
      <c r="F220" s="79" t="s">
        <v>4329</v>
      </c>
      <c r="G220" s="79" t="s">
        <v>4330</v>
      </c>
      <c r="H220" s="79" t="s">
        <v>4331</v>
      </c>
      <c r="I220" s="79" t="s">
        <v>4332</v>
      </c>
      <c r="J220" s="79" t="s">
        <v>4329</v>
      </c>
      <c r="K220" s="79" t="s">
        <v>4333</v>
      </c>
      <c r="L220" s="79"/>
      <c r="M220" s="79"/>
      <c r="N220" s="79"/>
    </row>
    <row r="221" spans="1:14" s="78" customFormat="1" ht="18">
      <c r="A221" s="74">
        <v>2</v>
      </c>
      <c r="B221" s="74" t="s">
        <v>1248</v>
      </c>
      <c r="C221" s="74" t="s">
        <v>5378</v>
      </c>
      <c r="D221" s="79" t="s">
        <v>4279</v>
      </c>
      <c r="E221" s="79" t="s">
        <v>3184</v>
      </c>
      <c r="F221" s="79" t="s">
        <v>4280</v>
      </c>
      <c r="G221" s="79" t="s">
        <v>4281</v>
      </c>
      <c r="H221" s="79">
        <v>0</v>
      </c>
      <c r="I221" s="79" t="s">
        <v>4282</v>
      </c>
      <c r="J221" s="79" t="s">
        <v>4280</v>
      </c>
      <c r="K221" s="79" t="s">
        <v>3231</v>
      </c>
      <c r="L221" s="79"/>
      <c r="M221" s="79"/>
      <c r="N221" s="79"/>
    </row>
    <row r="222" spans="1:14" s="78" customFormat="1" ht="18">
      <c r="A222" s="74">
        <v>3</v>
      </c>
      <c r="B222" s="74" t="s">
        <v>1267</v>
      </c>
      <c r="C222" s="74" t="s">
        <v>5379</v>
      </c>
      <c r="D222" s="79" t="s">
        <v>4185</v>
      </c>
      <c r="E222" s="79" t="s">
        <v>3184</v>
      </c>
      <c r="F222" s="79" t="s">
        <v>4186</v>
      </c>
      <c r="G222" s="79" t="s">
        <v>4187</v>
      </c>
      <c r="H222" s="79" t="s">
        <v>4188</v>
      </c>
      <c r="I222" s="79" t="s">
        <v>4189</v>
      </c>
      <c r="J222" s="79" t="s">
        <v>4186</v>
      </c>
      <c r="K222" s="79" t="s">
        <v>3610</v>
      </c>
      <c r="L222" s="79"/>
      <c r="M222" s="79"/>
      <c r="N222" s="79"/>
    </row>
    <row r="223" spans="1:14" s="78" customFormat="1" ht="18">
      <c r="A223" s="74">
        <v>4</v>
      </c>
      <c r="B223" s="74" t="s">
        <v>1269</v>
      </c>
      <c r="C223" s="74" t="s">
        <v>5380</v>
      </c>
      <c r="D223" s="79" t="s">
        <v>4185</v>
      </c>
      <c r="E223" s="79" t="s">
        <v>3184</v>
      </c>
      <c r="F223" s="79" t="s">
        <v>4186</v>
      </c>
      <c r="G223" s="79" t="s">
        <v>4187</v>
      </c>
      <c r="H223" s="79" t="s">
        <v>4188</v>
      </c>
      <c r="I223" s="79" t="s">
        <v>4189</v>
      </c>
      <c r="J223" s="79" t="s">
        <v>4186</v>
      </c>
      <c r="K223" s="79" t="s">
        <v>3610</v>
      </c>
      <c r="L223" s="79"/>
      <c r="M223" s="79"/>
      <c r="N223" s="79"/>
    </row>
    <row r="224" spans="1:14" s="78" customFormat="1" ht="18">
      <c r="A224" s="74">
        <v>5</v>
      </c>
      <c r="B224" s="74" t="s">
        <v>1283</v>
      </c>
      <c r="C224" s="74" t="s">
        <v>5381</v>
      </c>
      <c r="D224" s="79" t="s">
        <v>4384</v>
      </c>
      <c r="E224" s="79" t="s">
        <v>3184</v>
      </c>
      <c r="F224" s="79" t="s">
        <v>4385</v>
      </c>
      <c r="G224" s="79" t="s">
        <v>4386</v>
      </c>
      <c r="H224" s="79">
        <v>0</v>
      </c>
      <c r="I224" s="79" t="s">
        <v>4387</v>
      </c>
      <c r="J224" s="79" t="s">
        <v>4385</v>
      </c>
      <c r="K224" s="79" t="s">
        <v>4388</v>
      </c>
      <c r="L224" s="79"/>
      <c r="M224" s="79"/>
      <c r="N224" s="79"/>
    </row>
    <row r="225" spans="1:14" s="78" customFormat="1" ht="18">
      <c r="A225" s="74">
        <v>6</v>
      </c>
      <c r="B225" s="74" t="s">
        <v>1250</v>
      </c>
      <c r="C225" s="74" t="s">
        <v>5382</v>
      </c>
      <c r="D225" s="79" t="s">
        <v>4322</v>
      </c>
      <c r="E225" s="79" t="s">
        <v>3213</v>
      </c>
      <c r="F225" s="79" t="s">
        <v>4323</v>
      </c>
      <c r="G225" s="79" t="s">
        <v>4324</v>
      </c>
      <c r="H225" s="79" t="s">
        <v>4323</v>
      </c>
      <c r="I225" s="79" t="s">
        <v>4325</v>
      </c>
      <c r="J225" s="79" t="s">
        <v>4326</v>
      </c>
      <c r="K225" s="79" t="s">
        <v>3965</v>
      </c>
      <c r="L225" s="79"/>
      <c r="M225" s="79"/>
      <c r="N225" s="79"/>
    </row>
    <row r="226" spans="1:14" s="78" customFormat="1" ht="18">
      <c r="A226" s="74">
        <v>7</v>
      </c>
      <c r="B226" s="74" t="s">
        <v>1234</v>
      </c>
      <c r="C226" s="74" t="s">
        <v>5383</v>
      </c>
      <c r="D226" s="79" t="s">
        <v>4315</v>
      </c>
      <c r="E226" s="79" t="s">
        <v>3213</v>
      </c>
      <c r="F226" s="79" t="s">
        <v>4316</v>
      </c>
      <c r="G226" s="79" t="s">
        <v>4317</v>
      </c>
      <c r="H226" s="79" t="s">
        <v>4318</v>
      </c>
      <c r="I226" s="79" t="s">
        <v>4319</v>
      </c>
      <c r="J226" s="79" t="s">
        <v>4316</v>
      </c>
      <c r="K226" s="79" t="s">
        <v>4320</v>
      </c>
      <c r="L226" s="79"/>
      <c r="M226" s="79"/>
      <c r="N226" s="79"/>
    </row>
    <row r="227" spans="1:14" s="78" customFormat="1" ht="18">
      <c r="A227" s="74">
        <v>8</v>
      </c>
      <c r="B227" s="74" t="s">
        <v>1256</v>
      </c>
      <c r="C227" s="74" t="s">
        <v>5384</v>
      </c>
      <c r="D227" s="79" t="s">
        <v>4335</v>
      </c>
      <c r="E227" s="79" t="s">
        <v>3184</v>
      </c>
      <c r="F227" s="79" t="s">
        <v>4336</v>
      </c>
      <c r="G227" s="79" t="s">
        <v>4337</v>
      </c>
      <c r="H227" s="79" t="s">
        <v>4336</v>
      </c>
      <c r="I227" s="79" t="s">
        <v>4338</v>
      </c>
      <c r="J227" s="79" t="s">
        <v>4339</v>
      </c>
      <c r="K227" s="79" t="s">
        <v>3266</v>
      </c>
      <c r="L227" s="79"/>
      <c r="M227" s="79"/>
      <c r="N227" s="79"/>
    </row>
    <row r="228" spans="1:14" s="78" customFormat="1" ht="18">
      <c r="A228" s="74">
        <v>9</v>
      </c>
      <c r="B228" s="74" t="s">
        <v>1240</v>
      </c>
      <c r="C228" s="74" t="s">
        <v>5385</v>
      </c>
      <c r="D228" s="79" t="s">
        <v>4199</v>
      </c>
      <c r="E228" s="79" t="s">
        <v>3184</v>
      </c>
      <c r="F228" s="79" t="s">
        <v>4200</v>
      </c>
      <c r="G228" s="79" t="s">
        <v>4201</v>
      </c>
      <c r="H228" s="79" t="s">
        <v>4202</v>
      </c>
      <c r="I228" s="79" t="s">
        <v>4203</v>
      </c>
      <c r="J228" s="79" t="s">
        <v>4200</v>
      </c>
      <c r="K228" s="79" t="s">
        <v>4204</v>
      </c>
      <c r="L228" s="79"/>
      <c r="M228" s="79"/>
      <c r="N228" s="79"/>
    </row>
    <row r="229" spans="1:14" s="78" customFormat="1" ht="18">
      <c r="A229" s="74">
        <v>10</v>
      </c>
      <c r="B229" s="74" t="s">
        <v>1244</v>
      </c>
      <c r="C229" s="74" t="s">
        <v>5862</v>
      </c>
      <c r="D229" s="79" t="s">
        <v>4273</v>
      </c>
      <c r="E229" s="79" t="s">
        <v>3213</v>
      </c>
      <c r="F229" s="79" t="s">
        <v>4274</v>
      </c>
      <c r="G229" s="79" t="s">
        <v>4275</v>
      </c>
      <c r="H229" s="79" t="s">
        <v>4276</v>
      </c>
      <c r="I229" s="79" t="s">
        <v>4277</v>
      </c>
      <c r="J229" s="79" t="s">
        <v>4274</v>
      </c>
      <c r="K229" s="79" t="s">
        <v>3231</v>
      </c>
      <c r="L229" s="79"/>
      <c r="M229" s="79"/>
      <c r="N229" s="79"/>
    </row>
    <row r="230" spans="1:14" s="78" customFormat="1" ht="18">
      <c r="A230" s="74">
        <v>11</v>
      </c>
      <c r="B230" s="74" t="s">
        <v>1261</v>
      </c>
      <c r="C230" s="74" t="s">
        <v>5386</v>
      </c>
      <c r="D230" s="79" t="s">
        <v>4231</v>
      </c>
      <c r="E230" s="79" t="s">
        <v>3184</v>
      </c>
      <c r="F230" s="79" t="s">
        <v>4232</v>
      </c>
      <c r="G230" s="79" t="s">
        <v>4233</v>
      </c>
      <c r="H230" s="79">
        <v>0</v>
      </c>
      <c r="I230" s="79" t="s">
        <v>4234</v>
      </c>
      <c r="J230" s="79">
        <v>0</v>
      </c>
      <c r="K230" s="79" t="s">
        <v>4235</v>
      </c>
      <c r="L230" s="79"/>
      <c r="M230" s="79"/>
      <c r="N230" s="79"/>
    </row>
    <row r="231" spans="1:14" s="78" customFormat="1" ht="18">
      <c r="A231" s="74">
        <v>12</v>
      </c>
      <c r="B231" s="74" t="s">
        <v>1252</v>
      </c>
      <c r="C231" s="74" t="s">
        <v>5387</v>
      </c>
      <c r="D231" s="79" t="s">
        <v>5863</v>
      </c>
      <c r="E231" s="79" t="s">
        <v>3213</v>
      </c>
      <c r="F231" s="79" t="s">
        <v>5864</v>
      </c>
      <c r="G231" s="79" t="s">
        <v>5865</v>
      </c>
      <c r="H231" s="79" t="s">
        <v>5866</v>
      </c>
      <c r="I231" s="79" t="s">
        <v>4110</v>
      </c>
      <c r="J231" s="79" t="s">
        <v>5864</v>
      </c>
      <c r="K231" s="79" t="s">
        <v>4493</v>
      </c>
      <c r="L231" s="79"/>
      <c r="M231" s="79"/>
      <c r="N231" s="79"/>
    </row>
    <row r="232" spans="1:14" s="78" customFormat="1" ht="18">
      <c r="A232" s="74">
        <v>13</v>
      </c>
      <c r="B232" s="74" t="s">
        <v>1271</v>
      </c>
      <c r="C232" s="74" t="s">
        <v>5388</v>
      </c>
      <c r="D232" s="79" t="s">
        <v>4206</v>
      </c>
      <c r="E232" s="79" t="s">
        <v>3184</v>
      </c>
      <c r="F232" s="79" t="s">
        <v>4207</v>
      </c>
      <c r="G232" s="79" t="s">
        <v>4208</v>
      </c>
      <c r="H232" s="79" t="s">
        <v>4209</v>
      </c>
      <c r="I232" s="79" t="s">
        <v>4210</v>
      </c>
      <c r="J232" s="79" t="s">
        <v>4207</v>
      </c>
      <c r="K232" s="79" t="s">
        <v>4211</v>
      </c>
      <c r="L232" s="79"/>
      <c r="M232" s="79"/>
      <c r="N232" s="79"/>
    </row>
    <row r="233" spans="1:14" s="78" customFormat="1" ht="18">
      <c r="A233" s="74">
        <v>14</v>
      </c>
      <c r="B233" s="74" t="s">
        <v>1231</v>
      </c>
      <c r="C233" s="74" t="s">
        <v>5389</v>
      </c>
      <c r="D233" s="79" t="s">
        <v>4365</v>
      </c>
      <c r="E233" s="79" t="s">
        <v>3213</v>
      </c>
      <c r="F233" s="79" t="s">
        <v>4366</v>
      </c>
      <c r="G233" s="79" t="s">
        <v>4367</v>
      </c>
      <c r="H233" s="79" t="s">
        <v>4368</v>
      </c>
      <c r="I233" s="79" t="s">
        <v>4369</v>
      </c>
      <c r="J233" s="79">
        <v>0</v>
      </c>
      <c r="K233" s="79" t="s">
        <v>4370</v>
      </c>
      <c r="L233" s="79"/>
      <c r="M233" s="79"/>
      <c r="N233" s="79"/>
    </row>
    <row r="234" spans="1:14" s="78" customFormat="1" ht="18">
      <c r="A234" s="74">
        <v>15</v>
      </c>
      <c r="B234" s="74" t="s">
        <v>1275</v>
      </c>
      <c r="C234" s="74" t="s">
        <v>5390</v>
      </c>
      <c r="D234" s="79" t="s">
        <v>3853</v>
      </c>
      <c r="E234" s="79" t="s">
        <v>3184</v>
      </c>
      <c r="F234" s="79" t="s">
        <v>4243</v>
      </c>
      <c r="G234" s="79" t="s">
        <v>4244</v>
      </c>
      <c r="H234" s="79" t="s">
        <v>4245</v>
      </c>
      <c r="I234" s="79" t="s">
        <v>4246</v>
      </c>
      <c r="J234" s="79" t="s">
        <v>4243</v>
      </c>
      <c r="K234" s="79" t="s">
        <v>3231</v>
      </c>
      <c r="L234" s="79"/>
      <c r="M234" s="79"/>
      <c r="N234" s="79"/>
    </row>
    <row r="235" spans="1:14" s="78" customFormat="1" ht="18">
      <c r="A235" s="74">
        <v>16</v>
      </c>
      <c r="B235" s="74" t="s">
        <v>507</v>
      </c>
      <c r="C235" s="74" t="s">
        <v>5391</v>
      </c>
      <c r="D235" s="79" t="s">
        <v>4353</v>
      </c>
      <c r="E235" s="79" t="s">
        <v>3184</v>
      </c>
      <c r="F235" s="79" t="s">
        <v>4354</v>
      </c>
      <c r="G235" s="79" t="s">
        <v>4093</v>
      </c>
      <c r="H235" s="79" t="s">
        <v>4355</v>
      </c>
      <c r="I235" s="79" t="s">
        <v>4356</v>
      </c>
      <c r="J235" s="79" t="s">
        <v>4354</v>
      </c>
      <c r="K235" s="79" t="s">
        <v>4357</v>
      </c>
      <c r="L235" s="79"/>
      <c r="M235" s="79"/>
      <c r="N235" s="79"/>
    </row>
    <row r="236" spans="1:14" s="78" customFormat="1" ht="18">
      <c r="A236" s="74">
        <v>17</v>
      </c>
      <c r="B236" s="74" t="s">
        <v>1285</v>
      </c>
      <c r="C236" s="74" t="s">
        <v>5392</v>
      </c>
      <c r="D236" s="79" t="s">
        <v>4284</v>
      </c>
      <c r="E236" s="79" t="s">
        <v>3184</v>
      </c>
      <c r="F236" s="79" t="s">
        <v>4285</v>
      </c>
      <c r="G236" s="79" t="s">
        <v>4286</v>
      </c>
      <c r="H236" s="79" t="s">
        <v>4287</v>
      </c>
      <c r="I236" s="79" t="s">
        <v>4288</v>
      </c>
      <c r="J236" s="79" t="s">
        <v>4285</v>
      </c>
      <c r="K236" s="79" t="s">
        <v>4289</v>
      </c>
      <c r="L236" s="79"/>
      <c r="M236" s="79"/>
      <c r="N236" s="79"/>
    </row>
    <row r="237" spans="1:14" s="78" customFormat="1" ht="18">
      <c r="A237" s="74">
        <v>18</v>
      </c>
      <c r="B237" s="74" t="s">
        <v>1295</v>
      </c>
      <c r="C237" s="74" t="s">
        <v>5393</v>
      </c>
      <c r="D237" s="79" t="s">
        <v>4304</v>
      </c>
      <c r="E237" s="79" t="s">
        <v>3184</v>
      </c>
      <c r="F237" s="79" t="s">
        <v>4305</v>
      </c>
      <c r="G237" s="79" t="s">
        <v>4306</v>
      </c>
      <c r="H237" s="79">
        <v>0</v>
      </c>
      <c r="I237" s="79" t="s">
        <v>4307</v>
      </c>
      <c r="J237" s="79">
        <v>0</v>
      </c>
      <c r="K237" s="79" t="s">
        <v>4308</v>
      </c>
      <c r="L237" s="79"/>
      <c r="M237" s="79"/>
      <c r="N237" s="79"/>
    </row>
    <row r="238" spans="1:14" s="78" customFormat="1" ht="18">
      <c r="A238" s="74">
        <v>19</v>
      </c>
      <c r="B238" s="74" t="s">
        <v>1265</v>
      </c>
      <c r="C238" s="74" t="s">
        <v>5394</v>
      </c>
      <c r="D238" s="79" t="s">
        <v>4377</v>
      </c>
      <c r="E238" s="79" t="s">
        <v>3213</v>
      </c>
      <c r="F238" s="79" t="s">
        <v>4378</v>
      </c>
      <c r="G238" s="79" t="s">
        <v>4379</v>
      </c>
      <c r="H238" s="79" t="s">
        <v>4380</v>
      </c>
      <c r="I238" s="79" t="s">
        <v>4381</v>
      </c>
      <c r="J238" s="79" t="s">
        <v>4378</v>
      </c>
      <c r="K238" s="79" t="s">
        <v>4382</v>
      </c>
      <c r="L238" s="79"/>
      <c r="M238" s="79"/>
      <c r="N238" s="79"/>
    </row>
    <row r="239" spans="1:14" s="78" customFormat="1" ht="18">
      <c r="A239" s="74">
        <v>21</v>
      </c>
      <c r="B239" s="74" t="s">
        <v>1277</v>
      </c>
      <c r="C239" s="74" t="s">
        <v>5395</v>
      </c>
      <c r="D239" s="79" t="s">
        <v>4237</v>
      </c>
      <c r="E239" s="79" t="s">
        <v>3184</v>
      </c>
      <c r="F239" s="79" t="s">
        <v>4238</v>
      </c>
      <c r="G239" s="79" t="s">
        <v>4239</v>
      </c>
      <c r="H239" s="79" t="s">
        <v>4240</v>
      </c>
      <c r="I239" s="79" t="s">
        <v>4241</v>
      </c>
      <c r="J239" s="79" t="s">
        <v>4238</v>
      </c>
      <c r="K239" s="79" t="s">
        <v>3618</v>
      </c>
      <c r="L239" s="79"/>
      <c r="M239" s="79"/>
      <c r="N239" s="79"/>
    </row>
    <row r="240" spans="1:14" s="78" customFormat="1" ht="18">
      <c r="A240" s="74">
        <v>22</v>
      </c>
      <c r="B240" s="74" t="s">
        <v>1254</v>
      </c>
      <c r="C240" s="74" t="s">
        <v>5396</v>
      </c>
      <c r="D240" s="79" t="s">
        <v>4225</v>
      </c>
      <c r="E240" s="79" t="s">
        <v>3184</v>
      </c>
      <c r="F240" s="79" t="s">
        <v>4226</v>
      </c>
      <c r="G240" s="79" t="s">
        <v>4227</v>
      </c>
      <c r="H240" s="79" t="s">
        <v>4228</v>
      </c>
      <c r="I240" s="79" t="s">
        <v>4229</v>
      </c>
      <c r="J240" s="79" t="s">
        <v>4226</v>
      </c>
      <c r="K240" s="79" t="s">
        <v>3266</v>
      </c>
      <c r="L240" s="79"/>
      <c r="M240" s="79"/>
      <c r="N240" s="79"/>
    </row>
    <row r="241" spans="1:14" s="78" customFormat="1" ht="18">
      <c r="A241" s="74">
        <v>23</v>
      </c>
      <c r="B241" s="74" t="s">
        <v>1242</v>
      </c>
      <c r="C241" s="74" t="s">
        <v>5867</v>
      </c>
      <c r="D241" s="79" t="s">
        <v>4219</v>
      </c>
      <c r="E241" s="79" t="s">
        <v>3184</v>
      </c>
      <c r="F241" s="79" t="s">
        <v>4220</v>
      </c>
      <c r="G241" s="79" t="s">
        <v>4221</v>
      </c>
      <c r="H241" s="79" t="s">
        <v>4220</v>
      </c>
      <c r="I241" s="79" t="s">
        <v>4222</v>
      </c>
      <c r="J241" s="79" t="s">
        <v>4223</v>
      </c>
      <c r="K241" s="79" t="s">
        <v>3891</v>
      </c>
      <c r="L241" s="79"/>
      <c r="M241" s="79"/>
      <c r="N241" s="79"/>
    </row>
    <row r="242" spans="1:14" s="78" customFormat="1" ht="18">
      <c r="A242" s="74">
        <v>24</v>
      </c>
      <c r="B242" s="74" t="s">
        <v>1297</v>
      </c>
      <c r="C242" s="74" t="s">
        <v>5868</v>
      </c>
      <c r="D242" s="79" t="s">
        <v>4297</v>
      </c>
      <c r="E242" s="79" t="s">
        <v>3184</v>
      </c>
      <c r="F242" s="79" t="s">
        <v>4298</v>
      </c>
      <c r="G242" s="79" t="s">
        <v>4299</v>
      </c>
      <c r="H242" s="79" t="s">
        <v>4300</v>
      </c>
      <c r="I242" s="79" t="s">
        <v>4301</v>
      </c>
      <c r="J242" s="79" t="s">
        <v>4298</v>
      </c>
      <c r="K242" s="79" t="s">
        <v>4302</v>
      </c>
      <c r="L242" s="79"/>
      <c r="M242" s="79"/>
      <c r="N242" s="79"/>
    </row>
    <row r="243" spans="1:14" s="78" customFormat="1" ht="18">
      <c r="A243" s="74">
        <v>25</v>
      </c>
      <c r="B243" s="74" t="s">
        <v>1238</v>
      </c>
      <c r="C243" s="74" t="s">
        <v>5869</v>
      </c>
      <c r="D243" s="79" t="s">
        <v>4310</v>
      </c>
      <c r="E243" s="79" t="s">
        <v>3184</v>
      </c>
      <c r="F243" s="79" t="s">
        <v>4311</v>
      </c>
      <c r="G243" s="79" t="s">
        <v>4312</v>
      </c>
      <c r="H243" s="79">
        <v>0</v>
      </c>
      <c r="I243" s="79" t="s">
        <v>4313</v>
      </c>
      <c r="J243" s="79">
        <v>0</v>
      </c>
      <c r="K243" s="79" t="s">
        <v>3610</v>
      </c>
      <c r="L243" s="79"/>
      <c r="M243" s="79"/>
      <c r="N243" s="79"/>
    </row>
    <row r="244" spans="1:14" s="78" customFormat="1" ht="18">
      <c r="A244" s="74">
        <v>26</v>
      </c>
      <c r="B244" s="74" t="s">
        <v>1281</v>
      </c>
      <c r="C244" s="74" t="s">
        <v>5870</v>
      </c>
      <c r="D244" s="79" t="s">
        <v>4127</v>
      </c>
      <c r="E244" s="79" t="s">
        <v>3184</v>
      </c>
      <c r="F244" s="79" t="s">
        <v>4262</v>
      </c>
      <c r="G244" s="79" t="s">
        <v>4263</v>
      </c>
      <c r="H244" s="79" t="s">
        <v>4264</v>
      </c>
      <c r="I244" s="79" t="s">
        <v>4265</v>
      </c>
      <c r="J244" s="79" t="s">
        <v>4262</v>
      </c>
      <c r="K244" s="79" t="s">
        <v>3290</v>
      </c>
      <c r="L244" s="79"/>
      <c r="M244" s="79"/>
      <c r="N244" s="79"/>
    </row>
    <row r="245" spans="1:14" s="78" customFormat="1" ht="18">
      <c r="A245" s="74">
        <v>27</v>
      </c>
      <c r="B245" s="74" t="s">
        <v>1301</v>
      </c>
      <c r="C245" s="74" t="s">
        <v>5871</v>
      </c>
      <c r="D245" s="79" t="s">
        <v>4248</v>
      </c>
      <c r="E245" s="79" t="s">
        <v>3184</v>
      </c>
      <c r="F245" s="79" t="s">
        <v>4249</v>
      </c>
      <c r="G245" s="79" t="s">
        <v>4250</v>
      </c>
      <c r="H245" s="79" t="s">
        <v>4251</v>
      </c>
      <c r="I245" s="79" t="s">
        <v>4252</v>
      </c>
      <c r="J245" s="79" t="s">
        <v>4249</v>
      </c>
      <c r="K245" s="79" t="s">
        <v>4253</v>
      </c>
      <c r="L245" s="79"/>
      <c r="M245" s="79"/>
      <c r="N245" s="79"/>
    </row>
    <row r="246" spans="1:14" s="78" customFormat="1" ht="18">
      <c r="A246" s="74">
        <v>28</v>
      </c>
      <c r="B246" s="74" t="s">
        <v>1263</v>
      </c>
      <c r="C246" s="74" t="s">
        <v>5872</v>
      </c>
      <c r="D246" s="79" t="s">
        <v>4341</v>
      </c>
      <c r="E246" s="79" t="s">
        <v>3213</v>
      </c>
      <c r="F246" s="79" t="s">
        <v>4342</v>
      </c>
      <c r="G246" s="79" t="s">
        <v>4343</v>
      </c>
      <c r="H246" s="79">
        <v>0</v>
      </c>
      <c r="I246" s="79" t="s">
        <v>4344</v>
      </c>
      <c r="J246" s="79">
        <v>0</v>
      </c>
      <c r="K246" s="79" t="s">
        <v>4345</v>
      </c>
      <c r="L246" s="79"/>
      <c r="M246" s="79"/>
      <c r="N246" s="79"/>
    </row>
    <row r="247" spans="1:14" s="78" customFormat="1" ht="18">
      <c r="A247" s="81">
        <v>29</v>
      </c>
      <c r="B247" s="81" t="s">
        <v>1259</v>
      </c>
      <c r="C247" s="81" t="s">
        <v>5873</v>
      </c>
      <c r="D247" s="79" t="s">
        <v>4144</v>
      </c>
      <c r="E247" s="79" t="s">
        <v>3184</v>
      </c>
      <c r="F247" s="79" t="s">
        <v>4359</v>
      </c>
      <c r="G247" s="79" t="s">
        <v>4360</v>
      </c>
      <c r="H247" s="79" t="s">
        <v>4359</v>
      </c>
      <c r="I247" s="79" t="s">
        <v>4361</v>
      </c>
      <c r="J247" s="79" t="s">
        <v>4362</v>
      </c>
      <c r="K247" s="79" t="s">
        <v>4363</v>
      </c>
      <c r="L247" s="79"/>
      <c r="M247" s="79"/>
      <c r="N247" s="79"/>
    </row>
    <row r="248" spans="1:14" s="78" customFormat="1" ht="18">
      <c r="A248" s="74">
        <v>30</v>
      </c>
      <c r="B248" s="74" t="s">
        <v>1273</v>
      </c>
      <c r="C248" s="74" t="s">
        <v>5874</v>
      </c>
      <c r="D248" s="79" t="s">
        <v>4213</v>
      </c>
      <c r="E248" s="79" t="s">
        <v>3184</v>
      </c>
      <c r="F248" s="79" t="s">
        <v>4214</v>
      </c>
      <c r="G248" s="79" t="s">
        <v>4215</v>
      </c>
      <c r="H248" s="79" t="s">
        <v>4216</v>
      </c>
      <c r="I248" s="79" t="s">
        <v>4217</v>
      </c>
      <c r="J248" s="79" t="s">
        <v>4214</v>
      </c>
      <c r="K248" s="79" t="s">
        <v>3401</v>
      </c>
      <c r="L248" s="79"/>
      <c r="M248" s="79"/>
      <c r="N248" s="79"/>
    </row>
    <row r="249" spans="1:14" s="78" customFormat="1" ht="18">
      <c r="A249" s="74">
        <v>31</v>
      </c>
      <c r="B249" s="74" t="s">
        <v>1287</v>
      </c>
      <c r="C249" s="74" t="s">
        <v>5875</v>
      </c>
      <c r="D249" s="79" t="s">
        <v>4291</v>
      </c>
      <c r="E249" s="79" t="s">
        <v>3184</v>
      </c>
      <c r="F249" s="79" t="s">
        <v>4292</v>
      </c>
      <c r="G249" s="79" t="s">
        <v>4293</v>
      </c>
      <c r="H249" s="79" t="s">
        <v>4294</v>
      </c>
      <c r="I249" s="79" t="s">
        <v>4295</v>
      </c>
      <c r="J249" s="79" t="s">
        <v>4292</v>
      </c>
      <c r="K249" s="79" t="s">
        <v>3877</v>
      </c>
      <c r="L249" s="79"/>
      <c r="M249" s="79"/>
      <c r="N249" s="79"/>
    </row>
    <row r="250" spans="1:14" s="78" customFormat="1" ht="18">
      <c r="A250" s="74">
        <v>32</v>
      </c>
      <c r="B250" s="74" t="s">
        <v>1293</v>
      </c>
      <c r="C250" s="74" t="s">
        <v>5876</v>
      </c>
      <c r="D250" s="79" t="s">
        <v>4206</v>
      </c>
      <c r="E250" s="79" t="s">
        <v>3213</v>
      </c>
      <c r="F250" s="79" t="s">
        <v>4267</v>
      </c>
      <c r="G250" s="79" t="s">
        <v>4268</v>
      </c>
      <c r="H250" s="79" t="s">
        <v>4269</v>
      </c>
      <c r="I250" s="79" t="s">
        <v>4270</v>
      </c>
      <c r="J250" s="79" t="s">
        <v>4267</v>
      </c>
      <c r="K250" s="79" t="s">
        <v>4271</v>
      </c>
      <c r="L250" s="79"/>
      <c r="M250" s="79"/>
      <c r="N250" s="79"/>
    </row>
    <row r="251" spans="1:14" s="78" customFormat="1" ht="18">
      <c r="A251" s="74">
        <v>33</v>
      </c>
      <c r="B251" s="74" t="s">
        <v>1246</v>
      </c>
      <c r="C251" s="74" t="s">
        <v>5877</v>
      </c>
      <c r="D251" s="79" t="s">
        <v>4225</v>
      </c>
      <c r="E251" s="79" t="s">
        <v>3184</v>
      </c>
      <c r="F251" s="79" t="s">
        <v>4372</v>
      </c>
      <c r="G251" s="79" t="s">
        <v>4373</v>
      </c>
      <c r="H251" s="79" t="s">
        <v>4372</v>
      </c>
      <c r="I251" s="79" t="s">
        <v>4374</v>
      </c>
      <c r="J251" s="79">
        <v>0</v>
      </c>
      <c r="K251" s="79" t="s">
        <v>4375</v>
      </c>
      <c r="L251" s="79"/>
      <c r="M251" s="79"/>
      <c r="N251" s="79"/>
    </row>
    <row r="252" spans="1:14" s="78" customFormat="1" ht="18">
      <c r="A252" s="74">
        <v>34</v>
      </c>
      <c r="B252" s="74" t="s">
        <v>1289</v>
      </c>
      <c r="C252" s="74" t="s">
        <v>5878</v>
      </c>
      <c r="D252" s="79" t="s">
        <v>4341</v>
      </c>
      <c r="E252" s="79" t="s">
        <v>3184</v>
      </c>
      <c r="F252" s="79" t="s">
        <v>4347</v>
      </c>
      <c r="G252" s="79" t="s">
        <v>4348</v>
      </c>
      <c r="H252" s="79" t="s">
        <v>4347</v>
      </c>
      <c r="I252" s="79" t="s">
        <v>4349</v>
      </c>
      <c r="J252" s="79" t="s">
        <v>4350</v>
      </c>
      <c r="K252" s="79" t="s">
        <v>4351</v>
      </c>
      <c r="L252" s="79"/>
      <c r="M252" s="79"/>
      <c r="N252" s="79"/>
    </row>
    <row r="253" spans="1:14" s="78" customFormat="1" ht="18">
      <c r="A253" s="74">
        <v>35</v>
      </c>
      <c r="B253" s="74" t="s">
        <v>1279</v>
      </c>
      <c r="C253" s="74" t="s">
        <v>5879</v>
      </c>
      <c r="D253" s="79" t="s">
        <v>4255</v>
      </c>
      <c r="E253" s="79" t="s">
        <v>3184</v>
      </c>
      <c r="F253" s="79" t="s">
        <v>4256</v>
      </c>
      <c r="G253" s="79" t="s">
        <v>4257</v>
      </c>
      <c r="H253" s="79" t="s">
        <v>4256</v>
      </c>
      <c r="I253" s="79" t="s">
        <v>4258</v>
      </c>
      <c r="J253" s="79" t="s">
        <v>4259</v>
      </c>
      <c r="K253" s="79" t="s">
        <v>4260</v>
      </c>
      <c r="L253" s="79"/>
      <c r="M253" s="79"/>
      <c r="N253" s="79"/>
    </row>
    <row r="254" spans="1:14" s="78" customFormat="1" ht="18">
      <c r="A254" s="74">
        <v>36</v>
      </c>
      <c r="B254" s="74" t="s">
        <v>1236</v>
      </c>
      <c r="C254" s="74" t="s">
        <v>5880</v>
      </c>
      <c r="D254" s="79" t="s">
        <v>4225</v>
      </c>
      <c r="E254" s="79" t="s">
        <v>3213</v>
      </c>
      <c r="F254" s="79" t="s">
        <v>4390</v>
      </c>
      <c r="G254" s="79" t="s">
        <v>4391</v>
      </c>
      <c r="H254" s="79" t="s">
        <v>4392</v>
      </c>
      <c r="I254" s="79" t="s">
        <v>4393</v>
      </c>
      <c r="J254" s="79" t="s">
        <v>4390</v>
      </c>
      <c r="K254" s="79" t="s">
        <v>3231</v>
      </c>
      <c r="L254" s="79"/>
      <c r="M254" s="79"/>
      <c r="N254" s="79"/>
    </row>
    <row r="255" spans="1:14" s="78" customFormat="1" ht="18">
      <c r="A255" s="74">
        <v>37</v>
      </c>
      <c r="B255" s="74" t="s">
        <v>1291</v>
      </c>
      <c r="C255" s="74" t="s">
        <v>5881</v>
      </c>
      <c r="D255" s="79" t="s">
        <v>3829</v>
      </c>
      <c r="E255" s="79" t="s">
        <v>3184</v>
      </c>
      <c r="F255" s="79" t="s">
        <v>5882</v>
      </c>
      <c r="G255" s="79" t="s">
        <v>5883</v>
      </c>
      <c r="H255" s="79" t="s">
        <v>5884</v>
      </c>
      <c r="I255" s="79" t="s">
        <v>5885</v>
      </c>
      <c r="J255" s="79" t="s">
        <v>5886</v>
      </c>
      <c r="K255" s="79" t="s">
        <v>5317</v>
      </c>
      <c r="L255" s="79"/>
      <c r="M255" s="79"/>
      <c r="N255" s="79"/>
    </row>
    <row r="256" spans="1:14" s="78" customFormat="1" ht="18">
      <c r="A256" s="74">
        <v>1</v>
      </c>
      <c r="B256" s="74" t="s">
        <v>1337</v>
      </c>
      <c r="C256" s="74" t="s">
        <v>5397</v>
      </c>
      <c r="D256" s="79" t="e">
        <v>#N/A</v>
      </c>
      <c r="E256" s="79" t="e">
        <v>#N/A</v>
      </c>
      <c r="F256" s="79" t="e">
        <v>#N/A</v>
      </c>
      <c r="G256" s="79" t="e">
        <v>#N/A</v>
      </c>
      <c r="H256" s="79" t="e">
        <v>#N/A</v>
      </c>
      <c r="I256" s="79" t="e">
        <v>#N/A</v>
      </c>
      <c r="J256" s="79" t="e">
        <v>#N/A</v>
      </c>
      <c r="K256" s="79" t="e">
        <v>#N/A</v>
      </c>
      <c r="L256" s="79"/>
      <c r="M256" s="79"/>
      <c r="N256" s="79"/>
    </row>
    <row r="257" spans="1:14" s="78" customFormat="1" ht="18">
      <c r="A257" s="74">
        <v>2</v>
      </c>
      <c r="B257" s="74" t="s">
        <v>1320</v>
      </c>
      <c r="C257" s="74" t="s">
        <v>5399</v>
      </c>
      <c r="D257" s="79" t="s">
        <v>4482</v>
      </c>
      <c r="E257" s="79" t="s">
        <v>3184</v>
      </c>
      <c r="F257" s="79" t="s">
        <v>4483</v>
      </c>
      <c r="G257" s="79" t="s">
        <v>4484</v>
      </c>
      <c r="H257" s="79" t="s">
        <v>4485</v>
      </c>
      <c r="I257" s="79" t="s">
        <v>4486</v>
      </c>
      <c r="J257" s="79" t="s">
        <v>4483</v>
      </c>
      <c r="K257" s="79" t="s">
        <v>4487</v>
      </c>
      <c r="L257" s="79"/>
      <c r="M257" s="79"/>
      <c r="N257" s="79"/>
    </row>
    <row r="258" spans="1:14" s="78" customFormat="1" ht="18">
      <c r="A258" s="74">
        <v>3</v>
      </c>
      <c r="B258" s="74" t="s">
        <v>1318</v>
      </c>
      <c r="C258" s="74" t="s">
        <v>5400</v>
      </c>
      <c r="D258" s="79" t="s">
        <v>4185</v>
      </c>
      <c r="E258" s="79" t="s">
        <v>3184</v>
      </c>
      <c r="F258" s="79" t="s">
        <v>4469</v>
      </c>
      <c r="G258" s="79" t="s">
        <v>4470</v>
      </c>
      <c r="H258" s="79" t="s">
        <v>4471</v>
      </c>
      <c r="I258" s="79" t="s">
        <v>4472</v>
      </c>
      <c r="J258" s="79" t="s">
        <v>4469</v>
      </c>
      <c r="K258" s="79" t="s">
        <v>4473</v>
      </c>
      <c r="L258" s="79"/>
      <c r="M258" s="79"/>
      <c r="N258" s="79"/>
    </row>
    <row r="259" spans="1:14" s="78" customFormat="1" ht="18">
      <c r="A259" s="74">
        <v>4</v>
      </c>
      <c r="B259" s="74" t="s">
        <v>1335</v>
      </c>
      <c r="C259" s="74" t="s">
        <v>5401</v>
      </c>
      <c r="D259" s="79" t="s">
        <v>4464</v>
      </c>
      <c r="E259" s="79" t="s">
        <v>3184</v>
      </c>
      <c r="F259" s="79" t="s">
        <v>4465</v>
      </c>
      <c r="G259" s="79" t="s">
        <v>915</v>
      </c>
      <c r="H259" s="79">
        <v>0</v>
      </c>
      <c r="I259" s="79" t="s">
        <v>4466</v>
      </c>
      <c r="J259" s="79">
        <v>0</v>
      </c>
      <c r="K259" s="79" t="s">
        <v>4467</v>
      </c>
      <c r="L259" s="79"/>
      <c r="M259" s="79"/>
      <c r="N259" s="79"/>
    </row>
    <row r="260" spans="1:14" s="78" customFormat="1" ht="18">
      <c r="A260" s="74">
        <v>5</v>
      </c>
      <c r="B260" s="74" t="s">
        <v>1322</v>
      </c>
      <c r="C260" s="74" t="s">
        <v>5402</v>
      </c>
      <c r="D260" s="79" t="s">
        <v>3919</v>
      </c>
      <c r="E260" s="79" t="s">
        <v>3184</v>
      </c>
      <c r="F260" s="79" t="s">
        <v>4529</v>
      </c>
      <c r="G260" s="79" t="s">
        <v>4530</v>
      </c>
      <c r="H260" s="79" t="s">
        <v>4529</v>
      </c>
      <c r="I260" s="79" t="s">
        <v>4531</v>
      </c>
      <c r="J260" s="79" t="s">
        <v>4532</v>
      </c>
      <c r="K260" s="79" t="s">
        <v>4071</v>
      </c>
      <c r="L260" s="79"/>
      <c r="M260" s="79"/>
      <c r="N260" s="79"/>
    </row>
    <row r="261" spans="1:14" s="78" customFormat="1" ht="18">
      <c r="A261" s="74">
        <v>6</v>
      </c>
      <c r="B261" s="74" t="s">
        <v>1343</v>
      </c>
      <c r="C261" s="74" t="s">
        <v>5404</v>
      </c>
      <c r="D261" s="79" t="s">
        <v>3900</v>
      </c>
      <c r="E261" s="79" t="s">
        <v>3184</v>
      </c>
      <c r="F261" s="79" t="s">
        <v>4402</v>
      </c>
      <c r="G261" s="79" t="s">
        <v>4403</v>
      </c>
      <c r="H261" s="79" t="s">
        <v>4404</v>
      </c>
      <c r="I261" s="79" t="s">
        <v>4405</v>
      </c>
      <c r="J261" s="79" t="s">
        <v>4402</v>
      </c>
      <c r="K261" s="79" t="s">
        <v>4406</v>
      </c>
      <c r="L261" s="79"/>
      <c r="M261" s="79"/>
      <c r="N261" s="79"/>
    </row>
    <row r="262" spans="1:14" s="78" customFormat="1" ht="18">
      <c r="A262" s="74">
        <v>7</v>
      </c>
      <c r="B262" s="74" t="s">
        <v>1310</v>
      </c>
      <c r="C262" s="74" t="s">
        <v>5405</v>
      </c>
      <c r="D262" s="79" t="s">
        <v>4415</v>
      </c>
      <c r="E262" s="79" t="s">
        <v>3213</v>
      </c>
      <c r="F262" s="79" t="s">
        <v>4416</v>
      </c>
      <c r="G262" s="79" t="s">
        <v>4417</v>
      </c>
      <c r="H262" s="79" t="s">
        <v>4418</v>
      </c>
      <c r="I262" s="79" t="s">
        <v>4419</v>
      </c>
      <c r="J262" s="79" t="s">
        <v>4416</v>
      </c>
      <c r="K262" s="79" t="s">
        <v>4420</v>
      </c>
      <c r="L262" s="79"/>
      <c r="M262" s="79"/>
      <c r="N262" s="79"/>
    </row>
    <row r="263" spans="1:14" s="78" customFormat="1" ht="18">
      <c r="A263" s="74">
        <v>8</v>
      </c>
      <c r="B263" s="74" t="s">
        <v>1316</v>
      </c>
      <c r="C263" s="74" t="s">
        <v>5887</v>
      </c>
      <c r="D263" s="79" t="s">
        <v>4273</v>
      </c>
      <c r="E263" s="79" t="s">
        <v>3184</v>
      </c>
      <c r="F263" s="79" t="s">
        <v>4458</v>
      </c>
      <c r="G263" s="79" t="s">
        <v>4459</v>
      </c>
      <c r="H263" s="79" t="s">
        <v>4460</v>
      </c>
      <c r="I263" s="79" t="s">
        <v>4461</v>
      </c>
      <c r="J263" s="79" t="s">
        <v>4458</v>
      </c>
      <c r="K263" s="79" t="s">
        <v>4462</v>
      </c>
      <c r="L263" s="79"/>
      <c r="M263" s="79"/>
      <c r="N263" s="79"/>
    </row>
    <row r="264" spans="1:14" s="78" customFormat="1" ht="18">
      <c r="A264" s="74">
        <v>9</v>
      </c>
      <c r="B264" s="74" t="s">
        <v>1312</v>
      </c>
      <c r="C264" s="74" t="s">
        <v>5406</v>
      </c>
      <c r="D264" s="79" t="s">
        <v>4522</v>
      </c>
      <c r="E264" s="79" t="s">
        <v>3184</v>
      </c>
      <c r="F264" s="79" t="s">
        <v>4523</v>
      </c>
      <c r="G264" s="79" t="s">
        <v>4524</v>
      </c>
      <c r="H264" s="79" t="s">
        <v>4523</v>
      </c>
      <c r="I264" s="79" t="s">
        <v>4525</v>
      </c>
      <c r="J264" s="79" t="s">
        <v>4526</v>
      </c>
      <c r="K264" s="79" t="s">
        <v>4527</v>
      </c>
      <c r="L264" s="79"/>
      <c r="M264" s="79"/>
      <c r="N264" s="79"/>
    </row>
    <row r="265" spans="1:14" s="78" customFormat="1" ht="18">
      <c r="A265" s="74">
        <v>10</v>
      </c>
      <c r="B265" s="74" t="s">
        <v>1345</v>
      </c>
      <c r="C265" s="74" t="s">
        <v>5888</v>
      </c>
      <c r="D265" s="79" t="s">
        <v>4408</v>
      </c>
      <c r="E265" s="79" t="s">
        <v>3184</v>
      </c>
      <c r="F265" s="79" t="s">
        <v>4409</v>
      </c>
      <c r="G265" s="79" t="s">
        <v>4410</v>
      </c>
      <c r="H265" s="79" t="s">
        <v>4411</v>
      </c>
      <c r="I265" s="79" t="s">
        <v>4412</v>
      </c>
      <c r="J265" s="79" t="s">
        <v>4409</v>
      </c>
      <c r="K265" s="79" t="s">
        <v>4413</v>
      </c>
      <c r="L265" s="79"/>
      <c r="M265" s="79"/>
      <c r="N265" s="79"/>
    </row>
    <row r="266" spans="1:14" s="78" customFormat="1" ht="18">
      <c r="A266" s="74">
        <v>11</v>
      </c>
      <c r="B266" s="74" t="s">
        <v>1339</v>
      </c>
      <c r="C266" s="74" t="s">
        <v>5407</v>
      </c>
      <c r="D266" s="79" t="s">
        <v>4495</v>
      </c>
      <c r="E266" s="79" t="s">
        <v>3184</v>
      </c>
      <c r="F266" s="79" t="s">
        <v>4496</v>
      </c>
      <c r="G266" s="79" t="s">
        <v>4497</v>
      </c>
      <c r="H266" s="79" t="s">
        <v>4498</v>
      </c>
      <c r="I266" s="79" t="s">
        <v>4499</v>
      </c>
      <c r="J266" s="79" t="s">
        <v>4500</v>
      </c>
      <c r="K266" s="79" t="s">
        <v>4501</v>
      </c>
      <c r="L266" s="79"/>
      <c r="M266" s="79"/>
      <c r="N266" s="79"/>
    </row>
    <row r="267" spans="1:14" s="78" customFormat="1" ht="18">
      <c r="A267" s="74">
        <v>12</v>
      </c>
      <c r="B267" s="74" t="s">
        <v>1333</v>
      </c>
      <c r="C267" s="74" t="s">
        <v>5408</v>
      </c>
      <c r="D267" s="79" t="s">
        <v>4489</v>
      </c>
      <c r="E267" s="79" t="s">
        <v>3184</v>
      </c>
      <c r="F267" s="79" t="s">
        <v>4490</v>
      </c>
      <c r="G267" s="79" t="s">
        <v>4491</v>
      </c>
      <c r="H267" s="79" t="s">
        <v>4492</v>
      </c>
      <c r="I267" s="79" t="s">
        <v>3224</v>
      </c>
      <c r="J267" s="79" t="s">
        <v>4490</v>
      </c>
      <c r="K267" s="79" t="s">
        <v>4493</v>
      </c>
      <c r="L267" s="79"/>
      <c r="M267" s="79"/>
      <c r="N267" s="79"/>
    </row>
    <row r="268" spans="1:14" s="78" customFormat="1" ht="18">
      <c r="A268" s="74">
        <v>13</v>
      </c>
      <c r="B268" s="74" t="s">
        <v>285</v>
      </c>
      <c r="C268" s="74" t="s">
        <v>5409</v>
      </c>
      <c r="D268" s="79" t="s">
        <v>4434</v>
      </c>
      <c r="E268" s="79" t="s">
        <v>3184</v>
      </c>
      <c r="F268" s="79" t="s">
        <v>4435</v>
      </c>
      <c r="G268" s="79" t="s">
        <v>4436</v>
      </c>
      <c r="H268" s="79">
        <v>0</v>
      </c>
      <c r="I268" s="79" t="s">
        <v>4437</v>
      </c>
      <c r="J268" s="79">
        <v>0</v>
      </c>
      <c r="K268" s="79" t="s">
        <v>4438</v>
      </c>
      <c r="L268" s="79"/>
      <c r="M268" s="79"/>
      <c r="N268" s="79"/>
    </row>
    <row r="269" spans="1:14" s="78" customFormat="1" ht="18">
      <c r="A269" s="74">
        <v>14</v>
      </c>
      <c r="B269" s="74" t="s">
        <v>4533</v>
      </c>
      <c r="C269" s="74" t="s">
        <v>5410</v>
      </c>
      <c r="D269" s="79" t="e">
        <v>#N/A</v>
      </c>
      <c r="E269" s="79" t="e">
        <v>#N/A</v>
      </c>
      <c r="F269" s="79" t="e">
        <v>#N/A</v>
      </c>
      <c r="G269" s="79" t="e">
        <v>#N/A</v>
      </c>
      <c r="H269" s="79" t="e">
        <v>#N/A</v>
      </c>
      <c r="I269" s="79" t="e">
        <v>#N/A</v>
      </c>
      <c r="J269" s="79" t="e">
        <v>#N/A</v>
      </c>
      <c r="K269" s="79" t="e">
        <v>#N/A</v>
      </c>
      <c r="L269" s="79"/>
      <c r="M269" s="79"/>
      <c r="N269" s="79"/>
    </row>
    <row r="270" spans="1:14" s="78" customFormat="1" ht="18">
      <c r="A270" s="74">
        <v>15</v>
      </c>
      <c r="B270" s="74" t="s">
        <v>1326</v>
      </c>
      <c r="C270" s="74" t="s">
        <v>5411</v>
      </c>
      <c r="D270" s="79" t="s">
        <v>4427</v>
      </c>
      <c r="E270" s="79" t="s">
        <v>3184</v>
      </c>
      <c r="F270" s="79" t="s">
        <v>4428</v>
      </c>
      <c r="G270" s="79" t="s">
        <v>4429</v>
      </c>
      <c r="H270" s="79" t="s">
        <v>4430</v>
      </c>
      <c r="I270" s="79" t="s">
        <v>4431</v>
      </c>
      <c r="J270" s="79" t="s">
        <v>4428</v>
      </c>
      <c r="K270" s="79" t="s">
        <v>4432</v>
      </c>
      <c r="L270" s="79"/>
      <c r="M270" s="79"/>
      <c r="N270" s="79"/>
    </row>
    <row r="271" spans="1:14" s="78" customFormat="1" ht="18">
      <c r="A271" s="74">
        <v>16</v>
      </c>
      <c r="B271" s="74" t="s">
        <v>1324</v>
      </c>
      <c r="C271" s="74" t="s">
        <v>5412</v>
      </c>
      <c r="D271" s="79" t="s">
        <v>4503</v>
      </c>
      <c r="E271" s="79" t="s">
        <v>3184</v>
      </c>
      <c r="F271" s="79" t="s">
        <v>4504</v>
      </c>
      <c r="G271" s="79" t="s">
        <v>4505</v>
      </c>
      <c r="H271" s="79" t="s">
        <v>4506</v>
      </c>
      <c r="I271" s="79" t="s">
        <v>4507</v>
      </c>
      <c r="J271" s="79" t="s">
        <v>4506</v>
      </c>
      <c r="K271" s="79" t="s">
        <v>4508</v>
      </c>
      <c r="L271" s="79"/>
      <c r="M271" s="79"/>
      <c r="N271" s="79"/>
    </row>
    <row r="272" spans="1:14" s="78" customFormat="1" ht="18">
      <c r="A272" s="74">
        <v>17</v>
      </c>
      <c r="B272" s="74" t="s">
        <v>1305</v>
      </c>
      <c r="C272" s="74" t="s">
        <v>5413</v>
      </c>
      <c r="D272" s="79" t="s">
        <v>4044</v>
      </c>
      <c r="E272" s="79" t="s">
        <v>3184</v>
      </c>
      <c r="F272" s="79" t="s">
        <v>4422</v>
      </c>
      <c r="G272" s="79" t="s">
        <v>3502</v>
      </c>
      <c r="H272" s="79" t="s">
        <v>4423</v>
      </c>
      <c r="I272" s="79" t="s">
        <v>4424</v>
      </c>
      <c r="J272" s="79" t="s">
        <v>4422</v>
      </c>
      <c r="K272" s="79" t="s">
        <v>4425</v>
      </c>
      <c r="L272" s="79"/>
      <c r="M272" s="79"/>
      <c r="N272" s="79"/>
    </row>
    <row r="273" spans="1:14" s="78" customFormat="1" ht="18">
      <c r="A273" s="74">
        <v>18</v>
      </c>
      <c r="B273" s="74" t="s">
        <v>1308</v>
      </c>
      <c r="C273" s="74" t="s">
        <v>5414</v>
      </c>
      <c r="D273" s="79" t="s">
        <v>4516</v>
      </c>
      <c r="E273" s="79" t="s">
        <v>3184</v>
      </c>
      <c r="F273" s="79" t="s">
        <v>4517</v>
      </c>
      <c r="G273" s="79" t="s">
        <v>4518</v>
      </c>
      <c r="H273" s="79" t="s">
        <v>4519</v>
      </c>
      <c r="I273" s="79" t="s">
        <v>4520</v>
      </c>
      <c r="J273" s="79" t="s">
        <v>4517</v>
      </c>
      <c r="K273" s="79" t="s">
        <v>4099</v>
      </c>
      <c r="L273" s="79"/>
      <c r="M273" s="79"/>
      <c r="N273" s="79"/>
    </row>
    <row r="274" spans="1:14" s="78" customFormat="1" ht="18">
      <c r="A274" s="74">
        <v>19</v>
      </c>
      <c r="B274" s="74" t="s">
        <v>1330</v>
      </c>
      <c r="C274" s="74" t="s">
        <v>5415</v>
      </c>
      <c r="D274" s="79" t="s">
        <v>4440</v>
      </c>
      <c r="E274" s="79" t="s">
        <v>3184</v>
      </c>
      <c r="F274" s="79" t="s">
        <v>4441</v>
      </c>
      <c r="G274" s="79" t="s">
        <v>4442</v>
      </c>
      <c r="H274" s="79">
        <v>0</v>
      </c>
      <c r="I274" s="79" t="s">
        <v>4443</v>
      </c>
      <c r="J274" s="79">
        <v>0</v>
      </c>
      <c r="K274" s="79" t="s">
        <v>3610</v>
      </c>
      <c r="L274" s="79"/>
      <c r="M274" s="79"/>
      <c r="N274" s="79"/>
    </row>
    <row r="275" spans="1:14" s="78" customFormat="1" ht="18">
      <c r="A275" s="74">
        <v>20</v>
      </c>
      <c r="B275" s="74" t="s">
        <v>371</v>
      </c>
      <c r="C275" s="74" t="s">
        <v>5889</v>
      </c>
      <c r="D275" s="79" t="s">
        <v>4475</v>
      </c>
      <c r="E275" s="79" t="s">
        <v>3184</v>
      </c>
      <c r="F275" s="79" t="s">
        <v>4476</v>
      </c>
      <c r="G275" s="79" t="s">
        <v>4477</v>
      </c>
      <c r="H275" s="79" t="s">
        <v>4478</v>
      </c>
      <c r="I275" s="79" t="s">
        <v>4479</v>
      </c>
      <c r="J275" s="79" t="s">
        <v>4476</v>
      </c>
      <c r="K275" s="79" t="s">
        <v>4480</v>
      </c>
      <c r="L275" s="79"/>
      <c r="M275" s="79"/>
      <c r="N275" s="79"/>
    </row>
    <row r="276" spans="1:14" s="78" customFormat="1" ht="18">
      <c r="A276" s="74">
        <v>21</v>
      </c>
      <c r="B276" s="74" t="s">
        <v>1314</v>
      </c>
      <c r="C276" s="74" t="s">
        <v>5416</v>
      </c>
      <c r="D276" s="79" t="s">
        <v>4445</v>
      </c>
      <c r="E276" s="79" t="s">
        <v>3184</v>
      </c>
      <c r="F276" s="79" t="s">
        <v>4446</v>
      </c>
      <c r="G276" s="79" t="s">
        <v>4447</v>
      </c>
      <c r="H276" s="79">
        <v>0</v>
      </c>
      <c r="I276" s="79" t="s">
        <v>4448</v>
      </c>
      <c r="J276" s="79" t="s">
        <v>4446</v>
      </c>
      <c r="K276" s="79" t="s">
        <v>4449</v>
      </c>
      <c r="L276" s="79"/>
      <c r="M276" s="79"/>
      <c r="N276" s="79"/>
    </row>
    <row r="277" spans="1:14" s="78" customFormat="1" ht="18">
      <c r="A277" s="74">
        <v>22</v>
      </c>
      <c r="B277" s="74" t="s">
        <v>4450</v>
      </c>
      <c r="C277" s="74" t="s">
        <v>5890</v>
      </c>
      <c r="D277" s="79" t="s">
        <v>4452</v>
      </c>
      <c r="E277" s="79" t="s">
        <v>3184</v>
      </c>
      <c r="F277" s="79" t="s">
        <v>4453</v>
      </c>
      <c r="G277" s="79" t="s">
        <v>4454</v>
      </c>
      <c r="H277" s="79" t="s">
        <v>4455</v>
      </c>
      <c r="I277" s="79" t="s">
        <v>4456</v>
      </c>
      <c r="J277" s="79" t="s">
        <v>4453</v>
      </c>
      <c r="K277" s="79" t="s">
        <v>3610</v>
      </c>
      <c r="L277" s="79"/>
      <c r="M277" s="79"/>
      <c r="N277" s="79"/>
    </row>
    <row r="278" spans="1:14" s="78" customFormat="1" ht="18">
      <c r="A278" s="74">
        <v>24</v>
      </c>
      <c r="B278" s="74" t="s">
        <v>1341</v>
      </c>
      <c r="C278" s="74" t="s">
        <v>5891</v>
      </c>
      <c r="D278" s="79" t="s">
        <v>4510</v>
      </c>
      <c r="E278" s="79" t="s">
        <v>3184</v>
      </c>
      <c r="F278" s="79" t="s">
        <v>4511</v>
      </c>
      <c r="G278" s="79" t="s">
        <v>4512</v>
      </c>
      <c r="H278" s="79">
        <v>0</v>
      </c>
      <c r="I278" s="79" t="s">
        <v>4513</v>
      </c>
      <c r="J278" s="79" t="s">
        <v>4514</v>
      </c>
      <c r="K278" s="79" t="s">
        <v>4345</v>
      </c>
      <c r="L278" s="79"/>
      <c r="M278" s="79"/>
      <c r="N278" s="79"/>
    </row>
    <row r="279" spans="1:14" s="78" customFormat="1" ht="18">
      <c r="A279" s="74">
        <v>1</v>
      </c>
      <c r="B279" s="74" t="s">
        <v>1374</v>
      </c>
      <c r="C279" s="74" t="s">
        <v>5417</v>
      </c>
      <c r="D279" s="79" t="s">
        <v>4538</v>
      </c>
      <c r="E279" s="79" t="s">
        <v>3184</v>
      </c>
      <c r="F279" s="79" t="s">
        <v>4539</v>
      </c>
      <c r="G279" s="79" t="s">
        <v>4540</v>
      </c>
      <c r="H279" s="79">
        <v>0</v>
      </c>
      <c r="I279" s="79" t="s">
        <v>4541</v>
      </c>
      <c r="J279" s="79" t="s">
        <v>4539</v>
      </c>
      <c r="K279" s="79" t="s">
        <v>4542</v>
      </c>
      <c r="L279" s="79"/>
      <c r="M279" s="79"/>
      <c r="N279" s="79"/>
    </row>
    <row r="280" spans="1:14" s="78" customFormat="1" ht="18">
      <c r="A280" s="74">
        <v>2</v>
      </c>
      <c r="B280" s="74" t="s">
        <v>1366</v>
      </c>
      <c r="C280" s="74" t="s">
        <v>5418</v>
      </c>
      <c r="D280" s="79" t="s">
        <v>4544</v>
      </c>
      <c r="E280" s="79" t="s">
        <v>3184</v>
      </c>
      <c r="F280" s="79" t="s">
        <v>4545</v>
      </c>
      <c r="G280" s="79" t="s">
        <v>4546</v>
      </c>
      <c r="H280" s="79" t="s">
        <v>4547</v>
      </c>
      <c r="I280" s="79" t="s">
        <v>3930</v>
      </c>
      <c r="J280" s="79" t="s">
        <v>4545</v>
      </c>
      <c r="K280" s="79" t="s">
        <v>3456</v>
      </c>
      <c r="L280" s="79"/>
      <c r="M280" s="79"/>
      <c r="N280" s="79"/>
    </row>
    <row r="281" spans="1:14" s="78" customFormat="1" ht="18">
      <c r="A281" s="74">
        <v>3</v>
      </c>
      <c r="B281" s="74" t="s">
        <v>1376</v>
      </c>
      <c r="C281" s="74" t="s">
        <v>5419</v>
      </c>
      <c r="D281" s="79" t="s">
        <v>3985</v>
      </c>
      <c r="E281" s="79" t="s">
        <v>3184</v>
      </c>
      <c r="F281" s="79" t="s">
        <v>4549</v>
      </c>
      <c r="G281" s="79" t="s">
        <v>4550</v>
      </c>
      <c r="H281" s="79" t="s">
        <v>4551</v>
      </c>
      <c r="I281" s="79" t="s">
        <v>4552</v>
      </c>
      <c r="J281" s="79" t="s">
        <v>4549</v>
      </c>
      <c r="K281" s="79" t="s">
        <v>4553</v>
      </c>
      <c r="L281" s="79"/>
      <c r="M281" s="79"/>
      <c r="N281" s="79"/>
    </row>
    <row r="282" spans="1:14" s="78" customFormat="1" ht="18">
      <c r="A282" s="74">
        <v>4</v>
      </c>
      <c r="B282" s="74" t="s">
        <v>1396</v>
      </c>
      <c r="C282" s="74" t="s">
        <v>5420</v>
      </c>
      <c r="D282" s="79" t="s">
        <v>3867</v>
      </c>
      <c r="E282" s="79" t="s">
        <v>3184</v>
      </c>
      <c r="F282" s="79" t="s">
        <v>4563</v>
      </c>
      <c r="G282" s="79" t="s">
        <v>4564</v>
      </c>
      <c r="H282" s="79" t="s">
        <v>4565</v>
      </c>
      <c r="I282" s="79" t="s">
        <v>4566</v>
      </c>
      <c r="J282" s="79" t="s">
        <v>4563</v>
      </c>
      <c r="K282" s="79" t="s">
        <v>3231</v>
      </c>
      <c r="L282" s="79"/>
      <c r="M282" s="79"/>
      <c r="N282" s="79"/>
    </row>
    <row r="283" spans="1:14" s="78" customFormat="1" ht="18">
      <c r="A283" s="74">
        <v>5</v>
      </c>
      <c r="B283" s="74" t="s">
        <v>1360</v>
      </c>
      <c r="C283" s="74" t="s">
        <v>5421</v>
      </c>
      <c r="D283" s="79" t="s">
        <v>3992</v>
      </c>
      <c r="E283" s="79" t="s">
        <v>3184</v>
      </c>
      <c r="F283" s="79" t="s">
        <v>4748</v>
      </c>
      <c r="G283" s="79" t="s">
        <v>4749</v>
      </c>
      <c r="H283" s="79">
        <v>0</v>
      </c>
      <c r="I283" s="79" t="s">
        <v>4750</v>
      </c>
      <c r="J283" s="79" t="s">
        <v>4748</v>
      </c>
      <c r="K283" s="79" t="s">
        <v>4751</v>
      </c>
      <c r="L283" s="79"/>
      <c r="M283" s="79"/>
      <c r="N283" s="79"/>
    </row>
    <row r="284" spans="1:14" s="78" customFormat="1" ht="18">
      <c r="A284" s="74">
        <v>6</v>
      </c>
      <c r="B284" s="74" t="s">
        <v>1364</v>
      </c>
      <c r="C284" s="74" t="s">
        <v>5422</v>
      </c>
      <c r="D284" s="79" t="s">
        <v>4568</v>
      </c>
      <c r="E284" s="79" t="s">
        <v>3213</v>
      </c>
      <c r="F284" s="79" t="s">
        <v>4569</v>
      </c>
      <c r="G284" s="79" t="s">
        <v>4570</v>
      </c>
      <c r="H284" s="79" t="s">
        <v>4571</v>
      </c>
      <c r="I284" s="79" t="s">
        <v>4572</v>
      </c>
      <c r="J284" s="79" t="s">
        <v>4569</v>
      </c>
      <c r="K284" s="79" t="s">
        <v>4573</v>
      </c>
      <c r="L284" s="79"/>
      <c r="M284" s="79"/>
      <c r="N284" s="79"/>
    </row>
    <row r="285" spans="1:14" s="78" customFormat="1" ht="18">
      <c r="A285" s="74">
        <v>7</v>
      </c>
      <c r="B285" s="74" t="s">
        <v>1405</v>
      </c>
      <c r="C285" s="74" t="s">
        <v>5423</v>
      </c>
      <c r="D285" s="79" t="s">
        <v>4575</v>
      </c>
      <c r="E285" s="79" t="s">
        <v>3184</v>
      </c>
      <c r="F285" s="79" t="s">
        <v>4576</v>
      </c>
      <c r="G285" s="79" t="s">
        <v>4577</v>
      </c>
      <c r="H285" s="79" t="s">
        <v>4578</v>
      </c>
      <c r="I285" s="79" t="s">
        <v>4579</v>
      </c>
      <c r="J285" s="79" t="s">
        <v>4576</v>
      </c>
      <c r="K285" s="79" t="s">
        <v>3643</v>
      </c>
      <c r="L285" s="79"/>
      <c r="M285" s="79"/>
      <c r="N285" s="79"/>
    </row>
    <row r="286" spans="1:14" s="78" customFormat="1" ht="18">
      <c r="A286" s="74">
        <v>8</v>
      </c>
      <c r="B286" s="74" t="s">
        <v>1382</v>
      </c>
      <c r="C286" s="74" t="s">
        <v>5424</v>
      </c>
      <c r="D286" s="79" t="s">
        <v>4581</v>
      </c>
      <c r="E286" s="79" t="s">
        <v>3213</v>
      </c>
      <c r="F286" s="79" t="s">
        <v>4582</v>
      </c>
      <c r="G286" s="79" t="s">
        <v>4583</v>
      </c>
      <c r="H286" s="79" t="s">
        <v>4584</v>
      </c>
      <c r="I286" s="79" t="s">
        <v>4585</v>
      </c>
      <c r="J286" s="79" t="s">
        <v>4582</v>
      </c>
      <c r="K286" s="79" t="s">
        <v>3231</v>
      </c>
      <c r="L286" s="79"/>
      <c r="M286" s="79"/>
      <c r="N286" s="79"/>
    </row>
    <row r="287" spans="1:14" s="78" customFormat="1" ht="18">
      <c r="A287" s="74">
        <v>9</v>
      </c>
      <c r="B287" s="74" t="s">
        <v>1386</v>
      </c>
      <c r="C287" s="74" t="s">
        <v>5425</v>
      </c>
      <c r="D287" s="79" t="s">
        <v>4384</v>
      </c>
      <c r="E287" s="79" t="s">
        <v>3184</v>
      </c>
      <c r="F287" s="79" t="s">
        <v>4587</v>
      </c>
      <c r="G287" s="79" t="s">
        <v>4588</v>
      </c>
      <c r="H287" s="79" t="s">
        <v>4589</v>
      </c>
      <c r="I287" s="79" t="s">
        <v>4590</v>
      </c>
      <c r="J287" s="79" t="s">
        <v>4587</v>
      </c>
      <c r="K287" s="79" t="s">
        <v>4591</v>
      </c>
      <c r="L287" s="79"/>
      <c r="M287" s="79"/>
      <c r="N287" s="79"/>
    </row>
    <row r="288" spans="1:14" s="78" customFormat="1" ht="18">
      <c r="A288" s="74">
        <v>10</v>
      </c>
      <c r="B288" s="74" t="s">
        <v>1409</v>
      </c>
      <c r="C288" s="74" t="s">
        <v>5426</v>
      </c>
      <c r="D288" s="79" t="s">
        <v>4593</v>
      </c>
      <c r="E288" s="79" t="s">
        <v>3213</v>
      </c>
      <c r="F288" s="79" t="s">
        <v>4594</v>
      </c>
      <c r="G288" s="79" t="s">
        <v>4595</v>
      </c>
      <c r="H288" s="79" t="s">
        <v>4596</v>
      </c>
      <c r="I288" s="79" t="s">
        <v>4597</v>
      </c>
      <c r="J288" s="79" t="s">
        <v>4594</v>
      </c>
      <c r="K288" s="79" t="s">
        <v>4598</v>
      </c>
      <c r="L288" s="79"/>
      <c r="M288" s="79"/>
      <c r="N288" s="79"/>
    </row>
    <row r="289" spans="1:14" s="78" customFormat="1" ht="18">
      <c r="A289" s="81">
        <v>11</v>
      </c>
      <c r="B289" s="81" t="s">
        <v>1384</v>
      </c>
      <c r="C289" s="81" t="s">
        <v>5427</v>
      </c>
      <c r="D289" s="79" t="s">
        <v>4581</v>
      </c>
      <c r="E289" s="79" t="s">
        <v>3184</v>
      </c>
      <c r="F289" s="79" t="s">
        <v>4600</v>
      </c>
      <c r="G289" s="79" t="s">
        <v>4601</v>
      </c>
      <c r="H289" s="79" t="s">
        <v>4602</v>
      </c>
      <c r="I289" s="79" t="s">
        <v>4603</v>
      </c>
      <c r="J289" s="79" t="s">
        <v>4600</v>
      </c>
      <c r="K289" s="79" t="s">
        <v>4604</v>
      </c>
      <c r="L289" s="79"/>
      <c r="M289" s="79"/>
      <c r="N289" s="79"/>
    </row>
    <row r="290" spans="1:14" s="78" customFormat="1" ht="18">
      <c r="A290" s="74">
        <v>12</v>
      </c>
      <c r="B290" s="74" t="s">
        <v>1401</v>
      </c>
      <c r="C290" s="74" t="s">
        <v>5428</v>
      </c>
      <c r="D290" s="79" t="s">
        <v>4606</v>
      </c>
      <c r="E290" s="79" t="s">
        <v>3184</v>
      </c>
      <c r="F290" s="79" t="s">
        <v>4607</v>
      </c>
      <c r="G290" s="79" t="s">
        <v>4608</v>
      </c>
      <c r="H290" s="79">
        <v>0</v>
      </c>
      <c r="I290" s="79" t="s">
        <v>4609</v>
      </c>
      <c r="J290" s="79">
        <v>0</v>
      </c>
      <c r="K290" s="79" t="s">
        <v>3432</v>
      </c>
      <c r="L290" s="79"/>
      <c r="M290" s="79"/>
      <c r="N290" s="79"/>
    </row>
    <row r="291" spans="1:14" s="78" customFormat="1" ht="18">
      <c r="A291" s="74">
        <v>13</v>
      </c>
      <c r="B291" s="74" t="s">
        <v>1411</v>
      </c>
      <c r="C291" s="74" t="s">
        <v>5429</v>
      </c>
      <c r="D291" s="79" t="s">
        <v>4297</v>
      </c>
      <c r="E291" s="79" t="s">
        <v>3213</v>
      </c>
      <c r="F291" s="79" t="s">
        <v>4611</v>
      </c>
      <c r="G291" s="79" t="s">
        <v>4612</v>
      </c>
      <c r="H291" s="79" t="s">
        <v>4613</v>
      </c>
      <c r="I291" s="79" t="s">
        <v>4614</v>
      </c>
      <c r="J291" s="79" t="s">
        <v>4611</v>
      </c>
      <c r="K291" s="79" t="s">
        <v>3231</v>
      </c>
      <c r="L291" s="79"/>
      <c r="M291" s="79"/>
      <c r="N291" s="79"/>
    </row>
    <row r="292" spans="1:14" s="78" customFormat="1" ht="18">
      <c r="A292" s="74">
        <v>14</v>
      </c>
      <c r="B292" s="74" t="s">
        <v>1390</v>
      </c>
      <c r="C292" s="74" t="s">
        <v>5892</v>
      </c>
      <c r="D292" s="79" t="s">
        <v>4616</v>
      </c>
      <c r="E292" s="79" t="s">
        <v>3213</v>
      </c>
      <c r="F292" s="79" t="s">
        <v>4617</v>
      </c>
      <c r="G292" s="79" t="s">
        <v>4618</v>
      </c>
      <c r="H292" s="79">
        <v>0</v>
      </c>
      <c r="I292" s="79" t="s">
        <v>4619</v>
      </c>
      <c r="J292" s="79">
        <v>0</v>
      </c>
      <c r="K292" s="79" t="s">
        <v>3231</v>
      </c>
      <c r="L292" s="79"/>
      <c r="M292" s="79"/>
      <c r="N292" s="79"/>
    </row>
    <row r="293" spans="1:14" s="78" customFormat="1" ht="18">
      <c r="A293" s="74">
        <v>15</v>
      </c>
      <c r="B293" s="74" t="s">
        <v>1392</v>
      </c>
      <c r="C293" s="74" t="s">
        <v>5893</v>
      </c>
      <c r="D293" s="79" t="s">
        <v>4621</v>
      </c>
      <c r="E293" s="79" t="s">
        <v>3213</v>
      </c>
      <c r="F293" s="79" t="s">
        <v>4622</v>
      </c>
      <c r="G293" s="79" t="s">
        <v>4623</v>
      </c>
      <c r="H293" s="79" t="s">
        <v>4624</v>
      </c>
      <c r="I293" s="79" t="s">
        <v>4625</v>
      </c>
      <c r="J293" s="79" t="s">
        <v>4622</v>
      </c>
      <c r="K293" s="79" t="s">
        <v>3231</v>
      </c>
      <c r="L293" s="79"/>
      <c r="M293" s="79"/>
      <c r="N293" s="79"/>
    </row>
    <row r="294" spans="1:14" s="78" customFormat="1" ht="18">
      <c r="A294" s="74">
        <v>16</v>
      </c>
      <c r="B294" s="74" t="s">
        <v>1403</v>
      </c>
      <c r="C294" s="74" t="s">
        <v>5894</v>
      </c>
      <c r="D294" s="79" t="s">
        <v>4627</v>
      </c>
      <c r="E294" s="79" t="s">
        <v>3184</v>
      </c>
      <c r="F294" s="79" t="s">
        <v>4628</v>
      </c>
      <c r="G294" s="79" t="s">
        <v>4629</v>
      </c>
      <c r="H294" s="79" t="s">
        <v>4630</v>
      </c>
      <c r="I294" s="79" t="s">
        <v>4631</v>
      </c>
      <c r="J294" s="79" t="s">
        <v>4628</v>
      </c>
      <c r="K294" s="79" t="s">
        <v>4632</v>
      </c>
      <c r="L294" s="79"/>
      <c r="M294" s="79"/>
      <c r="N294" s="79"/>
    </row>
    <row r="295" spans="1:14" s="78" customFormat="1" ht="18">
      <c r="A295" s="74">
        <v>17</v>
      </c>
      <c r="B295" s="74" t="s">
        <v>1388</v>
      </c>
      <c r="C295" s="74" t="s">
        <v>5895</v>
      </c>
      <c r="D295" s="79" t="s">
        <v>4634</v>
      </c>
      <c r="E295" s="79" t="s">
        <v>3184</v>
      </c>
      <c r="F295" s="79" t="s">
        <v>4635</v>
      </c>
      <c r="G295" s="79" t="s">
        <v>4636</v>
      </c>
      <c r="H295" s="79" t="s">
        <v>4635</v>
      </c>
      <c r="I295" s="79" t="s">
        <v>4637</v>
      </c>
      <c r="J295" s="79" t="s">
        <v>4638</v>
      </c>
      <c r="K295" s="79" t="s">
        <v>4561</v>
      </c>
      <c r="L295" s="79"/>
      <c r="M295" s="79"/>
      <c r="N295" s="79"/>
    </row>
    <row r="296" spans="1:14" s="78" customFormat="1" ht="18">
      <c r="A296" s="74">
        <v>18</v>
      </c>
      <c r="B296" s="74" t="s">
        <v>1362</v>
      </c>
      <c r="C296" s="74" t="s">
        <v>5896</v>
      </c>
      <c r="D296" s="79" t="s">
        <v>3979</v>
      </c>
      <c r="E296" s="79" t="s">
        <v>3184</v>
      </c>
      <c r="F296" s="79" t="s">
        <v>4640</v>
      </c>
      <c r="G296" s="79" t="s">
        <v>4641</v>
      </c>
      <c r="H296" s="79" t="s">
        <v>4642</v>
      </c>
      <c r="I296" s="79" t="s">
        <v>4643</v>
      </c>
      <c r="J296" s="79" t="s">
        <v>4640</v>
      </c>
      <c r="K296" s="79" t="s">
        <v>4561</v>
      </c>
      <c r="L296" s="79"/>
      <c r="M296" s="79"/>
      <c r="N296" s="79"/>
    </row>
    <row r="297" spans="1:14" s="78" customFormat="1" ht="18">
      <c r="A297" s="74">
        <v>19</v>
      </c>
      <c r="B297" s="74" t="s">
        <v>1380</v>
      </c>
      <c r="C297" s="74" t="s">
        <v>5897</v>
      </c>
      <c r="D297" s="79" t="s">
        <v>4645</v>
      </c>
      <c r="E297" s="79" t="s">
        <v>3184</v>
      </c>
      <c r="F297" s="79" t="s">
        <v>4646</v>
      </c>
      <c r="G297" s="79" t="s">
        <v>4647</v>
      </c>
      <c r="H297" s="79" t="s">
        <v>4648</v>
      </c>
      <c r="I297" s="79" t="s">
        <v>628</v>
      </c>
      <c r="J297" s="79" t="s">
        <v>4646</v>
      </c>
      <c r="K297" s="79" t="s">
        <v>4649</v>
      </c>
      <c r="L297" s="79"/>
      <c r="M297" s="79"/>
      <c r="N297" s="79"/>
    </row>
    <row r="298" spans="1:14" s="78" customFormat="1" ht="18">
      <c r="A298" s="74">
        <v>20</v>
      </c>
      <c r="B298" s="74" t="s">
        <v>1372</v>
      </c>
      <c r="C298" s="74" t="s">
        <v>5898</v>
      </c>
      <c r="D298" s="79" t="s">
        <v>4651</v>
      </c>
      <c r="E298" s="79" t="s">
        <v>3184</v>
      </c>
      <c r="F298" s="79" t="s">
        <v>4652</v>
      </c>
      <c r="G298" s="79" t="s">
        <v>4653</v>
      </c>
      <c r="H298" s="79" t="s">
        <v>4654</v>
      </c>
      <c r="I298" s="79" t="s">
        <v>4655</v>
      </c>
      <c r="J298" s="79" t="s">
        <v>4652</v>
      </c>
      <c r="K298" s="79" t="s">
        <v>4656</v>
      </c>
      <c r="L298" s="79"/>
      <c r="M298" s="79"/>
      <c r="N298" s="79"/>
    </row>
    <row r="299" spans="1:14" s="78" customFormat="1" ht="18">
      <c r="A299" s="74">
        <v>21</v>
      </c>
      <c r="B299" s="74" t="s">
        <v>1378</v>
      </c>
      <c r="C299" s="74" t="s">
        <v>5899</v>
      </c>
      <c r="D299" s="79" t="s">
        <v>4658</v>
      </c>
      <c r="E299" s="79" t="s">
        <v>3184</v>
      </c>
      <c r="F299" s="79" t="s">
        <v>4659</v>
      </c>
      <c r="G299" s="79" t="s">
        <v>4660</v>
      </c>
      <c r="H299" s="79">
        <v>0</v>
      </c>
      <c r="I299" s="79" t="s">
        <v>4661</v>
      </c>
      <c r="J299" s="79" t="s">
        <v>4659</v>
      </c>
      <c r="K299" s="79" t="s">
        <v>4662</v>
      </c>
      <c r="L299" s="79"/>
      <c r="M299" s="79"/>
      <c r="N299" s="79"/>
    </row>
    <row r="300" spans="1:14" s="78" customFormat="1" ht="18">
      <c r="A300" s="74">
        <v>22</v>
      </c>
      <c r="B300" s="74" t="s">
        <v>1352</v>
      </c>
      <c r="C300" s="74" t="s">
        <v>5900</v>
      </c>
      <c r="D300" s="79" t="s">
        <v>4664</v>
      </c>
      <c r="E300" s="79" t="s">
        <v>3213</v>
      </c>
      <c r="F300" s="79" t="s">
        <v>4665</v>
      </c>
      <c r="G300" s="79" t="s">
        <v>4666</v>
      </c>
      <c r="H300" s="79" t="s">
        <v>4667</v>
      </c>
      <c r="I300" s="79" t="s">
        <v>4313</v>
      </c>
      <c r="J300" s="79" t="s">
        <v>4665</v>
      </c>
      <c r="K300" s="79" t="s">
        <v>3231</v>
      </c>
      <c r="L300" s="79"/>
      <c r="M300" s="79"/>
      <c r="N300" s="79"/>
    </row>
    <row r="301" spans="1:14" s="78" customFormat="1" ht="18">
      <c r="A301" s="74">
        <v>23</v>
      </c>
      <c r="B301" s="74" t="s">
        <v>1347</v>
      </c>
      <c r="C301" s="74" t="s">
        <v>5901</v>
      </c>
      <c r="D301" s="79" t="s">
        <v>4669</v>
      </c>
      <c r="E301" s="79" t="s">
        <v>3213</v>
      </c>
      <c r="F301" s="79" t="s">
        <v>4670</v>
      </c>
      <c r="G301" s="79" t="s">
        <v>4671</v>
      </c>
      <c r="H301" s="79" t="s">
        <v>4672</v>
      </c>
      <c r="I301" s="79" t="s">
        <v>4196</v>
      </c>
      <c r="J301" s="79" t="s">
        <v>4670</v>
      </c>
      <c r="K301" s="79" t="s">
        <v>4673</v>
      </c>
      <c r="L301" s="79"/>
      <c r="M301" s="79"/>
      <c r="N301" s="79"/>
    </row>
    <row r="302" spans="1:14" s="78" customFormat="1" ht="18">
      <c r="A302" s="74">
        <v>24</v>
      </c>
      <c r="B302" s="74" t="s">
        <v>1399</v>
      </c>
      <c r="C302" s="74" t="s">
        <v>5902</v>
      </c>
      <c r="D302" s="79" t="s">
        <v>4675</v>
      </c>
      <c r="E302" s="79" t="s">
        <v>3184</v>
      </c>
      <c r="F302" s="79" t="s">
        <v>4676</v>
      </c>
      <c r="G302" s="79" t="s">
        <v>4677</v>
      </c>
      <c r="H302" s="79">
        <v>0</v>
      </c>
      <c r="I302" s="79" t="s">
        <v>4678</v>
      </c>
      <c r="J302" s="79">
        <v>0</v>
      </c>
      <c r="K302" s="79" t="s">
        <v>4679</v>
      </c>
      <c r="L302" s="79"/>
      <c r="M302" s="79"/>
      <c r="N302" s="79"/>
    </row>
    <row r="303" spans="1:14" s="78" customFormat="1" ht="18">
      <c r="A303" s="74">
        <v>25</v>
      </c>
      <c r="B303" s="74" t="s">
        <v>1394</v>
      </c>
      <c r="C303" s="74" t="s">
        <v>5903</v>
      </c>
      <c r="D303" s="79" t="s">
        <v>4681</v>
      </c>
      <c r="E303" s="79" t="s">
        <v>3213</v>
      </c>
      <c r="F303" s="79" t="s">
        <v>4682</v>
      </c>
      <c r="G303" s="79" t="s">
        <v>4683</v>
      </c>
      <c r="H303" s="79" t="s">
        <v>4684</v>
      </c>
      <c r="I303" s="79" t="s">
        <v>4685</v>
      </c>
      <c r="J303" s="79" t="s">
        <v>4682</v>
      </c>
      <c r="K303" s="79" t="s">
        <v>3231</v>
      </c>
      <c r="L303" s="79"/>
      <c r="M303" s="79"/>
      <c r="N303" s="79"/>
    </row>
    <row r="304" spans="1:14" s="78" customFormat="1" ht="18">
      <c r="A304" s="74">
        <v>26</v>
      </c>
      <c r="B304" s="74" t="s">
        <v>1368</v>
      </c>
      <c r="C304" s="74" t="s">
        <v>5904</v>
      </c>
      <c r="D304" s="79" t="s">
        <v>4687</v>
      </c>
      <c r="E304" s="79" t="s">
        <v>3213</v>
      </c>
      <c r="F304" s="79" t="s">
        <v>4688</v>
      </c>
      <c r="G304" s="79" t="s">
        <v>4689</v>
      </c>
      <c r="H304" s="79" t="s">
        <v>4690</v>
      </c>
      <c r="I304" s="79" t="s">
        <v>4691</v>
      </c>
      <c r="J304" s="79" t="s">
        <v>4688</v>
      </c>
      <c r="K304" s="79" t="s">
        <v>4561</v>
      </c>
      <c r="L304" s="79"/>
      <c r="M304" s="79"/>
      <c r="N304" s="79"/>
    </row>
    <row r="305" spans="1:14" s="78" customFormat="1" ht="18">
      <c r="A305" s="74">
        <v>27</v>
      </c>
      <c r="B305" s="74" t="s">
        <v>483</v>
      </c>
      <c r="C305" s="74" t="s">
        <v>5905</v>
      </c>
      <c r="D305" s="79" t="s">
        <v>4753</v>
      </c>
      <c r="E305" s="79" t="s">
        <v>3184</v>
      </c>
      <c r="F305" s="79" t="s">
        <v>4754</v>
      </c>
      <c r="G305" s="79" t="s">
        <v>4755</v>
      </c>
      <c r="H305" s="79" t="s">
        <v>4754</v>
      </c>
      <c r="I305" s="79" t="s">
        <v>4756</v>
      </c>
      <c r="J305" s="79" t="s">
        <v>4757</v>
      </c>
      <c r="K305" s="79" t="s">
        <v>4758</v>
      </c>
      <c r="L305" s="79"/>
      <c r="M305" s="79"/>
      <c r="N305" s="79"/>
    </row>
    <row r="306" spans="1:14" s="78" customFormat="1" ht="18">
      <c r="A306" s="74">
        <v>28</v>
      </c>
      <c r="B306" s="74" t="s">
        <v>1350</v>
      </c>
      <c r="C306" s="74" t="s">
        <v>5906</v>
      </c>
      <c r="D306" s="79" t="s">
        <v>4699</v>
      </c>
      <c r="E306" s="79" t="s">
        <v>3213</v>
      </c>
      <c r="F306" s="79" t="s">
        <v>4700</v>
      </c>
      <c r="G306" s="79" t="s">
        <v>4701</v>
      </c>
      <c r="H306" s="79" t="s">
        <v>4700</v>
      </c>
      <c r="I306" s="79" t="s">
        <v>4691</v>
      </c>
      <c r="J306" s="79" t="s">
        <v>4702</v>
      </c>
      <c r="K306" s="79" t="s">
        <v>3231</v>
      </c>
      <c r="L306" s="79"/>
      <c r="M306" s="79"/>
      <c r="N306" s="79"/>
    </row>
    <row r="307" spans="1:14" s="78" customFormat="1" ht="18">
      <c r="A307" s="74">
        <v>29</v>
      </c>
      <c r="B307" s="74" t="s">
        <v>1407</v>
      </c>
      <c r="C307" s="74" t="s">
        <v>5907</v>
      </c>
      <c r="D307" s="79" t="s">
        <v>4709</v>
      </c>
      <c r="E307" s="79" t="s">
        <v>3184</v>
      </c>
      <c r="F307" s="79" t="s">
        <v>4710</v>
      </c>
      <c r="G307" s="79" t="s">
        <v>4711</v>
      </c>
      <c r="H307" s="79" t="s">
        <v>4712</v>
      </c>
      <c r="I307" s="79" t="s">
        <v>4713</v>
      </c>
      <c r="J307" s="79" t="s">
        <v>4710</v>
      </c>
      <c r="K307" s="79" t="s">
        <v>4714</v>
      </c>
      <c r="L307" s="79"/>
      <c r="M307" s="79"/>
      <c r="N307" s="79"/>
    </row>
    <row r="308" spans="1:14" s="78" customFormat="1" ht="18">
      <c r="A308" s="74">
        <v>30</v>
      </c>
      <c r="B308" s="74" t="s">
        <v>1356</v>
      </c>
      <c r="C308" s="74" t="s">
        <v>5908</v>
      </c>
      <c r="D308" s="79" t="s">
        <v>4716</v>
      </c>
      <c r="E308" s="79" t="s">
        <v>3184</v>
      </c>
      <c r="F308" s="79" t="s">
        <v>4717</v>
      </c>
      <c r="G308" s="79" t="s">
        <v>3644</v>
      </c>
      <c r="H308" s="79" t="s">
        <v>4718</v>
      </c>
      <c r="I308" s="79" t="s">
        <v>4719</v>
      </c>
      <c r="J308" s="79" t="s">
        <v>4717</v>
      </c>
      <c r="K308" s="79" t="s">
        <v>3909</v>
      </c>
      <c r="L308" s="79"/>
      <c r="M308" s="79"/>
      <c r="N308" s="79"/>
    </row>
    <row r="309" spans="1:14" s="78" customFormat="1" ht="18">
      <c r="A309" s="74">
        <v>33</v>
      </c>
      <c r="B309" s="74" t="s">
        <v>1370</v>
      </c>
      <c r="C309" s="74" t="s">
        <v>5909</v>
      </c>
      <c r="D309" s="79" t="s">
        <v>4231</v>
      </c>
      <c r="E309" s="79" t="s">
        <v>3184</v>
      </c>
      <c r="F309" s="79" t="s">
        <v>4726</v>
      </c>
      <c r="G309" s="79" t="s">
        <v>4727</v>
      </c>
      <c r="H309" s="79" t="s">
        <v>4728</v>
      </c>
      <c r="I309" s="79" t="s">
        <v>4729</v>
      </c>
      <c r="J309" s="79" t="s">
        <v>4726</v>
      </c>
      <c r="K309" s="79" t="s">
        <v>4065</v>
      </c>
      <c r="L309" s="79"/>
      <c r="M309" s="79"/>
      <c r="N309" s="79"/>
    </row>
    <row r="310" spans="1:14" s="78" customFormat="1" ht="18">
      <c r="A310" s="74">
        <v>34</v>
      </c>
      <c r="B310" s="74" t="s">
        <v>1354</v>
      </c>
      <c r="C310" s="74" t="s">
        <v>5910</v>
      </c>
      <c r="D310" s="79" t="s">
        <v>4731</v>
      </c>
      <c r="E310" s="79" t="s">
        <v>3184</v>
      </c>
      <c r="F310" s="79" t="s">
        <v>4732</v>
      </c>
      <c r="G310" s="79" t="s">
        <v>4733</v>
      </c>
      <c r="H310" s="79">
        <v>0</v>
      </c>
      <c r="I310" s="79" t="s">
        <v>4734</v>
      </c>
      <c r="J310" s="79">
        <v>0</v>
      </c>
      <c r="K310" s="79" t="s">
        <v>3858</v>
      </c>
      <c r="L310" s="79"/>
      <c r="M310" s="79"/>
      <c r="N310" s="79"/>
    </row>
    <row r="311" spans="1:14" s="78" customFormat="1" ht="18">
      <c r="A311" s="74">
        <v>35</v>
      </c>
      <c r="B311" s="74" t="s">
        <v>1358</v>
      </c>
      <c r="C311" s="74" t="s">
        <v>5911</v>
      </c>
      <c r="D311" s="79" t="s">
        <v>4736</v>
      </c>
      <c r="E311" s="79" t="s">
        <v>3213</v>
      </c>
      <c r="F311" s="79" t="s">
        <v>4737</v>
      </c>
      <c r="G311" s="79" t="s">
        <v>4738</v>
      </c>
      <c r="H311" s="79" t="s">
        <v>4739</v>
      </c>
      <c r="I311" s="79" t="s">
        <v>4313</v>
      </c>
      <c r="J311" s="79" t="s">
        <v>4737</v>
      </c>
      <c r="K311" s="79" t="s">
        <v>4053</v>
      </c>
      <c r="L311" s="79"/>
      <c r="M311" s="79"/>
      <c r="N311" s="79"/>
    </row>
    <row r="312" spans="1:14" s="78" customFormat="1" ht="18">
      <c r="A312" s="74">
        <v>1</v>
      </c>
      <c r="B312" s="74" t="s">
        <v>1472</v>
      </c>
      <c r="C312" s="74" t="s">
        <v>5430</v>
      </c>
      <c r="D312" s="79">
        <v>39498</v>
      </c>
      <c r="E312" s="79">
        <v>0</v>
      </c>
      <c r="F312" s="79">
        <v>333054583</v>
      </c>
      <c r="G312" s="79" t="s">
        <v>4765</v>
      </c>
      <c r="H312" s="79">
        <v>374365366</v>
      </c>
      <c r="I312" s="79" t="s">
        <v>4766</v>
      </c>
      <c r="J312" s="79">
        <v>976813597</v>
      </c>
      <c r="K312" s="79" t="s">
        <v>4767</v>
      </c>
      <c r="L312" s="79"/>
      <c r="M312" s="79"/>
      <c r="N312" s="79"/>
    </row>
    <row r="313" spans="1:14" s="78" customFormat="1" ht="18">
      <c r="A313" s="74">
        <v>2</v>
      </c>
      <c r="B313" s="74" t="s">
        <v>1487</v>
      </c>
      <c r="C313" s="74" t="s">
        <v>5431</v>
      </c>
      <c r="D313" s="79">
        <v>39759</v>
      </c>
      <c r="E313" s="79">
        <v>0</v>
      </c>
      <c r="F313" s="79">
        <v>337766268</v>
      </c>
      <c r="G313" s="79" t="s">
        <v>4769</v>
      </c>
      <c r="H313" s="79">
        <v>904267531</v>
      </c>
      <c r="I313" s="79" t="s">
        <v>4770</v>
      </c>
      <c r="J313" s="79">
        <v>988326680</v>
      </c>
      <c r="K313" s="79">
        <v>0</v>
      </c>
      <c r="L313" s="79"/>
      <c r="M313" s="79"/>
      <c r="N313" s="79"/>
    </row>
    <row r="314" spans="1:14" s="78" customFormat="1" ht="18">
      <c r="A314" s="74">
        <v>3</v>
      </c>
      <c r="B314" s="74" t="s">
        <v>1420</v>
      </c>
      <c r="C314" s="74" t="s">
        <v>5432</v>
      </c>
      <c r="D314" s="79">
        <v>39487</v>
      </c>
      <c r="E314" s="79">
        <v>0</v>
      </c>
      <c r="F314" s="79">
        <v>372903930</v>
      </c>
      <c r="G314" s="79" t="s">
        <v>4772</v>
      </c>
      <c r="H314" s="79">
        <v>942799411</v>
      </c>
      <c r="I314" s="79" t="s">
        <v>4773</v>
      </c>
      <c r="J314" s="79">
        <v>969084978</v>
      </c>
      <c r="K314" s="79">
        <v>0</v>
      </c>
      <c r="L314" s="79"/>
      <c r="M314" s="79"/>
      <c r="N314" s="79"/>
    </row>
    <row r="315" spans="1:14" s="78" customFormat="1" ht="18">
      <c r="A315" s="74">
        <v>4</v>
      </c>
      <c r="B315" s="74" t="s">
        <v>1464</v>
      </c>
      <c r="C315" s="74" t="s">
        <v>5433</v>
      </c>
      <c r="D315" s="79">
        <v>39670</v>
      </c>
      <c r="E315" s="79">
        <v>0</v>
      </c>
      <c r="F315" s="79">
        <v>984046033</v>
      </c>
      <c r="G315" s="79" t="s">
        <v>4775</v>
      </c>
      <c r="H315" s="79">
        <v>983417191</v>
      </c>
      <c r="I315" s="79" t="s">
        <v>4776</v>
      </c>
      <c r="J315" s="79">
        <v>986199882</v>
      </c>
      <c r="K315" s="79" t="s">
        <v>4777</v>
      </c>
      <c r="L315" s="79"/>
      <c r="M315" s="79"/>
      <c r="N315" s="79"/>
    </row>
    <row r="316" spans="1:14" s="78" customFormat="1" ht="18">
      <c r="A316" s="74">
        <v>5</v>
      </c>
      <c r="B316" s="74" t="s">
        <v>1466</v>
      </c>
      <c r="C316" s="74" t="s">
        <v>5434</v>
      </c>
      <c r="D316" s="79">
        <v>39696</v>
      </c>
      <c r="E316" s="79">
        <v>0</v>
      </c>
      <c r="F316" s="79">
        <v>969917475</v>
      </c>
      <c r="G316" s="79" t="s">
        <v>4779</v>
      </c>
      <c r="H316" s="79">
        <v>912386660</v>
      </c>
      <c r="I316" s="79" t="s">
        <v>4780</v>
      </c>
      <c r="J316" s="79">
        <v>855338412</v>
      </c>
      <c r="K316" s="79" t="s">
        <v>4781</v>
      </c>
      <c r="L316" s="79"/>
      <c r="M316" s="79"/>
      <c r="N316" s="79"/>
    </row>
    <row r="317" spans="1:14" s="78" customFormat="1" ht="18">
      <c r="A317" s="74">
        <v>6</v>
      </c>
      <c r="B317" s="74" t="s">
        <v>1454</v>
      </c>
      <c r="C317" s="74" t="s">
        <v>5435</v>
      </c>
      <c r="D317" s="79">
        <v>39550</v>
      </c>
      <c r="E317" s="79">
        <v>0</v>
      </c>
      <c r="F317" s="79">
        <v>978757345</v>
      </c>
      <c r="G317" s="79" t="s">
        <v>4783</v>
      </c>
      <c r="H317" s="79">
        <v>919957998</v>
      </c>
      <c r="I317" s="79" t="s">
        <v>4784</v>
      </c>
      <c r="J317" s="79">
        <v>984825805</v>
      </c>
      <c r="K317" s="79" t="s">
        <v>4785</v>
      </c>
      <c r="L317" s="79"/>
      <c r="M317" s="79"/>
      <c r="N317" s="79"/>
    </row>
    <row r="318" spans="1:14" s="78" customFormat="1" ht="18">
      <c r="A318" s="74">
        <v>7</v>
      </c>
      <c r="B318" s="74" t="s">
        <v>4760</v>
      </c>
      <c r="C318" s="74" t="s">
        <v>5436</v>
      </c>
      <c r="D318" s="79" t="e">
        <v>#N/A</v>
      </c>
      <c r="E318" s="79" t="e">
        <v>#N/A</v>
      </c>
      <c r="F318" s="79" t="e">
        <v>#N/A</v>
      </c>
      <c r="G318" s="79" t="e">
        <v>#N/A</v>
      </c>
      <c r="H318" s="79" t="e">
        <v>#N/A</v>
      </c>
      <c r="I318" s="79" t="e">
        <v>#N/A</v>
      </c>
      <c r="J318" s="79" t="e">
        <v>#N/A</v>
      </c>
      <c r="K318" s="79" t="e">
        <v>#N/A</v>
      </c>
      <c r="L318" s="79"/>
      <c r="M318" s="79"/>
      <c r="N318" s="79"/>
    </row>
    <row r="319" spans="1:14" s="78" customFormat="1" ht="18">
      <c r="A319" s="74">
        <v>8</v>
      </c>
      <c r="B319" s="74" t="s">
        <v>1422</v>
      </c>
      <c r="C319" s="74" t="s">
        <v>5437</v>
      </c>
      <c r="D319" s="79">
        <v>39451</v>
      </c>
      <c r="E319" s="79">
        <v>0</v>
      </c>
      <c r="F319" s="79">
        <v>985639669</v>
      </c>
      <c r="G319" s="79" t="s">
        <v>4787</v>
      </c>
      <c r="H319" s="79">
        <v>0</v>
      </c>
      <c r="I319" s="79" t="s">
        <v>4788</v>
      </c>
      <c r="J319" s="79">
        <v>986828189</v>
      </c>
      <c r="K319" s="79" t="s">
        <v>4789</v>
      </c>
      <c r="L319" s="79"/>
      <c r="M319" s="79"/>
      <c r="N319" s="79"/>
    </row>
    <row r="320" spans="1:14" s="78" customFormat="1" ht="16.8" customHeight="1">
      <c r="A320" s="74">
        <v>9</v>
      </c>
      <c r="B320" s="74" t="s">
        <v>1430</v>
      </c>
      <c r="C320" s="74" t="s">
        <v>5438</v>
      </c>
      <c r="D320" s="79">
        <v>39681</v>
      </c>
      <c r="E320" s="79">
        <v>0</v>
      </c>
      <c r="F320" s="79">
        <v>332858316</v>
      </c>
      <c r="G320" s="79" t="s">
        <v>4791</v>
      </c>
      <c r="H320" s="79">
        <v>976926672</v>
      </c>
      <c r="I320" s="79" t="s">
        <v>4792</v>
      </c>
      <c r="J320" s="79">
        <v>352387872</v>
      </c>
      <c r="K320" s="79" t="s">
        <v>4793</v>
      </c>
      <c r="L320" s="79"/>
      <c r="M320" s="79"/>
      <c r="N320" s="79"/>
    </row>
    <row r="321" spans="1:14" s="78" customFormat="1" ht="18">
      <c r="A321" s="74">
        <v>10</v>
      </c>
      <c r="B321" s="74" t="s">
        <v>1415</v>
      </c>
      <c r="C321" s="74" t="s">
        <v>5439</v>
      </c>
      <c r="D321" s="79" t="e">
        <v>#N/A</v>
      </c>
      <c r="E321" s="79" t="e">
        <v>#N/A</v>
      </c>
      <c r="F321" s="79" t="e">
        <v>#N/A</v>
      </c>
      <c r="G321" s="79" t="e">
        <v>#N/A</v>
      </c>
      <c r="H321" s="79" t="e">
        <v>#N/A</v>
      </c>
      <c r="I321" s="79" t="e">
        <v>#N/A</v>
      </c>
      <c r="J321" s="79" t="e">
        <v>#N/A</v>
      </c>
      <c r="K321" s="79" t="e">
        <v>#N/A</v>
      </c>
      <c r="L321" s="79"/>
      <c r="M321" s="79"/>
      <c r="N321" s="79"/>
    </row>
    <row r="322" spans="1:14" s="78" customFormat="1" ht="18">
      <c r="A322" s="74">
        <v>11</v>
      </c>
      <c r="B322" s="74" t="s">
        <v>1434</v>
      </c>
      <c r="C322" s="74" t="s">
        <v>5440</v>
      </c>
      <c r="D322" s="79" t="e">
        <v>#N/A</v>
      </c>
      <c r="E322" s="79" t="e">
        <v>#N/A</v>
      </c>
      <c r="F322" s="79" t="e">
        <v>#N/A</v>
      </c>
      <c r="G322" s="79" t="e">
        <v>#N/A</v>
      </c>
      <c r="H322" s="79" t="e">
        <v>#N/A</v>
      </c>
      <c r="I322" s="79" t="e">
        <v>#N/A</v>
      </c>
      <c r="J322" s="79" t="e">
        <v>#N/A</v>
      </c>
      <c r="K322" s="79" t="e">
        <v>#N/A</v>
      </c>
      <c r="L322" s="79"/>
      <c r="M322" s="79"/>
      <c r="N322" s="79"/>
    </row>
    <row r="323" spans="1:14" s="78" customFormat="1" ht="18">
      <c r="A323" s="74">
        <v>12</v>
      </c>
      <c r="B323" s="74" t="s">
        <v>1417</v>
      </c>
      <c r="C323" s="74" t="s">
        <v>5441</v>
      </c>
      <c r="D323" s="79">
        <v>39673</v>
      </c>
      <c r="E323" s="79">
        <v>0</v>
      </c>
      <c r="F323" s="79">
        <v>369225180</v>
      </c>
      <c r="G323" s="79" t="s">
        <v>4803</v>
      </c>
      <c r="H323" s="79">
        <v>944266088</v>
      </c>
      <c r="I323" s="79" t="s">
        <v>4804</v>
      </c>
      <c r="J323" s="79">
        <v>947036273</v>
      </c>
      <c r="K323" s="79" t="s">
        <v>4805</v>
      </c>
      <c r="L323" s="79"/>
      <c r="M323" s="79"/>
      <c r="N323" s="79"/>
    </row>
    <row r="324" spans="1:14" s="78" customFormat="1" ht="18">
      <c r="A324" s="74">
        <v>13</v>
      </c>
      <c r="B324" s="74" t="s">
        <v>1446</v>
      </c>
      <c r="C324" s="74" t="s">
        <v>5442</v>
      </c>
      <c r="D324" s="79">
        <v>39629</v>
      </c>
      <c r="E324" s="79">
        <v>0</v>
      </c>
      <c r="F324" s="79">
        <v>366726631</v>
      </c>
      <c r="G324" s="79" t="s">
        <v>5912</v>
      </c>
      <c r="H324" s="79">
        <v>904820982</v>
      </c>
      <c r="I324" s="79" t="s">
        <v>5913</v>
      </c>
      <c r="J324" s="79">
        <v>904800510</v>
      </c>
      <c r="K324" s="79" t="s">
        <v>5914</v>
      </c>
      <c r="L324" s="79"/>
      <c r="M324" s="79"/>
      <c r="N324" s="79"/>
    </row>
    <row r="325" spans="1:14" s="78" customFormat="1" ht="18">
      <c r="A325" s="74">
        <v>14</v>
      </c>
      <c r="B325" s="74" t="s">
        <v>1436</v>
      </c>
      <c r="C325" s="74" t="s">
        <v>5443</v>
      </c>
      <c r="D325" s="79">
        <v>39654</v>
      </c>
      <c r="E325" s="79">
        <v>0</v>
      </c>
      <c r="F325" s="79">
        <v>346554281</v>
      </c>
      <c r="G325" s="79" t="s">
        <v>4807</v>
      </c>
      <c r="H325" s="79">
        <v>948760187</v>
      </c>
      <c r="I325" s="79" t="s">
        <v>4808</v>
      </c>
      <c r="J325" s="79">
        <v>378289770</v>
      </c>
      <c r="K325" s="79" t="s">
        <v>4809</v>
      </c>
      <c r="L325" s="79"/>
      <c r="M325" s="79"/>
      <c r="N325" s="79"/>
    </row>
    <row r="326" spans="1:14" s="78" customFormat="1" ht="18">
      <c r="A326" s="74">
        <v>15</v>
      </c>
      <c r="B326" s="74" t="s">
        <v>1503</v>
      </c>
      <c r="C326" s="74" t="s">
        <v>5444</v>
      </c>
      <c r="D326" s="79" t="e">
        <v>#N/A</v>
      </c>
      <c r="E326" s="79" t="e">
        <v>#N/A</v>
      </c>
      <c r="F326" s="79" t="e">
        <v>#N/A</v>
      </c>
      <c r="G326" s="79" t="e">
        <v>#N/A</v>
      </c>
      <c r="H326" s="79" t="e">
        <v>#N/A</v>
      </c>
      <c r="I326" s="79" t="e">
        <v>#N/A</v>
      </c>
      <c r="J326" s="79" t="e">
        <v>#N/A</v>
      </c>
      <c r="K326" s="79" t="e">
        <v>#N/A</v>
      </c>
      <c r="L326" s="79"/>
      <c r="M326" s="79"/>
      <c r="N326" s="79"/>
    </row>
    <row r="327" spans="1:14" s="78" customFormat="1" ht="18">
      <c r="A327" s="74">
        <v>16</v>
      </c>
      <c r="B327" s="74" t="s">
        <v>1489</v>
      </c>
      <c r="C327" s="74" t="s">
        <v>5445</v>
      </c>
      <c r="D327" s="79">
        <v>39679</v>
      </c>
      <c r="E327" s="79">
        <v>0</v>
      </c>
      <c r="F327" s="79">
        <v>976273835</v>
      </c>
      <c r="G327" s="79" t="s">
        <v>4811</v>
      </c>
      <c r="H327" s="79">
        <v>973563346</v>
      </c>
      <c r="I327" s="79" t="s">
        <v>4812</v>
      </c>
      <c r="J327" s="79">
        <v>853608958</v>
      </c>
      <c r="K327" s="79" t="s">
        <v>4813</v>
      </c>
      <c r="L327" s="79"/>
      <c r="M327" s="79"/>
      <c r="N327" s="79"/>
    </row>
    <row r="328" spans="1:14" s="78" customFormat="1" ht="18">
      <c r="A328" s="74">
        <v>17</v>
      </c>
      <c r="B328" s="74" t="s">
        <v>1470</v>
      </c>
      <c r="C328" s="74" t="s">
        <v>5446</v>
      </c>
      <c r="D328" s="79">
        <v>39796</v>
      </c>
      <c r="E328" s="79">
        <v>0</v>
      </c>
      <c r="F328" s="79">
        <v>387107028</v>
      </c>
      <c r="G328" s="79" t="s">
        <v>4815</v>
      </c>
      <c r="H328" s="79">
        <v>982926323</v>
      </c>
      <c r="I328" s="79" t="s">
        <v>4816</v>
      </c>
      <c r="J328" s="79">
        <v>966968064</v>
      </c>
      <c r="K328" s="79" t="s">
        <v>4817</v>
      </c>
      <c r="L328" s="79"/>
      <c r="M328" s="79"/>
      <c r="N328" s="79"/>
    </row>
    <row r="329" spans="1:14" s="78" customFormat="1" ht="18">
      <c r="A329" s="74">
        <v>18</v>
      </c>
      <c r="B329" s="74" t="s">
        <v>1479</v>
      </c>
      <c r="C329" s="74" t="s">
        <v>5447</v>
      </c>
      <c r="D329" s="79">
        <v>39784</v>
      </c>
      <c r="E329" s="79">
        <v>0</v>
      </c>
      <c r="F329" s="79">
        <v>377204525</v>
      </c>
      <c r="G329" s="79" t="s">
        <v>4823</v>
      </c>
      <c r="H329" s="79">
        <v>362555582</v>
      </c>
      <c r="I329" s="79" t="s">
        <v>4824</v>
      </c>
      <c r="J329" s="79">
        <v>987471927</v>
      </c>
      <c r="K329" s="79" t="s">
        <v>4825</v>
      </c>
      <c r="L329" s="79"/>
      <c r="M329" s="79"/>
      <c r="N329" s="79"/>
    </row>
    <row r="330" spans="1:14" s="78" customFormat="1" ht="18">
      <c r="A330" s="74">
        <v>19</v>
      </c>
      <c r="B330" s="74" t="s">
        <v>5915</v>
      </c>
      <c r="C330" s="74" t="s">
        <v>5448</v>
      </c>
      <c r="D330" s="79" t="e">
        <v>#N/A</v>
      </c>
      <c r="E330" s="79" t="e">
        <v>#N/A</v>
      </c>
      <c r="F330" s="79" t="e">
        <v>#N/A</v>
      </c>
      <c r="G330" s="79" t="e">
        <v>#N/A</v>
      </c>
      <c r="H330" s="79" t="e">
        <v>#N/A</v>
      </c>
      <c r="I330" s="79" t="e">
        <v>#N/A</v>
      </c>
      <c r="J330" s="79" t="e">
        <v>#N/A</v>
      </c>
      <c r="K330" s="79" t="e">
        <v>#N/A</v>
      </c>
      <c r="L330" s="79"/>
      <c r="M330" s="79"/>
      <c r="N330" s="79"/>
    </row>
    <row r="331" spans="1:14" s="78" customFormat="1" ht="18">
      <c r="A331" s="74">
        <v>20</v>
      </c>
      <c r="B331" s="74" t="s">
        <v>1424</v>
      </c>
      <c r="C331" s="74" t="s">
        <v>5449</v>
      </c>
      <c r="D331" s="79">
        <v>39622</v>
      </c>
      <c r="E331" s="79">
        <v>0</v>
      </c>
      <c r="F331" s="79">
        <v>782185621</v>
      </c>
      <c r="G331" s="79" t="s">
        <v>4827</v>
      </c>
      <c r="H331" s="79">
        <v>904427073</v>
      </c>
      <c r="I331" s="79" t="s">
        <v>4828</v>
      </c>
      <c r="J331" s="79">
        <v>904182876</v>
      </c>
      <c r="K331" s="79" t="s">
        <v>4829</v>
      </c>
      <c r="L331" s="79"/>
      <c r="M331" s="79"/>
      <c r="N331" s="79"/>
    </row>
    <row r="332" spans="1:14" s="78" customFormat="1" ht="18">
      <c r="A332" s="74">
        <v>21</v>
      </c>
      <c r="B332" s="74" t="s">
        <v>588</v>
      </c>
      <c r="C332" s="74" t="s">
        <v>5916</v>
      </c>
      <c r="D332" s="79">
        <v>39592</v>
      </c>
      <c r="E332" s="79">
        <v>0</v>
      </c>
      <c r="F332" s="79">
        <v>833240508</v>
      </c>
      <c r="G332" s="79" t="s">
        <v>4852</v>
      </c>
      <c r="H332" s="79">
        <v>915221883</v>
      </c>
      <c r="I332" s="79" t="s">
        <v>4853</v>
      </c>
      <c r="J332" s="79">
        <v>912877483</v>
      </c>
      <c r="K332" s="79" t="s">
        <v>4854</v>
      </c>
      <c r="L332" s="79"/>
      <c r="M332" s="79"/>
      <c r="N332" s="79"/>
    </row>
    <row r="333" spans="1:14" s="78" customFormat="1" ht="18">
      <c r="A333" s="74">
        <v>22</v>
      </c>
      <c r="B333" s="74" t="s">
        <v>1485</v>
      </c>
      <c r="C333" s="74" t="s">
        <v>5917</v>
      </c>
      <c r="D333" s="79">
        <v>39806</v>
      </c>
      <c r="E333" s="79">
        <v>0</v>
      </c>
      <c r="F333" s="79">
        <v>776307872</v>
      </c>
      <c r="G333" s="79" t="s">
        <v>4833</v>
      </c>
      <c r="H333" s="79">
        <v>982332258</v>
      </c>
      <c r="I333" s="79" t="s">
        <v>4834</v>
      </c>
      <c r="J333" s="79">
        <v>983293334</v>
      </c>
      <c r="K333" s="79" t="s">
        <v>4835</v>
      </c>
      <c r="L333" s="79"/>
      <c r="M333" s="79"/>
      <c r="N333" s="79"/>
    </row>
    <row r="334" spans="1:14" s="78" customFormat="1" ht="18">
      <c r="A334" s="74">
        <v>23</v>
      </c>
      <c r="B334" s="74" t="s">
        <v>529</v>
      </c>
      <c r="C334" s="74" t="s">
        <v>5918</v>
      </c>
      <c r="D334" s="79">
        <v>39587</v>
      </c>
      <c r="E334" s="79">
        <v>0</v>
      </c>
      <c r="F334" s="79">
        <v>925885407</v>
      </c>
      <c r="G334" s="79" t="s">
        <v>4837</v>
      </c>
      <c r="H334" s="79">
        <v>912289997</v>
      </c>
      <c r="I334" s="79" t="s">
        <v>4838</v>
      </c>
      <c r="J334" s="79">
        <v>975996881</v>
      </c>
      <c r="K334" s="79" t="s">
        <v>4839</v>
      </c>
      <c r="L334" s="79"/>
      <c r="M334" s="79"/>
      <c r="N334" s="79"/>
    </row>
    <row r="335" spans="1:14" s="78" customFormat="1" ht="18">
      <c r="A335" s="74">
        <v>24</v>
      </c>
      <c r="B335" s="74" t="s">
        <v>1458</v>
      </c>
      <c r="C335" s="74" t="s">
        <v>5919</v>
      </c>
      <c r="D335" s="79">
        <v>39643</v>
      </c>
      <c r="E335" s="79">
        <v>0</v>
      </c>
      <c r="F335" s="79">
        <v>964594451</v>
      </c>
      <c r="G335" s="79" t="s">
        <v>4841</v>
      </c>
      <c r="H335" s="79">
        <v>974425378</v>
      </c>
      <c r="I335" s="79" t="s">
        <v>4842</v>
      </c>
      <c r="J335" s="79">
        <v>397635978</v>
      </c>
      <c r="K335" s="79" t="s">
        <v>4809</v>
      </c>
      <c r="L335" s="79"/>
      <c r="M335" s="79"/>
      <c r="N335" s="79"/>
    </row>
    <row r="336" spans="1:14" s="78" customFormat="1" ht="18">
      <c r="A336" s="74">
        <v>25</v>
      </c>
      <c r="B336" s="74" t="s">
        <v>1549</v>
      </c>
      <c r="C336" s="74" t="s">
        <v>5920</v>
      </c>
      <c r="D336" s="79" t="e">
        <v>#N/A</v>
      </c>
      <c r="E336" s="79" t="e">
        <v>#N/A</v>
      </c>
      <c r="F336" s="79" t="e">
        <v>#N/A</v>
      </c>
      <c r="G336" s="79" t="e">
        <v>#N/A</v>
      </c>
      <c r="H336" s="79" t="e">
        <v>#N/A</v>
      </c>
      <c r="I336" s="79" t="e">
        <v>#N/A</v>
      </c>
      <c r="J336" s="79" t="e">
        <v>#N/A</v>
      </c>
      <c r="K336" s="79" t="e">
        <v>#N/A</v>
      </c>
      <c r="L336" s="79"/>
      <c r="M336" s="79"/>
      <c r="N336" s="79"/>
    </row>
    <row r="337" spans="1:14" s="78" customFormat="1" ht="18">
      <c r="A337" s="74">
        <v>26</v>
      </c>
      <c r="B337" s="74" t="s">
        <v>70</v>
      </c>
      <c r="C337" s="74" t="s">
        <v>5921</v>
      </c>
      <c r="D337" s="79">
        <v>39494</v>
      </c>
      <c r="E337" s="79">
        <v>0</v>
      </c>
      <c r="F337" s="79">
        <v>334310208</v>
      </c>
      <c r="G337" s="79" t="s">
        <v>4848</v>
      </c>
      <c r="H337" s="79">
        <v>973223305</v>
      </c>
      <c r="I337" s="79" t="s">
        <v>4849</v>
      </c>
      <c r="J337" s="79">
        <v>989290578</v>
      </c>
      <c r="K337" s="79" t="s">
        <v>4850</v>
      </c>
      <c r="L337" s="79"/>
      <c r="M337" s="79"/>
      <c r="N337" s="79"/>
    </row>
    <row r="338" spans="1:14" s="78" customFormat="1" ht="18">
      <c r="A338" s="74">
        <v>28</v>
      </c>
      <c r="B338" s="74" t="s">
        <v>1476</v>
      </c>
      <c r="C338" s="74" t="s">
        <v>5922</v>
      </c>
      <c r="D338" s="79">
        <v>0</v>
      </c>
      <c r="E338" s="79">
        <v>0</v>
      </c>
      <c r="F338" s="79">
        <v>0</v>
      </c>
      <c r="G338" s="79">
        <v>0</v>
      </c>
      <c r="H338" s="79">
        <v>0</v>
      </c>
      <c r="I338" s="79">
        <v>0</v>
      </c>
      <c r="J338" s="79">
        <v>0</v>
      </c>
      <c r="K338" s="79">
        <v>0</v>
      </c>
      <c r="L338" s="79"/>
      <c r="M338" s="79"/>
      <c r="N338" s="79"/>
    </row>
    <row r="339" spans="1:14" s="78" customFormat="1" ht="18">
      <c r="A339" s="74">
        <v>29</v>
      </c>
      <c r="B339" s="74" t="s">
        <v>1426</v>
      </c>
      <c r="C339" s="74" t="s">
        <v>5923</v>
      </c>
      <c r="D339" s="79">
        <v>0</v>
      </c>
      <c r="E339" s="79">
        <v>0</v>
      </c>
      <c r="F339" s="79">
        <v>0</v>
      </c>
      <c r="G339" s="79">
        <v>0</v>
      </c>
      <c r="H339" s="79">
        <v>0</v>
      </c>
      <c r="I339" s="79">
        <v>0</v>
      </c>
      <c r="J339" s="79">
        <v>0</v>
      </c>
      <c r="K339" s="79">
        <v>0</v>
      </c>
      <c r="L339" s="79"/>
      <c r="M339" s="79"/>
      <c r="N339" s="79"/>
    </row>
    <row r="340" spans="1:14" s="78" customFormat="1" ht="18">
      <c r="A340" s="74">
        <v>30</v>
      </c>
      <c r="B340" s="74" t="s">
        <v>1462</v>
      </c>
      <c r="C340" s="74" t="s">
        <v>5924</v>
      </c>
      <c r="D340" s="79">
        <v>0</v>
      </c>
      <c r="E340" s="79">
        <v>0</v>
      </c>
      <c r="F340" s="79">
        <v>0</v>
      </c>
      <c r="G340" s="79">
        <v>0</v>
      </c>
      <c r="H340" s="79">
        <v>0</v>
      </c>
      <c r="I340" s="79">
        <v>0</v>
      </c>
      <c r="J340" s="79">
        <v>0</v>
      </c>
      <c r="K340" s="79">
        <v>0</v>
      </c>
      <c r="L340" s="79"/>
      <c r="M340" s="79"/>
      <c r="N340" s="79"/>
    </row>
    <row r="341" spans="1:14" s="78" customFormat="1" ht="18">
      <c r="A341" s="74">
        <v>31</v>
      </c>
      <c r="B341" s="74" t="s">
        <v>1460</v>
      </c>
      <c r="C341" s="74" t="s">
        <v>5925</v>
      </c>
      <c r="D341" s="79">
        <v>0</v>
      </c>
      <c r="E341" s="79">
        <v>0</v>
      </c>
      <c r="F341" s="79">
        <v>0</v>
      </c>
      <c r="G341" s="79">
        <v>0</v>
      </c>
      <c r="H341" s="79">
        <v>0</v>
      </c>
      <c r="I341" s="79">
        <v>0</v>
      </c>
      <c r="J341" s="79">
        <v>0</v>
      </c>
      <c r="K341" s="79">
        <v>0</v>
      </c>
      <c r="L341" s="79"/>
      <c r="M341" s="79"/>
      <c r="N341" s="79"/>
    </row>
    <row r="342" spans="1:14" s="78" customFormat="1" ht="18">
      <c r="A342" s="74">
        <v>32</v>
      </c>
      <c r="B342" s="74" t="s">
        <v>1483</v>
      </c>
      <c r="C342" s="74" t="s">
        <v>5926</v>
      </c>
      <c r="D342" s="79">
        <v>0</v>
      </c>
      <c r="E342" s="79">
        <v>0</v>
      </c>
      <c r="F342" s="79">
        <v>0</v>
      </c>
      <c r="G342" s="79">
        <v>0</v>
      </c>
      <c r="H342" s="79">
        <v>0</v>
      </c>
      <c r="I342" s="79">
        <v>0</v>
      </c>
      <c r="J342" s="79">
        <v>0</v>
      </c>
      <c r="K342" s="79">
        <v>0</v>
      </c>
      <c r="L342" s="79"/>
      <c r="M342" s="79"/>
      <c r="N342" s="79"/>
    </row>
    <row r="343" spans="1:14" s="78" customFormat="1" ht="18">
      <c r="A343" s="74">
        <v>33</v>
      </c>
      <c r="B343" s="74" t="s">
        <v>170</v>
      </c>
      <c r="C343" s="74" t="s">
        <v>5927</v>
      </c>
      <c r="D343" s="79">
        <v>0</v>
      </c>
      <c r="E343" s="79">
        <v>0</v>
      </c>
      <c r="F343" s="79">
        <v>0</v>
      </c>
      <c r="G343" s="79">
        <v>0</v>
      </c>
      <c r="H343" s="79">
        <v>0</v>
      </c>
      <c r="I343" s="79">
        <v>0</v>
      </c>
      <c r="J343" s="79">
        <v>0</v>
      </c>
      <c r="K343" s="79">
        <v>0</v>
      </c>
      <c r="L343" s="79"/>
      <c r="M343" s="79"/>
      <c r="N343" s="79"/>
    </row>
    <row r="344" spans="1:14" s="78" customFormat="1" ht="18">
      <c r="A344" s="74">
        <v>34</v>
      </c>
      <c r="B344" s="74" t="s">
        <v>1468</v>
      </c>
      <c r="C344" s="74" t="s">
        <v>5928</v>
      </c>
      <c r="D344" s="79">
        <v>0</v>
      </c>
      <c r="E344" s="79">
        <v>0</v>
      </c>
      <c r="F344" s="79">
        <v>0</v>
      </c>
      <c r="G344" s="79">
        <v>0</v>
      </c>
      <c r="H344" s="79">
        <v>0</v>
      </c>
      <c r="I344" s="79">
        <v>0</v>
      </c>
      <c r="J344" s="79">
        <v>0</v>
      </c>
      <c r="K344" s="79">
        <v>0</v>
      </c>
      <c r="L344" s="79"/>
      <c r="M344" s="79"/>
      <c r="N344" s="79"/>
    </row>
    <row r="345" spans="1:14" s="78" customFormat="1" ht="18">
      <c r="A345" s="74">
        <v>35</v>
      </c>
      <c r="B345" s="74" t="s">
        <v>1428</v>
      </c>
      <c r="C345" s="74" t="s">
        <v>5929</v>
      </c>
      <c r="D345" s="79">
        <v>0</v>
      </c>
      <c r="E345" s="79">
        <v>0</v>
      </c>
      <c r="F345" s="79">
        <v>0</v>
      </c>
      <c r="G345" s="79">
        <v>0</v>
      </c>
      <c r="H345" s="79">
        <v>0</v>
      </c>
      <c r="I345" s="79">
        <v>0</v>
      </c>
      <c r="J345" s="79">
        <v>0</v>
      </c>
      <c r="K345" s="79">
        <v>0</v>
      </c>
      <c r="L345" s="79"/>
      <c r="M345" s="79"/>
      <c r="N345" s="79"/>
    </row>
    <row r="346" spans="1:14" s="78" customFormat="1" ht="18">
      <c r="A346" s="74">
        <v>36</v>
      </c>
      <c r="B346" s="74" t="s">
        <v>1452</v>
      </c>
      <c r="C346" s="74" t="s">
        <v>5930</v>
      </c>
      <c r="D346" s="79">
        <v>0</v>
      </c>
      <c r="E346" s="79">
        <v>0</v>
      </c>
      <c r="F346" s="79">
        <v>0</v>
      </c>
      <c r="G346" s="79">
        <v>0</v>
      </c>
      <c r="H346" s="79">
        <v>0</v>
      </c>
      <c r="I346" s="79">
        <v>0</v>
      </c>
      <c r="J346" s="79">
        <v>0</v>
      </c>
      <c r="K346" s="79">
        <v>0</v>
      </c>
      <c r="L346" s="79"/>
      <c r="M346" s="79"/>
      <c r="N346" s="79"/>
    </row>
    <row r="347" spans="1:14" s="78" customFormat="1" ht="18">
      <c r="A347" s="74">
        <v>37</v>
      </c>
      <c r="B347" s="74" t="s">
        <v>1450</v>
      </c>
      <c r="C347" s="74" t="s">
        <v>5931</v>
      </c>
      <c r="D347" s="79">
        <v>0</v>
      </c>
      <c r="E347" s="79">
        <v>0</v>
      </c>
      <c r="F347" s="79">
        <v>0</v>
      </c>
      <c r="G347" s="79">
        <v>0</v>
      </c>
      <c r="H347" s="79">
        <v>0</v>
      </c>
      <c r="I347" s="79">
        <v>0</v>
      </c>
      <c r="J347" s="79">
        <v>0</v>
      </c>
      <c r="K347" s="79">
        <v>0</v>
      </c>
      <c r="L347" s="79"/>
      <c r="M347" s="79"/>
      <c r="N347" s="79"/>
    </row>
    <row r="348" spans="1:14" s="78" customFormat="1" ht="18">
      <c r="A348" s="74">
        <v>38</v>
      </c>
      <c r="B348" s="74" t="s">
        <v>1438</v>
      </c>
      <c r="C348" s="74" t="s">
        <v>5932</v>
      </c>
      <c r="D348" s="79">
        <v>0</v>
      </c>
      <c r="E348" s="79">
        <v>0</v>
      </c>
      <c r="F348" s="79">
        <v>0</v>
      </c>
      <c r="G348" s="79">
        <v>0</v>
      </c>
      <c r="H348" s="79">
        <v>0</v>
      </c>
      <c r="I348" s="79">
        <v>0</v>
      </c>
      <c r="J348" s="79">
        <v>0</v>
      </c>
      <c r="K348" s="79">
        <v>0</v>
      </c>
      <c r="L348" s="79"/>
      <c r="M348" s="79"/>
      <c r="N348" s="79"/>
    </row>
    <row r="349" spans="1:14" s="78" customFormat="1" ht="18">
      <c r="A349" s="74">
        <v>39</v>
      </c>
      <c r="B349" s="74" t="s">
        <v>1456</v>
      </c>
      <c r="C349" s="74" t="s">
        <v>5933</v>
      </c>
      <c r="D349" s="79">
        <v>0</v>
      </c>
      <c r="E349" s="79">
        <v>0</v>
      </c>
      <c r="F349" s="79">
        <v>0</v>
      </c>
      <c r="G349" s="79">
        <v>0</v>
      </c>
      <c r="H349" s="79">
        <v>0</v>
      </c>
      <c r="I349" s="79">
        <v>0</v>
      </c>
      <c r="J349" s="79">
        <v>0</v>
      </c>
      <c r="K349" s="79">
        <v>0</v>
      </c>
      <c r="L349" s="79"/>
      <c r="M349" s="79"/>
      <c r="N349" s="79"/>
    </row>
    <row r="350" spans="1:14" s="78" customFormat="1" ht="18">
      <c r="A350" s="74">
        <v>40</v>
      </c>
      <c r="B350" s="74" t="s">
        <v>1432</v>
      </c>
      <c r="C350" s="74" t="s">
        <v>5934</v>
      </c>
      <c r="D350" s="79">
        <v>0</v>
      </c>
      <c r="E350" s="79">
        <v>0</v>
      </c>
      <c r="F350" s="79">
        <v>0</v>
      </c>
      <c r="G350" s="79">
        <v>0</v>
      </c>
      <c r="H350" s="79">
        <v>0</v>
      </c>
      <c r="I350" s="79">
        <v>0</v>
      </c>
      <c r="J350" s="79">
        <v>0</v>
      </c>
      <c r="K350" s="79">
        <v>0</v>
      </c>
      <c r="L350" s="79"/>
      <c r="M350" s="79"/>
      <c r="N350" s="79"/>
    </row>
    <row r="351" spans="1:14" s="78" customFormat="1" ht="18">
      <c r="A351" s="74">
        <v>41</v>
      </c>
      <c r="B351" s="74" t="s">
        <v>1444</v>
      </c>
      <c r="C351" s="74" t="s">
        <v>5935</v>
      </c>
      <c r="D351" s="79">
        <v>0</v>
      </c>
      <c r="E351" s="79">
        <v>0</v>
      </c>
      <c r="F351" s="79">
        <v>0</v>
      </c>
      <c r="G351" s="79">
        <v>0</v>
      </c>
      <c r="H351" s="79">
        <v>0</v>
      </c>
      <c r="I351" s="79">
        <v>0</v>
      </c>
      <c r="J351" s="79">
        <v>0</v>
      </c>
      <c r="K351" s="79">
        <v>0</v>
      </c>
      <c r="L351" s="79"/>
      <c r="M351" s="79"/>
      <c r="N351" s="79"/>
    </row>
    <row r="352" spans="1:14" s="78" customFormat="1" ht="18">
      <c r="A352" s="81">
        <v>42</v>
      </c>
      <c r="B352" s="81" t="s">
        <v>329</v>
      </c>
      <c r="C352" s="81" t="s">
        <v>5936</v>
      </c>
      <c r="D352" s="79">
        <v>0</v>
      </c>
      <c r="E352" s="79">
        <v>0</v>
      </c>
      <c r="F352" s="79">
        <v>0</v>
      </c>
      <c r="G352" s="79">
        <v>0</v>
      </c>
      <c r="H352" s="79">
        <v>0</v>
      </c>
      <c r="I352" s="79">
        <v>0</v>
      </c>
      <c r="J352" s="79">
        <v>0</v>
      </c>
      <c r="K352" s="79">
        <v>0</v>
      </c>
      <c r="L352" s="79"/>
      <c r="M352" s="79"/>
      <c r="N352" s="79"/>
    </row>
    <row r="353" spans="1:14" s="78" customFormat="1" ht="18">
      <c r="A353" s="74">
        <v>43</v>
      </c>
      <c r="B353" s="74" t="s">
        <v>1448</v>
      </c>
      <c r="C353" s="74" t="s">
        <v>5937</v>
      </c>
      <c r="D353" s="79">
        <v>0</v>
      </c>
      <c r="E353" s="79">
        <v>0</v>
      </c>
      <c r="F353" s="79">
        <v>0</v>
      </c>
      <c r="G353" s="79">
        <v>0</v>
      </c>
      <c r="H353" s="79">
        <v>0</v>
      </c>
      <c r="I353" s="79">
        <v>0</v>
      </c>
      <c r="J353" s="79">
        <v>0</v>
      </c>
      <c r="K353" s="79">
        <v>0</v>
      </c>
      <c r="L353" s="79"/>
      <c r="M353" s="79"/>
      <c r="N353" s="79"/>
    </row>
    <row r="354" spans="1:14" s="78" customFormat="1" ht="18">
      <c r="A354" s="74">
        <v>44</v>
      </c>
      <c r="B354" s="74" t="s">
        <v>5938</v>
      </c>
      <c r="C354" s="74" t="s">
        <v>5939</v>
      </c>
      <c r="D354" s="79">
        <v>0</v>
      </c>
      <c r="E354" s="79">
        <v>0</v>
      </c>
      <c r="F354" s="79">
        <v>0</v>
      </c>
      <c r="G354" s="79">
        <v>0</v>
      </c>
      <c r="H354" s="79">
        <v>0</v>
      </c>
      <c r="I354" s="79">
        <v>0</v>
      </c>
      <c r="J354" s="79">
        <v>0</v>
      </c>
      <c r="K354" s="79">
        <v>0</v>
      </c>
      <c r="L354" s="79"/>
      <c r="M354" s="79"/>
      <c r="N354" s="79"/>
    </row>
    <row r="355" spans="1:14" s="78" customFormat="1" ht="18">
      <c r="A355" s="74">
        <v>45</v>
      </c>
      <c r="B355" s="74" t="s">
        <v>1481</v>
      </c>
      <c r="C355" s="74" t="s">
        <v>5940</v>
      </c>
      <c r="D355" s="79">
        <v>0</v>
      </c>
      <c r="E355" s="79">
        <v>0</v>
      </c>
      <c r="F355" s="79">
        <v>0</v>
      </c>
      <c r="G355" s="79">
        <v>0</v>
      </c>
      <c r="H355" s="79">
        <v>0</v>
      </c>
      <c r="I355" s="79">
        <v>0</v>
      </c>
      <c r="J355" s="79">
        <v>0</v>
      </c>
      <c r="K355" s="79">
        <v>0</v>
      </c>
      <c r="L355" s="79"/>
      <c r="M355" s="79"/>
      <c r="N355" s="79"/>
    </row>
    <row r="356" spans="1:14" s="78" customFormat="1" ht="18">
      <c r="A356" s="74">
        <v>46</v>
      </c>
      <c r="B356" s="74" t="s">
        <v>1442</v>
      </c>
      <c r="C356" s="74" t="s">
        <v>5941</v>
      </c>
      <c r="D356" s="79">
        <v>0</v>
      </c>
      <c r="E356" s="79">
        <v>0</v>
      </c>
      <c r="F356" s="79">
        <v>0</v>
      </c>
      <c r="G356" s="79">
        <v>0</v>
      </c>
      <c r="H356" s="79">
        <v>0</v>
      </c>
      <c r="I356" s="79">
        <v>0</v>
      </c>
      <c r="J356" s="79">
        <v>0</v>
      </c>
      <c r="K356" s="79">
        <v>0</v>
      </c>
      <c r="L356" s="79"/>
      <c r="M356" s="79"/>
      <c r="N356" s="79"/>
    </row>
    <row r="357" spans="1:14" s="78" customFormat="1" ht="18">
      <c r="A357" s="74">
        <v>5</v>
      </c>
      <c r="B357" s="74" t="s">
        <v>1545</v>
      </c>
      <c r="C357" s="74" t="s">
        <v>5453</v>
      </c>
      <c r="D357" s="79">
        <v>0</v>
      </c>
      <c r="E357" s="79">
        <v>0</v>
      </c>
      <c r="F357" s="79">
        <v>0</v>
      </c>
      <c r="G357" s="79">
        <v>0</v>
      </c>
      <c r="H357" s="79">
        <v>0</v>
      </c>
      <c r="I357" s="79">
        <v>0</v>
      </c>
      <c r="J357" s="79">
        <v>0</v>
      </c>
      <c r="K357" s="79">
        <v>0</v>
      </c>
      <c r="L357" s="79"/>
      <c r="M357" s="79"/>
      <c r="N357" s="79"/>
    </row>
    <row r="358" spans="1:14" s="78" customFormat="1" ht="18">
      <c r="A358" s="74">
        <v>6</v>
      </c>
      <c r="B358" s="74" t="s">
        <v>1547</v>
      </c>
      <c r="C358" s="74" t="s">
        <v>5454</v>
      </c>
      <c r="D358" s="79">
        <v>0</v>
      </c>
      <c r="E358" s="79">
        <v>0</v>
      </c>
      <c r="F358" s="79">
        <v>0</v>
      </c>
      <c r="G358" s="79">
        <v>0</v>
      </c>
      <c r="H358" s="79">
        <v>0</v>
      </c>
      <c r="I358" s="79">
        <v>0</v>
      </c>
      <c r="J358" s="79">
        <v>0</v>
      </c>
      <c r="K358" s="79">
        <v>0</v>
      </c>
      <c r="L358" s="79"/>
      <c r="M358" s="79"/>
      <c r="N358" s="79"/>
    </row>
    <row r="359" spans="1:14" s="78" customFormat="1" ht="18">
      <c r="A359" s="74">
        <v>7</v>
      </c>
      <c r="B359" s="74" t="s">
        <v>1533</v>
      </c>
      <c r="C359" s="74" t="s">
        <v>5455</v>
      </c>
      <c r="D359" s="79">
        <v>0</v>
      </c>
      <c r="E359" s="79">
        <v>0</v>
      </c>
      <c r="F359" s="79">
        <v>0</v>
      </c>
      <c r="G359" s="79">
        <v>0</v>
      </c>
      <c r="H359" s="79">
        <v>0</v>
      </c>
      <c r="I359" s="79">
        <v>0</v>
      </c>
      <c r="J359" s="79">
        <v>0</v>
      </c>
      <c r="K359" s="79">
        <v>0</v>
      </c>
      <c r="L359" s="79"/>
      <c r="M359" s="79"/>
      <c r="N359" s="79"/>
    </row>
    <row r="360" spans="1:14" s="78" customFormat="1" ht="18">
      <c r="A360" s="74">
        <v>8</v>
      </c>
      <c r="B360" s="74" t="s">
        <v>1535</v>
      </c>
      <c r="C360" s="74" t="s">
        <v>5456</v>
      </c>
      <c r="D360" s="79">
        <v>0</v>
      </c>
      <c r="E360" s="79">
        <v>0</v>
      </c>
      <c r="F360" s="79">
        <v>0</v>
      </c>
      <c r="G360" s="79">
        <v>0</v>
      </c>
      <c r="H360" s="79">
        <v>0</v>
      </c>
      <c r="I360" s="79">
        <v>0</v>
      </c>
      <c r="J360" s="79">
        <v>0</v>
      </c>
      <c r="K360" s="79">
        <v>0</v>
      </c>
      <c r="L360" s="79"/>
      <c r="M360" s="79"/>
      <c r="N360" s="79"/>
    </row>
    <row r="361" spans="1:14" s="78" customFormat="1" ht="18">
      <c r="A361" s="74">
        <v>9</v>
      </c>
      <c r="B361" s="74" t="s">
        <v>1521</v>
      </c>
      <c r="C361" s="74" t="s">
        <v>5457</v>
      </c>
      <c r="D361" s="79">
        <v>0</v>
      </c>
      <c r="E361" s="79">
        <v>0</v>
      </c>
      <c r="F361" s="79">
        <v>0</v>
      </c>
      <c r="G361" s="79">
        <v>0</v>
      </c>
      <c r="H361" s="79">
        <v>0</v>
      </c>
      <c r="I361" s="79">
        <v>0</v>
      </c>
      <c r="J361" s="79">
        <v>0</v>
      </c>
      <c r="K361" s="79">
        <v>0</v>
      </c>
      <c r="L361" s="79"/>
      <c r="M361" s="79"/>
      <c r="N361" s="79"/>
    </row>
    <row r="362" spans="1:14" s="78" customFormat="1" ht="18">
      <c r="A362" s="74">
        <v>10</v>
      </c>
      <c r="B362" s="74" t="s">
        <v>45</v>
      </c>
      <c r="C362" s="74" t="s">
        <v>5458</v>
      </c>
      <c r="D362" s="79">
        <v>0</v>
      </c>
      <c r="E362" s="79">
        <v>0</v>
      </c>
      <c r="F362" s="79">
        <v>0</v>
      </c>
      <c r="G362" s="79">
        <v>0</v>
      </c>
      <c r="H362" s="79">
        <v>0</v>
      </c>
      <c r="I362" s="79">
        <v>0</v>
      </c>
      <c r="J362" s="79">
        <v>0</v>
      </c>
      <c r="K362" s="79">
        <v>0</v>
      </c>
      <c r="L362" s="79"/>
      <c r="M362" s="79"/>
      <c r="N362" s="79"/>
    </row>
    <row r="363" spans="1:14" s="78" customFormat="1" ht="18">
      <c r="A363" s="74">
        <v>11</v>
      </c>
      <c r="B363" s="74" t="s">
        <v>1514</v>
      </c>
      <c r="C363" s="74" t="s">
        <v>5459</v>
      </c>
      <c r="D363" s="79">
        <v>0</v>
      </c>
      <c r="E363" s="79">
        <v>0</v>
      </c>
      <c r="F363" s="79">
        <v>0</v>
      </c>
      <c r="G363" s="79">
        <v>0</v>
      </c>
      <c r="H363" s="79">
        <v>0</v>
      </c>
      <c r="I363" s="79">
        <v>0</v>
      </c>
      <c r="J363" s="79">
        <v>0</v>
      </c>
      <c r="K363" s="79">
        <v>0</v>
      </c>
      <c r="L363" s="79"/>
      <c r="M363" s="79"/>
      <c r="N363" s="79"/>
    </row>
    <row r="364" spans="1:14" s="78" customFormat="1" ht="18">
      <c r="A364" s="74">
        <v>12</v>
      </c>
      <c r="B364" s="74" t="s">
        <v>1537</v>
      </c>
      <c r="C364" s="74" t="s">
        <v>5460</v>
      </c>
      <c r="D364" s="79">
        <v>0</v>
      </c>
      <c r="E364" s="79">
        <v>0</v>
      </c>
      <c r="F364" s="79">
        <v>0</v>
      </c>
      <c r="G364" s="79">
        <v>0</v>
      </c>
      <c r="H364" s="79">
        <v>0</v>
      </c>
      <c r="I364" s="79">
        <v>0</v>
      </c>
      <c r="J364" s="79">
        <v>0</v>
      </c>
      <c r="K364" s="79">
        <v>0</v>
      </c>
      <c r="L364" s="79"/>
      <c r="M364" s="79"/>
      <c r="N364" s="79"/>
    </row>
    <row r="365" spans="1:14" s="78" customFormat="1" ht="18">
      <c r="A365" s="74">
        <v>13</v>
      </c>
      <c r="B365" s="74" t="s">
        <v>1539</v>
      </c>
      <c r="C365" s="74" t="s">
        <v>5461</v>
      </c>
      <c r="D365" s="79">
        <v>0</v>
      </c>
      <c r="E365" s="79">
        <v>0</v>
      </c>
      <c r="F365" s="79">
        <v>0</v>
      </c>
      <c r="G365" s="79">
        <v>0</v>
      </c>
      <c r="H365" s="79">
        <v>0</v>
      </c>
      <c r="I365" s="79">
        <v>0</v>
      </c>
      <c r="J365" s="79">
        <v>0</v>
      </c>
      <c r="K365" s="79">
        <v>0</v>
      </c>
      <c r="L365" s="79"/>
      <c r="M365" s="79"/>
      <c r="N365" s="79"/>
    </row>
    <row r="366" spans="1:14" s="78" customFormat="1" ht="18">
      <c r="A366" s="74">
        <v>1</v>
      </c>
      <c r="B366" s="74" t="s">
        <v>1578</v>
      </c>
      <c r="C366" s="74" t="s">
        <v>5463</v>
      </c>
      <c r="D366" s="79" t="s">
        <v>4225</v>
      </c>
      <c r="E366" s="79" t="s">
        <v>3184</v>
      </c>
      <c r="F366" s="79" t="s">
        <v>5942</v>
      </c>
      <c r="G366" s="79" t="s">
        <v>5943</v>
      </c>
      <c r="H366" s="79" t="s">
        <v>5942</v>
      </c>
      <c r="I366" s="79" t="s">
        <v>5503</v>
      </c>
      <c r="J366" s="79" t="s">
        <v>5944</v>
      </c>
      <c r="K366" s="79" t="s">
        <v>3469</v>
      </c>
      <c r="L366" s="79"/>
      <c r="M366" s="79"/>
      <c r="N366" s="79"/>
    </row>
    <row r="367" spans="1:14" s="78" customFormat="1" ht="18">
      <c r="A367" s="74">
        <v>2</v>
      </c>
      <c r="B367" s="74" t="s">
        <v>1567</v>
      </c>
      <c r="C367" s="74" t="s">
        <v>5464</v>
      </c>
      <c r="D367" s="79" t="s">
        <v>5945</v>
      </c>
      <c r="E367" s="79" t="s">
        <v>3213</v>
      </c>
      <c r="F367" s="79" t="s">
        <v>5946</v>
      </c>
      <c r="G367" s="79" t="s">
        <v>5947</v>
      </c>
      <c r="H367" s="79" t="s">
        <v>5948</v>
      </c>
      <c r="I367" s="79" t="s">
        <v>5949</v>
      </c>
      <c r="J367" s="79" t="s">
        <v>5946</v>
      </c>
      <c r="K367" s="79" t="s">
        <v>5376</v>
      </c>
      <c r="L367" s="79"/>
      <c r="M367" s="79"/>
      <c r="N367" s="79"/>
    </row>
    <row r="368" spans="1:14" s="78" customFormat="1" ht="18">
      <c r="A368" s="74">
        <v>3</v>
      </c>
      <c r="B368" s="74" t="s">
        <v>1565</v>
      </c>
      <c r="C368" s="74" t="s">
        <v>5465</v>
      </c>
      <c r="D368" s="79" t="s">
        <v>4918</v>
      </c>
      <c r="E368" s="79" t="s">
        <v>3213</v>
      </c>
      <c r="F368" s="79" t="s">
        <v>4919</v>
      </c>
      <c r="G368" s="79" t="s">
        <v>4920</v>
      </c>
      <c r="H368" s="79" t="s">
        <v>4921</v>
      </c>
      <c r="I368" s="79" t="s">
        <v>4922</v>
      </c>
      <c r="J368" s="79" t="s">
        <v>4919</v>
      </c>
      <c r="K368" s="79" t="s">
        <v>3231</v>
      </c>
      <c r="L368" s="79"/>
      <c r="M368" s="79"/>
      <c r="N368" s="79"/>
    </row>
    <row r="369" spans="1:14" s="78" customFormat="1" ht="18">
      <c r="A369" s="74">
        <v>4</v>
      </c>
      <c r="B369" s="74" t="s">
        <v>1572</v>
      </c>
      <c r="C369" s="74" t="s">
        <v>5466</v>
      </c>
      <c r="D369" s="79" t="s">
        <v>4888</v>
      </c>
      <c r="E369" s="79" t="s">
        <v>3184</v>
      </c>
      <c r="F369" s="79" t="s">
        <v>4889</v>
      </c>
      <c r="G369" s="79" t="s">
        <v>4890</v>
      </c>
      <c r="H369" s="79" t="s">
        <v>4889</v>
      </c>
      <c r="I369" s="79" t="s">
        <v>4891</v>
      </c>
      <c r="J369" s="79" t="s">
        <v>4892</v>
      </c>
      <c r="K369" s="79" t="s">
        <v>3610</v>
      </c>
      <c r="L369" s="79"/>
      <c r="M369" s="79"/>
      <c r="N369" s="79"/>
    </row>
    <row r="370" spans="1:14" s="78" customFormat="1" ht="18">
      <c r="A370" s="74">
        <v>5</v>
      </c>
      <c r="B370" s="74" t="s">
        <v>1574</v>
      </c>
      <c r="C370" s="74" t="s">
        <v>5467</v>
      </c>
      <c r="D370" s="79" t="s">
        <v>4522</v>
      </c>
      <c r="E370" s="79" t="s">
        <v>3184</v>
      </c>
      <c r="F370" s="79" t="s">
        <v>4899</v>
      </c>
      <c r="G370" s="79" t="s">
        <v>4900</v>
      </c>
      <c r="H370" s="79" t="s">
        <v>4901</v>
      </c>
      <c r="I370" s="79" t="s">
        <v>4902</v>
      </c>
      <c r="J370" s="79" t="s">
        <v>4899</v>
      </c>
      <c r="K370" s="79" t="s">
        <v>4903</v>
      </c>
      <c r="L370" s="79"/>
      <c r="M370" s="79"/>
      <c r="N370" s="79"/>
    </row>
    <row r="371" spans="1:14" s="78" customFormat="1" ht="18">
      <c r="A371" s="74">
        <v>6</v>
      </c>
      <c r="B371" s="74" t="s">
        <v>1576</v>
      </c>
      <c r="C371" s="74" t="s">
        <v>5468</v>
      </c>
      <c r="D371" s="79" t="s">
        <v>4911</v>
      </c>
      <c r="E371" s="79" t="s">
        <v>3184</v>
      </c>
      <c r="F371" s="79" t="s">
        <v>4912</v>
      </c>
      <c r="G371" s="79" t="s">
        <v>4913</v>
      </c>
      <c r="H371" s="79" t="s">
        <v>4912</v>
      </c>
      <c r="I371" s="79" t="s">
        <v>4914</v>
      </c>
      <c r="J371" s="79" t="s">
        <v>4915</v>
      </c>
      <c r="K371" s="79" t="s">
        <v>4916</v>
      </c>
      <c r="L371" s="79"/>
      <c r="M371" s="79"/>
      <c r="N371" s="79"/>
    </row>
    <row r="372" spans="1:14" s="78" customFormat="1" ht="18">
      <c r="A372" s="74">
        <v>7</v>
      </c>
      <c r="B372" s="74" t="s">
        <v>612</v>
      </c>
      <c r="C372" s="74" t="s">
        <v>5469</v>
      </c>
      <c r="D372" s="79" t="s">
        <v>3829</v>
      </c>
      <c r="E372" s="79" t="s">
        <v>3213</v>
      </c>
      <c r="F372" s="79" t="s">
        <v>4905</v>
      </c>
      <c r="G372" s="79" t="s">
        <v>4906</v>
      </c>
      <c r="H372" s="79" t="s">
        <v>4907</v>
      </c>
      <c r="I372" s="79" t="s">
        <v>4908</v>
      </c>
      <c r="J372" s="79" t="s">
        <v>4909</v>
      </c>
      <c r="K372" s="79" t="s">
        <v>4467</v>
      </c>
      <c r="L372" s="79"/>
      <c r="M372" s="79"/>
      <c r="N372" s="79"/>
    </row>
    <row r="373" spans="1:14" s="78" customFormat="1" ht="18">
      <c r="A373" s="81">
        <v>8</v>
      </c>
      <c r="B373" s="81" t="s">
        <v>1562</v>
      </c>
      <c r="C373" s="81" t="s">
        <v>5470</v>
      </c>
      <c r="D373" s="79" t="s">
        <v>4894</v>
      </c>
      <c r="E373" s="79" t="s">
        <v>3213</v>
      </c>
      <c r="F373" s="79" t="s">
        <v>4895</v>
      </c>
      <c r="G373" s="79" t="s">
        <v>4429</v>
      </c>
      <c r="H373" s="79" t="s">
        <v>4896</v>
      </c>
      <c r="I373" s="79" t="s">
        <v>4897</v>
      </c>
      <c r="J373" s="79" t="s">
        <v>4895</v>
      </c>
      <c r="K373" s="79" t="s">
        <v>4508</v>
      </c>
      <c r="L373" s="79"/>
      <c r="M373" s="79"/>
      <c r="N373" s="79"/>
    </row>
    <row r="374" spans="1:14" s="78" customFormat="1" ht="18">
      <c r="A374" s="74">
        <v>9</v>
      </c>
      <c r="B374" s="74" t="s">
        <v>1555</v>
      </c>
      <c r="C374" s="74" t="s">
        <v>5471</v>
      </c>
      <c r="D374" s="79" t="s">
        <v>4876</v>
      </c>
      <c r="E374" s="79" t="s">
        <v>3184</v>
      </c>
      <c r="F374" s="79" t="s">
        <v>4877</v>
      </c>
      <c r="G374" s="79" t="s">
        <v>4878</v>
      </c>
      <c r="H374" s="79" t="s">
        <v>4877</v>
      </c>
      <c r="I374" s="79" t="s">
        <v>4879</v>
      </c>
      <c r="J374" s="79" t="s">
        <v>4877</v>
      </c>
      <c r="K374" s="79" t="s">
        <v>4880</v>
      </c>
      <c r="L374" s="79"/>
      <c r="M374" s="79"/>
      <c r="N374" s="79"/>
    </row>
    <row r="375" spans="1:14" s="78" customFormat="1" ht="18">
      <c r="A375" s="74">
        <v>10</v>
      </c>
      <c r="B375" s="74" t="s">
        <v>1580</v>
      </c>
      <c r="C375" s="74" t="s">
        <v>5950</v>
      </c>
      <c r="D375" s="79" t="s">
        <v>5951</v>
      </c>
      <c r="E375" s="79" t="s">
        <v>3213</v>
      </c>
      <c r="F375" s="79" t="s">
        <v>5952</v>
      </c>
      <c r="G375" s="79" t="s">
        <v>5953</v>
      </c>
      <c r="H375" s="79">
        <v>0</v>
      </c>
      <c r="I375" s="79" t="s">
        <v>5954</v>
      </c>
      <c r="J375" s="79">
        <v>0</v>
      </c>
      <c r="K375" s="79" t="s">
        <v>5955</v>
      </c>
      <c r="L375" s="79"/>
      <c r="M375" s="79"/>
      <c r="N375" s="79"/>
    </row>
    <row r="376" spans="1:14" s="78" customFormat="1" ht="18">
      <c r="A376" s="74">
        <v>11</v>
      </c>
      <c r="B376" s="74" t="s">
        <v>1582</v>
      </c>
      <c r="C376" s="74" t="s">
        <v>5472</v>
      </c>
      <c r="D376" s="79" t="s">
        <v>5279</v>
      </c>
      <c r="E376" s="79" t="s">
        <v>3213</v>
      </c>
      <c r="F376" s="79" t="s">
        <v>5956</v>
      </c>
      <c r="G376" s="79" t="s">
        <v>5957</v>
      </c>
      <c r="H376" s="79" t="s">
        <v>5958</v>
      </c>
      <c r="I376" s="79" t="s">
        <v>5959</v>
      </c>
      <c r="J376" s="79" t="s">
        <v>5956</v>
      </c>
      <c r="K376" s="79" t="s">
        <v>3290</v>
      </c>
      <c r="L376" s="79"/>
      <c r="M376" s="79"/>
      <c r="N376" s="79"/>
    </row>
    <row r="377" spans="1:14" s="78" customFormat="1" ht="18">
      <c r="A377" s="74">
        <v>12</v>
      </c>
      <c r="B377" s="74" t="s">
        <v>1584</v>
      </c>
      <c r="C377" s="74" t="s">
        <v>5473</v>
      </c>
      <c r="D377" s="79" t="s">
        <v>5960</v>
      </c>
      <c r="E377" s="79" t="s">
        <v>3213</v>
      </c>
      <c r="F377" s="79" t="s">
        <v>5961</v>
      </c>
      <c r="G377" s="79" t="s">
        <v>5962</v>
      </c>
      <c r="H377" s="79" t="s">
        <v>5963</v>
      </c>
      <c r="I377" s="79" t="s">
        <v>5964</v>
      </c>
      <c r="J377" s="79" t="s">
        <v>5961</v>
      </c>
      <c r="K377" s="79" t="s">
        <v>3261</v>
      </c>
      <c r="L377" s="79"/>
      <c r="M377" s="79"/>
      <c r="N377" s="79"/>
    </row>
    <row r="378" spans="1:14" s="78" customFormat="1" ht="18">
      <c r="A378" s="74">
        <v>13</v>
      </c>
      <c r="B378" s="74" t="s">
        <v>1586</v>
      </c>
      <c r="C378" s="74" t="s">
        <v>5965</v>
      </c>
      <c r="D378" s="79" t="s">
        <v>5966</v>
      </c>
      <c r="E378" s="79" t="s">
        <v>3213</v>
      </c>
      <c r="F378" s="79" t="s">
        <v>5967</v>
      </c>
      <c r="G378" s="79" t="s">
        <v>5968</v>
      </c>
      <c r="H378" s="79" t="s">
        <v>5969</v>
      </c>
      <c r="I378" s="79" t="s">
        <v>5970</v>
      </c>
      <c r="J378" s="79" t="s">
        <v>5971</v>
      </c>
      <c r="K378" s="79" t="s">
        <v>5972</v>
      </c>
      <c r="L378" s="79"/>
      <c r="M378" s="79"/>
      <c r="N378" s="79"/>
    </row>
    <row r="379" spans="1:14" s="78" customFormat="1" ht="18">
      <c r="A379" s="74">
        <v>14</v>
      </c>
      <c r="B379" s="74" t="s">
        <v>1558</v>
      </c>
      <c r="C379" s="74" t="s">
        <v>5474</v>
      </c>
      <c r="D379" s="79" t="s">
        <v>5241</v>
      </c>
      <c r="E379" s="79" t="s">
        <v>3213</v>
      </c>
      <c r="F379" s="79" t="s">
        <v>5973</v>
      </c>
      <c r="G379" s="79" t="s">
        <v>5974</v>
      </c>
      <c r="H379" s="79" t="s">
        <v>5973</v>
      </c>
      <c r="I379" s="79" t="s">
        <v>3310</v>
      </c>
      <c r="J379" s="79" t="s">
        <v>5975</v>
      </c>
      <c r="K379" s="79" t="s">
        <v>5450</v>
      </c>
      <c r="L379" s="79"/>
      <c r="M379" s="79"/>
      <c r="N379" s="79"/>
    </row>
    <row r="380" spans="1:14" s="78" customFormat="1" ht="18">
      <c r="A380" s="74">
        <v>15</v>
      </c>
      <c r="B380" s="74" t="s">
        <v>1560</v>
      </c>
      <c r="C380" s="74" t="s">
        <v>5475</v>
      </c>
      <c r="D380" s="79" t="s">
        <v>5976</v>
      </c>
      <c r="E380" s="79" t="s">
        <v>3184</v>
      </c>
      <c r="F380" s="79" t="s">
        <v>5977</v>
      </c>
      <c r="G380" s="79" t="s">
        <v>5978</v>
      </c>
      <c r="H380" s="79" t="s">
        <v>5979</v>
      </c>
      <c r="I380" s="79" t="s">
        <v>5980</v>
      </c>
      <c r="J380" s="79" t="s">
        <v>5977</v>
      </c>
      <c r="K380" s="79" t="s">
        <v>5626</v>
      </c>
      <c r="L380" s="79"/>
      <c r="M380" s="79"/>
      <c r="N380" s="79"/>
    </row>
    <row r="381" spans="1:14" s="78" customFormat="1" ht="18">
      <c r="A381" s="74">
        <v>1</v>
      </c>
      <c r="B381" s="74" t="s">
        <v>416</v>
      </c>
      <c r="C381" s="74" t="s">
        <v>5981</v>
      </c>
      <c r="D381" s="79" t="s">
        <v>4154</v>
      </c>
      <c r="E381" s="79" t="s">
        <v>3184</v>
      </c>
      <c r="F381" s="79" t="s">
        <v>4924</v>
      </c>
      <c r="G381" s="79" t="s">
        <v>4925</v>
      </c>
      <c r="H381" s="79" t="s">
        <v>4924</v>
      </c>
      <c r="I381" s="79" t="s">
        <v>3361</v>
      </c>
      <c r="J381" s="79" t="s">
        <v>4924</v>
      </c>
      <c r="K381" s="79" t="s">
        <v>3610</v>
      </c>
      <c r="L381" s="79"/>
      <c r="M381" s="79"/>
      <c r="N381" s="79"/>
    </row>
    <row r="382" spans="1:14" s="78" customFormat="1" ht="18">
      <c r="A382" s="74">
        <v>2</v>
      </c>
      <c r="B382" s="74" t="s">
        <v>944</v>
      </c>
      <c r="C382" s="74" t="s">
        <v>5982</v>
      </c>
      <c r="D382" s="79" t="s">
        <v>4927</v>
      </c>
      <c r="E382" s="79" t="s">
        <v>3184</v>
      </c>
      <c r="F382" s="79" t="s">
        <v>4928</v>
      </c>
      <c r="G382" s="79" t="s">
        <v>4929</v>
      </c>
      <c r="H382" s="79" t="s">
        <v>4928</v>
      </c>
      <c r="I382" s="79" t="s">
        <v>4930</v>
      </c>
      <c r="J382" s="79" t="s">
        <v>4931</v>
      </c>
      <c r="K382" s="79" t="s">
        <v>4932</v>
      </c>
      <c r="L382" s="79"/>
      <c r="M382" s="79"/>
      <c r="N382" s="79"/>
    </row>
    <row r="383" spans="1:14" s="78" customFormat="1" ht="18">
      <c r="A383" s="74">
        <v>1</v>
      </c>
      <c r="B383" s="74" t="s">
        <v>970</v>
      </c>
      <c r="C383" s="74" t="s">
        <v>5476</v>
      </c>
      <c r="D383" s="79" t="s">
        <v>4992</v>
      </c>
      <c r="E383" s="79" t="s">
        <v>3213</v>
      </c>
      <c r="F383" s="79" t="s">
        <v>4993</v>
      </c>
      <c r="G383" s="79" t="s">
        <v>4994</v>
      </c>
      <c r="H383" s="79">
        <v>0</v>
      </c>
      <c r="I383" s="79" t="s">
        <v>4995</v>
      </c>
      <c r="J383" s="79">
        <v>0</v>
      </c>
      <c r="K383" s="79" t="s">
        <v>4996</v>
      </c>
      <c r="L383" s="79"/>
      <c r="M383" s="79"/>
      <c r="N383" s="79"/>
    </row>
    <row r="384" spans="1:14" s="78" customFormat="1" ht="18">
      <c r="A384" s="74">
        <v>2</v>
      </c>
      <c r="B384" s="74" t="s">
        <v>1570</v>
      </c>
      <c r="C384" s="74" t="s">
        <v>5983</v>
      </c>
      <c r="D384" s="79" t="e">
        <v>#N/A</v>
      </c>
      <c r="E384" s="79" t="e">
        <v>#N/A</v>
      </c>
      <c r="F384" s="79" t="e">
        <v>#N/A</v>
      </c>
      <c r="G384" s="79" t="e">
        <v>#N/A</v>
      </c>
      <c r="H384" s="79" t="e">
        <v>#N/A</v>
      </c>
      <c r="I384" s="79" t="e">
        <v>#N/A</v>
      </c>
      <c r="J384" s="79" t="e">
        <v>#N/A</v>
      </c>
      <c r="K384" s="79" t="e">
        <v>#N/A</v>
      </c>
      <c r="L384" s="79"/>
      <c r="M384" s="79"/>
      <c r="N384" s="79"/>
    </row>
    <row r="385" spans="1:14" s="78" customFormat="1" ht="18">
      <c r="A385" s="74">
        <v>3</v>
      </c>
      <c r="B385" s="74" t="s">
        <v>5984</v>
      </c>
      <c r="C385" s="74" t="s">
        <v>5985</v>
      </c>
      <c r="D385" s="79" t="e">
        <v>#N/A</v>
      </c>
      <c r="E385" s="79" t="e">
        <v>#N/A</v>
      </c>
      <c r="F385" s="79" t="e">
        <v>#N/A</v>
      </c>
      <c r="G385" s="79" t="e">
        <v>#N/A</v>
      </c>
      <c r="H385" s="79" t="e">
        <v>#N/A</v>
      </c>
      <c r="I385" s="79" t="e">
        <v>#N/A</v>
      </c>
      <c r="J385" s="79" t="e">
        <v>#N/A</v>
      </c>
      <c r="K385" s="79" t="e">
        <v>#N/A</v>
      </c>
      <c r="L385" s="79"/>
      <c r="M385" s="79"/>
      <c r="N385" s="79"/>
    </row>
    <row r="386" spans="1:14" s="78" customFormat="1" ht="18">
      <c r="A386" s="74">
        <v>4</v>
      </c>
      <c r="B386" s="74" t="s">
        <v>972</v>
      </c>
      <c r="C386" s="74" t="s">
        <v>5477</v>
      </c>
      <c r="D386" s="79" t="s">
        <v>5018</v>
      </c>
      <c r="E386" s="79" t="s">
        <v>3213</v>
      </c>
      <c r="F386" s="79" t="s">
        <v>5019</v>
      </c>
      <c r="G386" s="79" t="s">
        <v>915</v>
      </c>
      <c r="H386" s="79" t="s">
        <v>5020</v>
      </c>
      <c r="I386" s="79" t="s">
        <v>5021</v>
      </c>
      <c r="J386" s="79" t="s">
        <v>5019</v>
      </c>
      <c r="K386" s="79" t="s">
        <v>5022</v>
      </c>
      <c r="L386" s="79"/>
      <c r="M386" s="79"/>
      <c r="N386" s="79"/>
    </row>
    <row r="387" spans="1:14" s="78" customFormat="1" ht="18">
      <c r="A387" s="74">
        <v>5</v>
      </c>
      <c r="B387" s="74" t="s">
        <v>967</v>
      </c>
      <c r="C387" s="74" t="s">
        <v>5986</v>
      </c>
      <c r="D387" s="79" t="s">
        <v>4968</v>
      </c>
      <c r="E387" s="79" t="s">
        <v>3213</v>
      </c>
      <c r="F387" s="79" t="s">
        <v>4969</v>
      </c>
      <c r="G387" s="79" t="s">
        <v>4970</v>
      </c>
      <c r="H387" s="79">
        <v>0</v>
      </c>
      <c r="I387" s="79" t="s">
        <v>4971</v>
      </c>
      <c r="J387" s="79">
        <v>0</v>
      </c>
      <c r="K387" s="79" t="s">
        <v>3231</v>
      </c>
      <c r="L387" s="79"/>
      <c r="M387" s="79"/>
      <c r="N387" s="79"/>
    </row>
    <row r="388" spans="1:14" s="78" customFormat="1" ht="18">
      <c r="A388" s="81">
        <v>6</v>
      </c>
      <c r="B388" s="81" t="s">
        <v>5059</v>
      </c>
      <c r="C388" s="81" t="s">
        <v>5479</v>
      </c>
      <c r="D388" s="79" t="s">
        <v>4089</v>
      </c>
      <c r="E388" s="79" t="s">
        <v>3213</v>
      </c>
      <c r="F388" s="79" t="s">
        <v>5061</v>
      </c>
      <c r="G388" s="79" t="s">
        <v>5062</v>
      </c>
      <c r="H388" s="79">
        <v>0</v>
      </c>
      <c r="I388" s="79" t="s">
        <v>5063</v>
      </c>
      <c r="J388" s="79">
        <v>0</v>
      </c>
      <c r="K388" s="79" t="s">
        <v>5064</v>
      </c>
      <c r="L388" s="79"/>
      <c r="M388" s="79"/>
      <c r="N388" s="79"/>
    </row>
    <row r="389" spans="1:14" s="78" customFormat="1" ht="18">
      <c r="A389" s="74">
        <v>8</v>
      </c>
      <c r="B389" s="74" t="s">
        <v>5987</v>
      </c>
      <c r="C389" s="74" t="s">
        <v>5480</v>
      </c>
      <c r="D389" s="79" t="e">
        <v>#N/A</v>
      </c>
      <c r="E389" s="79" t="e">
        <v>#N/A</v>
      </c>
      <c r="F389" s="79" t="e">
        <v>#N/A</v>
      </c>
      <c r="G389" s="79" t="e">
        <v>#N/A</v>
      </c>
      <c r="H389" s="79" t="e">
        <v>#N/A</v>
      </c>
      <c r="I389" s="79" t="e">
        <v>#N/A</v>
      </c>
      <c r="J389" s="79" t="e">
        <v>#N/A</v>
      </c>
      <c r="K389" s="79" t="e">
        <v>#N/A</v>
      </c>
      <c r="L389" s="79"/>
      <c r="M389" s="79"/>
      <c r="N389" s="79"/>
    </row>
    <row r="390" spans="1:14" s="78" customFormat="1" ht="18">
      <c r="A390" s="74">
        <v>9</v>
      </c>
      <c r="B390" s="74" t="s">
        <v>5988</v>
      </c>
      <c r="C390" s="74" t="s">
        <v>5481</v>
      </c>
      <c r="D390" s="79" t="e">
        <v>#N/A</v>
      </c>
      <c r="E390" s="79" t="e">
        <v>#N/A</v>
      </c>
      <c r="F390" s="79" t="e">
        <v>#N/A</v>
      </c>
      <c r="G390" s="79" t="e">
        <v>#N/A</v>
      </c>
      <c r="H390" s="79" t="e">
        <v>#N/A</v>
      </c>
      <c r="I390" s="79" t="e">
        <v>#N/A</v>
      </c>
      <c r="J390" s="79" t="e">
        <v>#N/A</v>
      </c>
      <c r="K390" s="79" t="e">
        <v>#N/A</v>
      </c>
      <c r="L390" s="79"/>
      <c r="M390" s="79"/>
      <c r="N390" s="79"/>
    </row>
    <row r="391" spans="1:14" s="78" customFormat="1" ht="18">
      <c r="A391" s="74">
        <v>11</v>
      </c>
      <c r="B391" s="74" t="s">
        <v>955</v>
      </c>
      <c r="C391" s="74" t="s">
        <v>5989</v>
      </c>
      <c r="D391" s="79" t="s">
        <v>4581</v>
      </c>
      <c r="E391" s="79" t="s">
        <v>3213</v>
      </c>
      <c r="F391" s="79" t="s">
        <v>4956</v>
      </c>
      <c r="G391" s="79" t="s">
        <v>4957</v>
      </c>
      <c r="H391" s="79" t="s">
        <v>4958</v>
      </c>
      <c r="I391" s="79" t="s">
        <v>4959</v>
      </c>
      <c r="J391" s="79" t="s">
        <v>4956</v>
      </c>
      <c r="K391" s="79" t="s">
        <v>3231</v>
      </c>
      <c r="L391" s="79"/>
      <c r="M391" s="79"/>
      <c r="N391" s="79"/>
    </row>
    <row r="392" spans="1:14" s="78" customFormat="1" ht="18">
      <c r="A392" s="74">
        <v>12</v>
      </c>
      <c r="B392" s="74" t="s">
        <v>965</v>
      </c>
      <c r="C392" s="74" t="s">
        <v>5990</v>
      </c>
      <c r="D392" s="79" t="s">
        <v>4961</v>
      </c>
      <c r="E392" s="79" t="s">
        <v>3213</v>
      </c>
      <c r="F392" s="79" t="s">
        <v>4962</v>
      </c>
      <c r="G392" s="79" t="s">
        <v>4963</v>
      </c>
      <c r="H392" s="79" t="s">
        <v>4964</v>
      </c>
      <c r="I392" s="79" t="s">
        <v>4965</v>
      </c>
      <c r="J392" s="79" t="s">
        <v>4962</v>
      </c>
      <c r="K392" s="79" t="s">
        <v>4966</v>
      </c>
      <c r="L392" s="79"/>
      <c r="M392" s="79"/>
      <c r="N392" s="79"/>
    </row>
    <row r="393" spans="1:14" s="78" customFormat="1" ht="18">
      <c r="A393" s="74">
        <v>13</v>
      </c>
      <c r="B393" s="74" t="s">
        <v>949</v>
      </c>
      <c r="C393" s="74" t="s">
        <v>5991</v>
      </c>
      <c r="D393" s="79" t="s">
        <v>4986</v>
      </c>
      <c r="E393" s="79" t="s">
        <v>3184</v>
      </c>
      <c r="F393" s="79" t="s">
        <v>4987</v>
      </c>
      <c r="G393" s="79" t="s">
        <v>4988</v>
      </c>
      <c r="H393" s="79" t="s">
        <v>4989</v>
      </c>
      <c r="I393" s="79" t="s">
        <v>3680</v>
      </c>
      <c r="J393" s="79" t="s">
        <v>4987</v>
      </c>
      <c r="K393" s="79" t="s">
        <v>4990</v>
      </c>
      <c r="L393" s="79"/>
      <c r="M393" s="79"/>
      <c r="N393" s="79"/>
    </row>
    <row r="394" spans="1:14" s="78" customFormat="1" ht="18">
      <c r="A394" s="74">
        <v>15</v>
      </c>
      <c r="B394" s="74" t="s">
        <v>953</v>
      </c>
      <c r="C394" s="74" t="s">
        <v>5482</v>
      </c>
      <c r="D394" s="79" t="s">
        <v>5079</v>
      </c>
      <c r="E394" s="79" t="s">
        <v>3213</v>
      </c>
      <c r="F394" s="79" t="s">
        <v>5080</v>
      </c>
      <c r="G394" s="79" t="s">
        <v>5081</v>
      </c>
      <c r="H394" s="79">
        <v>0</v>
      </c>
      <c r="I394" s="79" t="s">
        <v>5082</v>
      </c>
      <c r="J394" s="79">
        <v>0</v>
      </c>
      <c r="K394" s="79" t="s">
        <v>3231</v>
      </c>
      <c r="L394" s="79"/>
      <c r="M394" s="79"/>
      <c r="N394" s="79"/>
    </row>
    <row r="395" spans="1:14" s="78" customFormat="1" ht="18">
      <c r="A395" s="74">
        <v>16</v>
      </c>
      <c r="B395" s="74" t="s">
        <v>1000</v>
      </c>
      <c r="C395" s="74" t="s">
        <v>5483</v>
      </c>
      <c r="D395" s="79" t="s">
        <v>5012</v>
      </c>
      <c r="E395" s="79" t="s">
        <v>3184</v>
      </c>
      <c r="F395" s="79" t="s">
        <v>5013</v>
      </c>
      <c r="G395" s="79" t="s">
        <v>5014</v>
      </c>
      <c r="H395" s="79">
        <v>0</v>
      </c>
      <c r="I395" s="79" t="s">
        <v>5015</v>
      </c>
      <c r="J395" s="79">
        <v>0</v>
      </c>
      <c r="K395" s="79" t="s">
        <v>5016</v>
      </c>
      <c r="L395" s="79"/>
      <c r="M395" s="79"/>
      <c r="N395" s="79"/>
    </row>
    <row r="396" spans="1:14" s="78" customFormat="1" ht="18">
      <c r="A396" s="74">
        <v>17</v>
      </c>
      <c r="B396" s="74" t="s">
        <v>5462</v>
      </c>
      <c r="C396" s="74" t="s">
        <v>5484</v>
      </c>
      <c r="D396" s="79" t="e">
        <v>#N/A</v>
      </c>
      <c r="E396" s="79" t="e">
        <v>#N/A</v>
      </c>
      <c r="F396" s="79" t="e">
        <v>#N/A</v>
      </c>
      <c r="G396" s="79" t="e">
        <v>#N/A</v>
      </c>
      <c r="H396" s="79" t="e">
        <v>#N/A</v>
      </c>
      <c r="I396" s="79" t="e">
        <v>#N/A</v>
      </c>
      <c r="J396" s="79" t="e">
        <v>#N/A</v>
      </c>
      <c r="K396" s="79" t="e">
        <v>#N/A</v>
      </c>
      <c r="L396" s="79"/>
      <c r="M396" s="79"/>
      <c r="N396" s="79"/>
    </row>
    <row r="397" spans="1:14" s="78" customFormat="1" ht="18">
      <c r="A397" s="74">
        <v>18</v>
      </c>
      <c r="B397" s="74" t="s">
        <v>1004</v>
      </c>
      <c r="C397" s="74" t="s">
        <v>5485</v>
      </c>
      <c r="D397" s="79" t="s">
        <v>3919</v>
      </c>
      <c r="E397" s="79" t="s">
        <v>3213</v>
      </c>
      <c r="F397" s="79" t="s">
        <v>5073</v>
      </c>
      <c r="G397" s="79" t="s">
        <v>5074</v>
      </c>
      <c r="H397" s="79" t="s">
        <v>5075</v>
      </c>
      <c r="I397" s="79" t="s">
        <v>5076</v>
      </c>
      <c r="J397" s="79" t="s">
        <v>5073</v>
      </c>
      <c r="K397" s="79" t="s">
        <v>5077</v>
      </c>
      <c r="L397" s="79"/>
      <c r="M397" s="79"/>
      <c r="N397" s="79"/>
    </row>
    <row r="398" spans="1:14" s="78" customFormat="1" ht="18">
      <c r="A398" s="74">
        <v>19</v>
      </c>
      <c r="B398" s="74" t="s">
        <v>1002</v>
      </c>
      <c r="C398" s="74" t="s">
        <v>5486</v>
      </c>
      <c r="D398" s="79" t="s">
        <v>4544</v>
      </c>
      <c r="E398" s="79" t="s">
        <v>3213</v>
      </c>
      <c r="F398" s="79" t="s">
        <v>5032</v>
      </c>
      <c r="G398" s="79" t="s">
        <v>5033</v>
      </c>
      <c r="H398" s="79">
        <v>0</v>
      </c>
      <c r="I398" s="79" t="s">
        <v>5034</v>
      </c>
      <c r="J398" s="79" t="s">
        <v>5032</v>
      </c>
      <c r="K398" s="79" t="s">
        <v>4099</v>
      </c>
      <c r="L398" s="79"/>
      <c r="M398" s="79"/>
      <c r="N398" s="79"/>
    </row>
    <row r="399" spans="1:14" s="78" customFormat="1" ht="18">
      <c r="A399" s="74">
        <v>20</v>
      </c>
      <c r="B399" s="74" t="s">
        <v>1006</v>
      </c>
      <c r="C399" s="74" t="s">
        <v>5487</v>
      </c>
      <c r="D399" s="79" t="s">
        <v>3836</v>
      </c>
      <c r="E399" s="79" t="s">
        <v>3184</v>
      </c>
      <c r="F399" s="79" t="s">
        <v>4980</v>
      </c>
      <c r="G399" s="79" t="s">
        <v>4981</v>
      </c>
      <c r="H399" s="79" t="s">
        <v>4982</v>
      </c>
      <c r="I399" s="79" t="s">
        <v>4983</v>
      </c>
      <c r="J399" s="79" t="s">
        <v>4984</v>
      </c>
      <c r="K399" s="79" t="s">
        <v>4333</v>
      </c>
      <c r="L399" s="79"/>
      <c r="M399" s="79"/>
      <c r="N399" s="79"/>
    </row>
    <row r="400" spans="1:14" s="78" customFormat="1" ht="18">
      <c r="A400" s="74">
        <v>21</v>
      </c>
      <c r="B400" s="74" t="s">
        <v>957</v>
      </c>
      <c r="C400" s="74" t="s">
        <v>5488</v>
      </c>
      <c r="D400" s="79" t="s">
        <v>5084</v>
      </c>
      <c r="E400" s="79" t="s">
        <v>3213</v>
      </c>
      <c r="F400" s="79" t="s">
        <v>5085</v>
      </c>
      <c r="G400" s="79" t="s">
        <v>5086</v>
      </c>
      <c r="H400" s="79" t="s">
        <v>5087</v>
      </c>
      <c r="I400" s="79" t="s">
        <v>5088</v>
      </c>
      <c r="J400" s="79" t="s">
        <v>5085</v>
      </c>
      <c r="K400" s="79" t="s">
        <v>5089</v>
      </c>
      <c r="L400" s="79"/>
      <c r="M400" s="79"/>
      <c r="N400" s="79"/>
    </row>
    <row r="401" spans="1:14" s="78" customFormat="1" ht="18">
      <c r="A401" s="74">
        <v>23</v>
      </c>
      <c r="B401" s="74" t="s">
        <v>321</v>
      </c>
      <c r="C401" s="74" t="s">
        <v>5489</v>
      </c>
      <c r="D401" s="79" t="s">
        <v>4940</v>
      </c>
      <c r="E401" s="79" t="s">
        <v>3184</v>
      </c>
      <c r="F401" s="79" t="s">
        <v>4941</v>
      </c>
      <c r="G401" s="79" t="s">
        <v>4942</v>
      </c>
      <c r="H401" s="79" t="s">
        <v>4941</v>
      </c>
      <c r="I401" s="79" t="s">
        <v>4943</v>
      </c>
      <c r="J401" s="79" t="s">
        <v>4944</v>
      </c>
      <c r="K401" s="79" t="s">
        <v>3272</v>
      </c>
      <c r="L401" s="79"/>
      <c r="M401" s="79"/>
      <c r="N401" s="79"/>
    </row>
    <row r="402" spans="1:14" s="78" customFormat="1" ht="18">
      <c r="A402" s="74">
        <v>24</v>
      </c>
      <c r="B402" s="74" t="s">
        <v>990</v>
      </c>
      <c r="C402" s="74" t="s">
        <v>5992</v>
      </c>
      <c r="D402" s="79" t="s">
        <v>4946</v>
      </c>
      <c r="E402" s="79" t="s">
        <v>3184</v>
      </c>
      <c r="F402" s="79" t="s">
        <v>4947</v>
      </c>
      <c r="G402" s="79" t="s">
        <v>270</v>
      </c>
      <c r="H402" s="79" t="s">
        <v>4948</v>
      </c>
      <c r="I402" s="79" t="s">
        <v>4313</v>
      </c>
      <c r="J402" s="79" t="s">
        <v>4949</v>
      </c>
      <c r="K402" s="79" t="s">
        <v>3381</v>
      </c>
      <c r="L402" s="79"/>
      <c r="M402" s="79"/>
      <c r="N402" s="79"/>
    </row>
    <row r="403" spans="1:14" s="78" customFormat="1" ht="18">
      <c r="A403" s="74">
        <v>25</v>
      </c>
      <c r="B403" s="74" t="s">
        <v>974</v>
      </c>
      <c r="C403" s="74" t="s">
        <v>5490</v>
      </c>
      <c r="D403" s="79" t="e">
        <v>#N/A</v>
      </c>
      <c r="E403" s="79" t="e">
        <v>#N/A</v>
      </c>
      <c r="F403" s="79" t="e">
        <v>#N/A</v>
      </c>
      <c r="G403" s="79" t="e">
        <v>#N/A</v>
      </c>
      <c r="H403" s="79" t="e">
        <v>#N/A</v>
      </c>
      <c r="I403" s="79" t="e">
        <v>#N/A</v>
      </c>
      <c r="J403" s="79" t="e">
        <v>#N/A</v>
      </c>
      <c r="K403" s="79" t="e">
        <v>#N/A</v>
      </c>
      <c r="L403" s="79"/>
      <c r="M403" s="79"/>
      <c r="N403" s="79"/>
    </row>
    <row r="404" spans="1:14" s="78" customFormat="1" ht="18">
      <c r="A404" s="74">
        <v>26</v>
      </c>
      <c r="B404" s="74" t="s">
        <v>959</v>
      </c>
      <c r="C404" s="74" t="s">
        <v>5491</v>
      </c>
      <c r="D404" s="79" t="s">
        <v>4973</v>
      </c>
      <c r="E404" s="79" t="s">
        <v>3184</v>
      </c>
      <c r="F404" s="79" t="s">
        <v>4974</v>
      </c>
      <c r="G404" s="79" t="s">
        <v>4975</v>
      </c>
      <c r="H404" s="79" t="s">
        <v>4974</v>
      </c>
      <c r="I404" s="79" t="s">
        <v>4976</v>
      </c>
      <c r="J404" s="79" t="s">
        <v>4977</v>
      </c>
      <c r="K404" s="79" t="s">
        <v>4978</v>
      </c>
      <c r="L404" s="79"/>
      <c r="M404" s="79"/>
      <c r="N404" s="79"/>
    </row>
    <row r="405" spans="1:14" s="78" customFormat="1" ht="18">
      <c r="A405" s="74">
        <v>27</v>
      </c>
      <c r="B405" s="74" t="s">
        <v>996</v>
      </c>
      <c r="C405" s="74" t="s">
        <v>5492</v>
      </c>
      <c r="D405" s="79" t="s">
        <v>4951</v>
      </c>
      <c r="E405" s="79" t="s">
        <v>3184</v>
      </c>
      <c r="F405" s="79" t="s">
        <v>4952</v>
      </c>
      <c r="G405" s="79" t="s">
        <v>4953</v>
      </c>
      <c r="H405" s="79">
        <v>0</v>
      </c>
      <c r="I405" s="79" t="s">
        <v>4954</v>
      </c>
      <c r="J405" s="79">
        <v>0</v>
      </c>
      <c r="K405" s="79" t="s">
        <v>3618</v>
      </c>
      <c r="L405" s="79"/>
      <c r="M405" s="79"/>
      <c r="N405" s="79"/>
    </row>
    <row r="406" spans="1:14" s="78" customFormat="1" ht="18">
      <c r="A406" s="74">
        <v>28</v>
      </c>
      <c r="B406" s="74" t="s">
        <v>976</v>
      </c>
      <c r="C406" s="74" t="s">
        <v>5493</v>
      </c>
      <c r="D406" s="79" t="e">
        <v>#N/A</v>
      </c>
      <c r="E406" s="79" t="e">
        <v>#N/A</v>
      </c>
      <c r="F406" s="79" t="e">
        <v>#N/A</v>
      </c>
      <c r="G406" s="79" t="e">
        <v>#N/A</v>
      </c>
      <c r="H406" s="79" t="e">
        <v>#N/A</v>
      </c>
      <c r="I406" s="79" t="e">
        <v>#N/A</v>
      </c>
      <c r="J406" s="79" t="e">
        <v>#N/A</v>
      </c>
      <c r="K406" s="79" t="e">
        <v>#N/A</v>
      </c>
      <c r="L406" s="79"/>
      <c r="M406" s="79"/>
      <c r="N406" s="79"/>
    </row>
    <row r="407" spans="1:14" s="78" customFormat="1" ht="18">
      <c r="A407" s="74">
        <v>30</v>
      </c>
      <c r="B407" s="74" t="s">
        <v>998</v>
      </c>
      <c r="C407" s="74" t="s">
        <v>5494</v>
      </c>
      <c r="D407" s="79" t="s">
        <v>4998</v>
      </c>
      <c r="E407" s="79" t="s">
        <v>3184</v>
      </c>
      <c r="F407" s="79" t="s">
        <v>4999</v>
      </c>
      <c r="G407" s="79" t="s">
        <v>5000</v>
      </c>
      <c r="H407" s="79" t="s">
        <v>4999</v>
      </c>
      <c r="I407" s="79" t="s">
        <v>5001</v>
      </c>
      <c r="J407" s="79" t="s">
        <v>5002</v>
      </c>
      <c r="K407" s="79" t="s">
        <v>5003</v>
      </c>
      <c r="L407" s="79"/>
      <c r="M407" s="79"/>
      <c r="N407" s="79"/>
    </row>
    <row r="408" spans="1:14" s="78" customFormat="1" ht="18">
      <c r="A408" s="74">
        <v>31</v>
      </c>
      <c r="B408" s="74" t="s">
        <v>1015</v>
      </c>
      <c r="C408" s="74" t="s">
        <v>5495</v>
      </c>
      <c r="D408" s="79" t="e">
        <v>#N/A</v>
      </c>
      <c r="E408" s="79" t="e">
        <v>#N/A</v>
      </c>
      <c r="F408" s="79" t="e">
        <v>#N/A</v>
      </c>
      <c r="G408" s="79" t="e">
        <v>#N/A</v>
      </c>
      <c r="H408" s="79" t="e">
        <v>#N/A</v>
      </c>
      <c r="I408" s="79" t="e">
        <v>#N/A</v>
      </c>
      <c r="J408" s="79" t="e">
        <v>#N/A</v>
      </c>
      <c r="K408" s="79" t="e">
        <v>#N/A</v>
      </c>
      <c r="L408" s="79"/>
      <c r="M408" s="79"/>
      <c r="N408" s="79"/>
    </row>
    <row r="409" spans="1:14" s="78" customFormat="1" ht="18">
      <c r="A409" s="74">
        <v>33</v>
      </c>
      <c r="B409" s="74" t="s">
        <v>951</v>
      </c>
      <c r="C409" s="74" t="s">
        <v>5496</v>
      </c>
      <c r="D409" s="79">
        <v>0</v>
      </c>
      <c r="E409" s="79">
        <v>0</v>
      </c>
      <c r="F409" s="79">
        <v>0</v>
      </c>
      <c r="G409" s="79">
        <v>0</v>
      </c>
      <c r="H409" s="79">
        <v>0</v>
      </c>
      <c r="I409" s="79">
        <v>0</v>
      </c>
      <c r="J409" s="79">
        <v>0</v>
      </c>
      <c r="K409" s="79">
        <v>0</v>
      </c>
      <c r="L409" s="79"/>
      <c r="M409" s="79"/>
      <c r="N409" s="79"/>
    </row>
    <row r="410" spans="1:14" s="78" customFormat="1" ht="18">
      <c r="A410" s="74">
        <v>34</v>
      </c>
      <c r="B410" s="74" t="s">
        <v>961</v>
      </c>
      <c r="C410" s="74" t="s">
        <v>5993</v>
      </c>
      <c r="D410" s="79">
        <v>0</v>
      </c>
      <c r="E410" s="79">
        <v>0</v>
      </c>
      <c r="F410" s="79">
        <v>0</v>
      </c>
      <c r="G410" s="79">
        <v>0</v>
      </c>
      <c r="H410" s="79">
        <v>0</v>
      </c>
      <c r="I410" s="79">
        <v>0</v>
      </c>
      <c r="J410" s="79">
        <v>0</v>
      </c>
      <c r="K410" s="79">
        <v>0</v>
      </c>
      <c r="L410" s="79"/>
      <c r="M410" s="79"/>
      <c r="N410" s="79"/>
    </row>
    <row r="411" spans="1:14" s="78" customFormat="1" ht="18">
      <c r="A411" s="74">
        <v>35</v>
      </c>
      <c r="B411" s="74" t="s">
        <v>963</v>
      </c>
      <c r="C411" s="74" t="s">
        <v>5497</v>
      </c>
      <c r="D411" s="79">
        <v>0</v>
      </c>
      <c r="E411" s="79">
        <v>0</v>
      </c>
      <c r="F411" s="79">
        <v>0</v>
      </c>
      <c r="G411" s="79">
        <v>0</v>
      </c>
      <c r="H411" s="79">
        <v>0</v>
      </c>
      <c r="I411" s="79">
        <v>0</v>
      </c>
      <c r="J411" s="79">
        <v>0</v>
      </c>
      <c r="K411" s="79">
        <v>0</v>
      </c>
      <c r="L411" s="79"/>
      <c r="M411" s="79"/>
      <c r="N411" s="79"/>
    </row>
    <row r="412" spans="1:14" s="78" customFormat="1" ht="18">
      <c r="A412" s="74">
        <v>36</v>
      </c>
      <c r="B412" s="74" t="s">
        <v>978</v>
      </c>
      <c r="C412" s="74" t="s">
        <v>5994</v>
      </c>
      <c r="D412" s="79">
        <v>0</v>
      </c>
      <c r="E412" s="79">
        <v>0</v>
      </c>
      <c r="F412" s="79">
        <v>0</v>
      </c>
      <c r="G412" s="79">
        <v>0</v>
      </c>
      <c r="H412" s="79">
        <v>0</v>
      </c>
      <c r="I412" s="79">
        <v>0</v>
      </c>
      <c r="J412" s="79">
        <v>0</v>
      </c>
      <c r="K412" s="79">
        <v>0</v>
      </c>
      <c r="L412" s="79"/>
      <c r="M412" s="79"/>
      <c r="N412" s="79"/>
    </row>
    <row r="413" spans="1:14" s="78" customFormat="1" ht="18">
      <c r="A413" s="74">
        <v>37</v>
      </c>
      <c r="B413" s="74" t="s">
        <v>980</v>
      </c>
      <c r="C413" s="74" t="s">
        <v>5995</v>
      </c>
      <c r="D413" s="79">
        <v>0</v>
      </c>
      <c r="E413" s="79">
        <v>0</v>
      </c>
      <c r="F413" s="79">
        <v>0</v>
      </c>
      <c r="G413" s="79">
        <v>0</v>
      </c>
      <c r="H413" s="79">
        <v>0</v>
      </c>
      <c r="I413" s="79">
        <v>0</v>
      </c>
      <c r="J413" s="79">
        <v>0</v>
      </c>
      <c r="K413" s="79">
        <v>0</v>
      </c>
      <c r="L413" s="79"/>
      <c r="M413" s="79"/>
      <c r="N413" s="79"/>
    </row>
    <row r="414" spans="1:14" s="78" customFormat="1" ht="18">
      <c r="A414" s="74">
        <v>38</v>
      </c>
      <c r="B414" s="74" t="s">
        <v>982</v>
      </c>
      <c r="C414" s="74" t="s">
        <v>5996</v>
      </c>
      <c r="D414" s="79">
        <v>0</v>
      </c>
      <c r="E414" s="79">
        <v>0</v>
      </c>
      <c r="F414" s="79">
        <v>0</v>
      </c>
      <c r="G414" s="79">
        <v>0</v>
      </c>
      <c r="H414" s="79">
        <v>0</v>
      </c>
      <c r="I414" s="79">
        <v>0</v>
      </c>
      <c r="J414" s="79">
        <v>0</v>
      </c>
      <c r="K414" s="79">
        <v>0</v>
      </c>
      <c r="L414" s="79"/>
      <c r="M414" s="79"/>
      <c r="N414" s="79"/>
    </row>
    <row r="415" spans="1:14" s="78" customFormat="1" ht="18">
      <c r="A415" s="74">
        <v>2</v>
      </c>
      <c r="B415" s="74" t="s">
        <v>1008</v>
      </c>
      <c r="C415" s="74" t="s">
        <v>5498</v>
      </c>
      <c r="D415" s="79" t="s">
        <v>4992</v>
      </c>
      <c r="E415" s="79" t="s">
        <v>3213</v>
      </c>
      <c r="F415" s="79" t="s">
        <v>5098</v>
      </c>
      <c r="G415" s="79" t="s">
        <v>5099</v>
      </c>
      <c r="H415" s="79">
        <v>0</v>
      </c>
      <c r="I415" s="79" t="s">
        <v>3943</v>
      </c>
      <c r="J415" s="79" t="s">
        <v>5098</v>
      </c>
      <c r="K415" s="79" t="s">
        <v>4679</v>
      </c>
      <c r="L415" s="79"/>
      <c r="M415" s="79"/>
      <c r="N415" s="79"/>
    </row>
    <row r="416" spans="1:14" s="78" customFormat="1" ht="18">
      <c r="A416" s="74">
        <v>3</v>
      </c>
      <c r="B416" s="74" t="s">
        <v>1029</v>
      </c>
      <c r="C416" s="74" t="s">
        <v>5997</v>
      </c>
      <c r="D416" s="79" t="s">
        <v>5211</v>
      </c>
      <c r="E416" s="79" t="s">
        <v>3213</v>
      </c>
      <c r="F416" s="79" t="s">
        <v>5212</v>
      </c>
      <c r="G416" s="79" t="s">
        <v>5213</v>
      </c>
      <c r="H416" s="79" t="s">
        <v>5214</v>
      </c>
      <c r="I416" s="79" t="s">
        <v>5215</v>
      </c>
      <c r="J416" s="79" t="s">
        <v>5216</v>
      </c>
      <c r="K416" s="79" t="s">
        <v>5217</v>
      </c>
      <c r="L416" s="79"/>
      <c r="M416" s="79"/>
      <c r="N416" s="79"/>
    </row>
    <row r="417" spans="1:14" s="78" customFormat="1" ht="18">
      <c r="A417" s="74">
        <v>6</v>
      </c>
      <c r="B417" s="74" t="s">
        <v>1039</v>
      </c>
      <c r="C417" s="74" t="s">
        <v>5998</v>
      </c>
      <c r="D417" s="79" t="s">
        <v>5105</v>
      </c>
      <c r="E417" s="79" t="s">
        <v>3213</v>
      </c>
      <c r="F417" s="79" t="s">
        <v>5106</v>
      </c>
      <c r="G417" s="79" t="s">
        <v>5107</v>
      </c>
      <c r="H417" s="79" t="s">
        <v>5108</v>
      </c>
      <c r="I417" s="79" t="s">
        <v>5109</v>
      </c>
      <c r="J417" s="79" t="s">
        <v>5106</v>
      </c>
      <c r="K417" s="79" t="s">
        <v>3278</v>
      </c>
      <c r="L417" s="79"/>
      <c r="M417" s="79"/>
      <c r="N417" s="79"/>
    </row>
    <row r="418" spans="1:14" s="78" customFormat="1" ht="18">
      <c r="A418" s="74">
        <v>7</v>
      </c>
      <c r="B418" s="74" t="s">
        <v>1047</v>
      </c>
      <c r="C418" s="74" t="s">
        <v>5999</v>
      </c>
      <c r="D418" s="79" t="s">
        <v>6000</v>
      </c>
      <c r="E418" s="79" t="s">
        <v>3184</v>
      </c>
      <c r="F418" s="79" t="s">
        <v>6001</v>
      </c>
      <c r="G418" s="79" t="s">
        <v>6002</v>
      </c>
      <c r="H418" s="79" t="s">
        <v>6003</v>
      </c>
      <c r="I418" s="79" t="s">
        <v>6004</v>
      </c>
      <c r="J418" s="79" t="s">
        <v>6005</v>
      </c>
      <c r="K418" s="79" t="s">
        <v>4649</v>
      </c>
      <c r="L418" s="79"/>
      <c r="M418" s="79"/>
      <c r="N418" s="79"/>
    </row>
    <row r="419" spans="1:14" s="78" customFormat="1" ht="18">
      <c r="A419" s="74">
        <v>10</v>
      </c>
      <c r="B419" s="74" t="s">
        <v>1049</v>
      </c>
      <c r="C419" s="74" t="s">
        <v>6006</v>
      </c>
      <c r="D419" s="79" t="s">
        <v>5158</v>
      </c>
      <c r="E419" s="79" t="s">
        <v>3213</v>
      </c>
      <c r="F419" s="79" t="s">
        <v>5159</v>
      </c>
      <c r="G419" s="79" t="s">
        <v>5160</v>
      </c>
      <c r="H419" s="79">
        <v>0</v>
      </c>
      <c r="I419" s="79" t="s">
        <v>5161</v>
      </c>
      <c r="J419" s="79" t="s">
        <v>5159</v>
      </c>
      <c r="K419" s="79" t="s">
        <v>4333</v>
      </c>
      <c r="L419" s="79"/>
      <c r="M419" s="79"/>
      <c r="N419" s="79"/>
    </row>
    <row r="420" spans="1:14" s="78" customFormat="1" ht="18">
      <c r="A420" s="74">
        <v>11</v>
      </c>
      <c r="B420" s="74" t="s">
        <v>1027</v>
      </c>
      <c r="C420" s="74" t="s">
        <v>6007</v>
      </c>
      <c r="D420" s="79" t="s">
        <v>4353</v>
      </c>
      <c r="E420" s="79" t="s">
        <v>3213</v>
      </c>
      <c r="F420" s="79" t="s">
        <v>5198</v>
      </c>
      <c r="G420" s="79" t="s">
        <v>5199</v>
      </c>
      <c r="H420" s="79" t="s">
        <v>5200</v>
      </c>
      <c r="I420" s="79" t="s">
        <v>4631</v>
      </c>
      <c r="J420" s="79" t="s">
        <v>5198</v>
      </c>
      <c r="K420" s="79" t="s">
        <v>4010</v>
      </c>
      <c r="L420" s="79"/>
      <c r="M420" s="79"/>
      <c r="N420" s="79"/>
    </row>
    <row r="421" spans="1:14" s="78" customFormat="1" ht="18">
      <c r="A421" s="74">
        <v>12</v>
      </c>
      <c r="B421" s="74" t="s">
        <v>1043</v>
      </c>
      <c r="C421" s="74" t="s">
        <v>6008</v>
      </c>
      <c r="D421" s="79" t="s">
        <v>5132</v>
      </c>
      <c r="E421" s="79" t="s">
        <v>3184</v>
      </c>
      <c r="F421" s="79" t="s">
        <v>5133</v>
      </c>
      <c r="G421" s="79" t="s">
        <v>5134</v>
      </c>
      <c r="H421" s="79">
        <v>0</v>
      </c>
      <c r="I421" s="79" t="s">
        <v>5135</v>
      </c>
      <c r="J421" s="79">
        <v>0</v>
      </c>
      <c r="K421" s="79" t="s">
        <v>4345</v>
      </c>
      <c r="L421" s="79"/>
      <c r="M421" s="79"/>
      <c r="N421" s="79"/>
    </row>
    <row r="422" spans="1:14" s="78" customFormat="1" ht="18">
      <c r="A422" s="74">
        <v>13</v>
      </c>
      <c r="B422" s="74" t="s">
        <v>5173</v>
      </c>
      <c r="C422" s="74" t="s">
        <v>6009</v>
      </c>
      <c r="D422" s="79" t="s">
        <v>3900</v>
      </c>
      <c r="E422" s="79" t="s">
        <v>3213</v>
      </c>
      <c r="F422" s="79" t="s">
        <v>5175</v>
      </c>
      <c r="G422" s="79" t="s">
        <v>5176</v>
      </c>
      <c r="H422" s="79" t="s">
        <v>5177</v>
      </c>
      <c r="I422" s="79" t="s">
        <v>5178</v>
      </c>
      <c r="J422" s="79" t="s">
        <v>5175</v>
      </c>
      <c r="K422" s="79" t="s">
        <v>3278</v>
      </c>
      <c r="L422" s="79"/>
      <c r="M422" s="79"/>
      <c r="N422" s="79"/>
    </row>
    <row r="423" spans="1:14" s="78" customFormat="1" ht="18">
      <c r="A423" s="74">
        <v>14</v>
      </c>
      <c r="B423" s="74" t="s">
        <v>1031</v>
      </c>
      <c r="C423" s="74" t="s">
        <v>6010</v>
      </c>
      <c r="D423" s="79" t="s">
        <v>5125</v>
      </c>
      <c r="E423" s="79" t="s">
        <v>3184</v>
      </c>
      <c r="F423" s="79" t="s">
        <v>5126</v>
      </c>
      <c r="G423" s="79" t="s">
        <v>5127</v>
      </c>
      <c r="H423" s="79" t="s">
        <v>5128</v>
      </c>
      <c r="I423" s="79" t="s">
        <v>5129</v>
      </c>
      <c r="J423" s="79" t="s">
        <v>5126</v>
      </c>
      <c r="K423" s="79" t="s">
        <v>5130</v>
      </c>
      <c r="L423" s="79"/>
      <c r="M423" s="79"/>
      <c r="N423" s="79"/>
    </row>
    <row r="424" spans="1:14" s="78" customFormat="1" ht="18">
      <c r="A424" s="74">
        <v>15</v>
      </c>
      <c r="B424" s="74" t="s">
        <v>1045</v>
      </c>
      <c r="C424" s="74" t="s">
        <v>6011</v>
      </c>
      <c r="D424" s="79" t="s">
        <v>3799</v>
      </c>
      <c r="E424" s="79" t="s">
        <v>3184</v>
      </c>
      <c r="F424" s="79" t="s">
        <v>5137</v>
      </c>
      <c r="G424" s="79" t="s">
        <v>5138</v>
      </c>
      <c r="H424" s="79">
        <v>0</v>
      </c>
      <c r="I424" s="79" t="s">
        <v>5139</v>
      </c>
      <c r="J424" s="79">
        <v>0</v>
      </c>
      <c r="K424" s="79" t="s">
        <v>5140</v>
      </c>
      <c r="L424" s="79"/>
      <c r="M424" s="79"/>
      <c r="N424" s="79"/>
    </row>
    <row r="425" spans="1:14" s="78" customFormat="1" ht="18">
      <c r="A425" s="74">
        <v>16</v>
      </c>
      <c r="B425" s="74" t="s">
        <v>1011</v>
      </c>
      <c r="C425" s="74" t="s">
        <v>6012</v>
      </c>
      <c r="D425" s="79" t="s">
        <v>4503</v>
      </c>
      <c r="E425" s="79" t="s">
        <v>3184</v>
      </c>
      <c r="F425" s="79" t="s">
        <v>5168</v>
      </c>
      <c r="G425" s="79" t="s">
        <v>5169</v>
      </c>
      <c r="H425" s="79" t="s">
        <v>5170</v>
      </c>
      <c r="I425" s="79" t="s">
        <v>5171</v>
      </c>
      <c r="J425" s="79" t="s">
        <v>5168</v>
      </c>
      <c r="K425" s="79" t="s">
        <v>5172</v>
      </c>
      <c r="L425" s="79"/>
      <c r="M425" s="79"/>
      <c r="N425" s="79"/>
    </row>
    <row r="426" spans="1:14" s="78" customFormat="1" ht="18">
      <c r="A426" s="74">
        <v>17</v>
      </c>
      <c r="B426" s="74" t="s">
        <v>1051</v>
      </c>
      <c r="C426" s="74" t="s">
        <v>6013</v>
      </c>
      <c r="D426" s="79" t="s">
        <v>3960</v>
      </c>
      <c r="E426" s="79" t="s">
        <v>3184</v>
      </c>
      <c r="F426" s="79" t="s">
        <v>5163</v>
      </c>
      <c r="G426" s="79" t="s">
        <v>5164</v>
      </c>
      <c r="H426" s="79" t="s">
        <v>5165</v>
      </c>
      <c r="I426" s="79" t="s">
        <v>5166</v>
      </c>
      <c r="J426" s="79" t="s">
        <v>5163</v>
      </c>
      <c r="K426" s="79" t="s">
        <v>3231</v>
      </c>
      <c r="L426" s="79"/>
      <c r="M426" s="79"/>
      <c r="N426" s="79"/>
    </row>
    <row r="427" spans="1:14" s="78" customFormat="1" ht="18">
      <c r="A427" s="74">
        <v>18</v>
      </c>
      <c r="B427" s="74" t="s">
        <v>1025</v>
      </c>
      <c r="C427" s="74" t="s">
        <v>6014</v>
      </c>
      <c r="D427" s="79" t="s">
        <v>5205</v>
      </c>
      <c r="E427" s="79" t="s">
        <v>3184</v>
      </c>
      <c r="F427" s="79" t="s">
        <v>5206</v>
      </c>
      <c r="G427" s="79" t="s">
        <v>5207</v>
      </c>
      <c r="H427" s="79" t="s">
        <v>5208</v>
      </c>
      <c r="I427" s="79" t="s">
        <v>5209</v>
      </c>
      <c r="J427" s="79" t="s">
        <v>5206</v>
      </c>
      <c r="K427" s="79" t="s">
        <v>5172</v>
      </c>
      <c r="L427" s="79"/>
      <c r="M427" s="79"/>
      <c r="N427" s="79"/>
    </row>
    <row r="428" spans="1:14" s="78" customFormat="1" ht="18">
      <c r="A428" s="74">
        <v>19</v>
      </c>
      <c r="B428" s="74" t="s">
        <v>1041</v>
      </c>
      <c r="C428" s="74" t="s">
        <v>6015</v>
      </c>
      <c r="D428" s="79" t="s">
        <v>6016</v>
      </c>
      <c r="E428" s="79" t="s">
        <v>3184</v>
      </c>
      <c r="F428" s="79" t="s">
        <v>6017</v>
      </c>
      <c r="G428" s="79" t="s">
        <v>6018</v>
      </c>
      <c r="H428" s="79">
        <v>0</v>
      </c>
      <c r="I428" s="79" t="s">
        <v>6019</v>
      </c>
      <c r="J428" s="79">
        <v>0</v>
      </c>
      <c r="K428" s="79" t="s">
        <v>4673</v>
      </c>
      <c r="L428" s="79"/>
      <c r="M428" s="79"/>
      <c r="N428" s="79"/>
    </row>
    <row r="429" spans="1:14" s="78" customFormat="1" ht="18">
      <c r="A429" s="74">
        <v>20</v>
      </c>
      <c r="B429" s="74" t="s">
        <v>1021</v>
      </c>
      <c r="C429" s="74" t="s">
        <v>6020</v>
      </c>
      <c r="D429" s="79" t="s">
        <v>5187</v>
      </c>
      <c r="E429" s="79" t="s">
        <v>3213</v>
      </c>
      <c r="F429" s="79" t="s">
        <v>5188</v>
      </c>
      <c r="G429" s="79" t="s">
        <v>5189</v>
      </c>
      <c r="H429" s="79" t="s">
        <v>5190</v>
      </c>
      <c r="I429" s="79" t="s">
        <v>5191</v>
      </c>
      <c r="J429" s="79" t="s">
        <v>5188</v>
      </c>
      <c r="K429" s="79" t="s">
        <v>3432</v>
      </c>
      <c r="L429" s="79"/>
      <c r="M429" s="79"/>
      <c r="N429" s="79"/>
    </row>
    <row r="430" spans="1:14" s="78" customFormat="1" ht="18">
      <c r="A430" s="74">
        <v>21</v>
      </c>
      <c r="B430" s="74" t="s">
        <v>1015</v>
      </c>
      <c r="C430" s="74" t="s">
        <v>6021</v>
      </c>
      <c r="D430" s="79" t="s">
        <v>5228</v>
      </c>
      <c r="E430" s="79" t="s">
        <v>3213</v>
      </c>
      <c r="F430" s="79" t="s">
        <v>6022</v>
      </c>
      <c r="G430" s="79" t="s">
        <v>6023</v>
      </c>
      <c r="H430" s="79">
        <v>0</v>
      </c>
      <c r="I430" s="79" t="s">
        <v>6024</v>
      </c>
      <c r="J430" s="79">
        <v>0</v>
      </c>
      <c r="K430" s="79" t="s">
        <v>3231</v>
      </c>
      <c r="L430" s="79"/>
      <c r="M430" s="79"/>
      <c r="N430" s="79"/>
    </row>
    <row r="431" spans="1:14" s="78" customFormat="1" ht="18">
      <c r="A431" s="74">
        <v>22</v>
      </c>
      <c r="B431" s="74" t="s">
        <v>1017</v>
      </c>
      <c r="C431" s="74" t="s">
        <v>6025</v>
      </c>
      <c r="D431" s="79" t="s">
        <v>5180</v>
      </c>
      <c r="E431" s="79" t="s">
        <v>3184</v>
      </c>
      <c r="F431" s="79" t="s">
        <v>5181</v>
      </c>
      <c r="G431" s="79" t="s">
        <v>5182</v>
      </c>
      <c r="H431" s="79" t="s">
        <v>5183</v>
      </c>
      <c r="I431" s="79" t="s">
        <v>5184</v>
      </c>
      <c r="J431" s="79" t="s">
        <v>5181</v>
      </c>
      <c r="K431" s="79" t="s">
        <v>5185</v>
      </c>
      <c r="L431" s="79"/>
      <c r="M431" s="79"/>
      <c r="N431" s="79"/>
    </row>
    <row r="432" spans="1:14" s="78" customFormat="1" ht="18">
      <c r="A432" s="74">
        <v>23</v>
      </c>
      <c r="B432" s="74" t="s">
        <v>1019</v>
      </c>
      <c r="C432" s="74" t="s">
        <v>6026</v>
      </c>
      <c r="D432" s="79" t="s">
        <v>5132</v>
      </c>
      <c r="E432" s="79" t="s">
        <v>3184</v>
      </c>
      <c r="F432" s="79" t="s">
        <v>6027</v>
      </c>
      <c r="G432" s="79" t="s">
        <v>6028</v>
      </c>
      <c r="H432" s="79" t="s">
        <v>6029</v>
      </c>
      <c r="I432" s="79" t="s">
        <v>6030</v>
      </c>
      <c r="J432" s="79" t="s">
        <v>6027</v>
      </c>
      <c r="K432" s="79" t="s">
        <v>4467</v>
      </c>
      <c r="L432" s="79"/>
      <c r="M432" s="79"/>
      <c r="N432" s="79"/>
    </row>
    <row r="433" spans="1:14" s="78" customFormat="1" ht="18">
      <c r="A433" s="74">
        <v>24</v>
      </c>
      <c r="B433" s="74" t="s">
        <v>1023</v>
      </c>
      <c r="C433" s="74" t="s">
        <v>6031</v>
      </c>
      <c r="D433" s="79" t="s">
        <v>4694</v>
      </c>
      <c r="E433" s="79" t="s">
        <v>3184</v>
      </c>
      <c r="F433" s="79" t="s">
        <v>5202</v>
      </c>
      <c r="G433" s="79" t="s">
        <v>5203</v>
      </c>
      <c r="H433" s="79">
        <v>0</v>
      </c>
      <c r="I433" s="79" t="s">
        <v>4222</v>
      </c>
      <c r="J433" s="79">
        <v>0</v>
      </c>
      <c r="K433" s="79" t="s">
        <v>3909</v>
      </c>
      <c r="L433" s="79"/>
      <c r="M433" s="79"/>
      <c r="N433" s="79"/>
    </row>
    <row r="434" spans="1:14" s="78" customFormat="1" ht="18">
      <c r="A434" s="74">
        <v>1</v>
      </c>
      <c r="B434" s="74" t="s">
        <v>1065</v>
      </c>
      <c r="C434" s="74" t="s">
        <v>5499</v>
      </c>
      <c r="D434" s="79" t="s">
        <v>5241</v>
      </c>
      <c r="E434" s="79" t="s">
        <v>3213</v>
      </c>
      <c r="F434" s="79" t="s">
        <v>5242</v>
      </c>
      <c r="G434" s="79" t="s">
        <v>5243</v>
      </c>
      <c r="H434" s="79" t="s">
        <v>5244</v>
      </c>
      <c r="I434" s="79" t="s">
        <v>5245</v>
      </c>
      <c r="J434" s="79" t="s">
        <v>5242</v>
      </c>
      <c r="K434" s="79" t="s">
        <v>4099</v>
      </c>
      <c r="L434" s="79"/>
      <c r="M434" s="79"/>
      <c r="N434" s="79"/>
    </row>
    <row r="435" spans="1:14" s="78" customFormat="1" ht="18">
      <c r="A435" s="74">
        <v>1</v>
      </c>
      <c r="B435" s="74" t="s">
        <v>1058</v>
      </c>
      <c r="C435" s="74" t="s">
        <v>5505</v>
      </c>
      <c r="D435" s="79" t="e">
        <v>#N/A</v>
      </c>
      <c r="E435" s="79" t="e">
        <v>#N/A</v>
      </c>
      <c r="F435" s="79" t="e">
        <v>#N/A</v>
      </c>
      <c r="G435" s="79" t="e">
        <v>#N/A</v>
      </c>
      <c r="H435" s="79" t="e">
        <v>#N/A</v>
      </c>
      <c r="I435" s="79" t="e">
        <v>#N/A</v>
      </c>
      <c r="J435" s="79" t="e">
        <v>#N/A</v>
      </c>
      <c r="K435" s="79" t="e">
        <v>#N/A</v>
      </c>
      <c r="L435" s="79"/>
      <c r="M435" s="79"/>
      <c r="N435" s="79"/>
    </row>
    <row r="436" spans="1:14" s="78" customFormat="1" ht="18">
      <c r="A436" s="74">
        <v>2</v>
      </c>
      <c r="B436" s="74" t="s">
        <v>6032</v>
      </c>
      <c r="C436" s="74" t="s">
        <v>5506</v>
      </c>
      <c r="D436" s="79" t="e">
        <v>#N/A</v>
      </c>
      <c r="E436" s="79" t="e">
        <v>#N/A</v>
      </c>
      <c r="F436" s="79" t="e">
        <v>#N/A</v>
      </c>
      <c r="G436" s="79" t="e">
        <v>#N/A</v>
      </c>
      <c r="H436" s="79" t="e">
        <v>#N/A</v>
      </c>
      <c r="I436" s="79" t="e">
        <v>#N/A</v>
      </c>
      <c r="J436" s="79" t="e">
        <v>#N/A</v>
      </c>
      <c r="K436" s="79" t="e">
        <v>#N/A</v>
      </c>
      <c r="L436" s="79"/>
      <c r="M436" s="79"/>
      <c r="N436" s="79"/>
    </row>
    <row r="437" spans="1:14" s="78" customFormat="1" ht="18">
      <c r="A437" s="74">
        <v>3</v>
      </c>
      <c r="B437" s="74" t="s">
        <v>1101</v>
      </c>
      <c r="C437" s="74" t="s">
        <v>5507</v>
      </c>
      <c r="D437" s="79" t="s">
        <v>5258</v>
      </c>
      <c r="E437" s="79">
        <v>0</v>
      </c>
      <c r="F437" s="79" t="s">
        <v>5259</v>
      </c>
      <c r="G437" s="79">
        <v>0</v>
      </c>
      <c r="H437" s="79">
        <v>0</v>
      </c>
      <c r="I437" s="79">
        <v>0</v>
      </c>
      <c r="J437" s="79">
        <v>0</v>
      </c>
      <c r="K437" s="79" t="s">
        <v>3426</v>
      </c>
      <c r="L437" s="79"/>
      <c r="M437" s="79"/>
      <c r="N437" s="79"/>
    </row>
    <row r="438" spans="1:14" s="78" customFormat="1" ht="18">
      <c r="A438" s="74">
        <v>4</v>
      </c>
      <c r="B438" s="74" t="s">
        <v>1097</v>
      </c>
      <c r="C438" s="74" t="s">
        <v>5508</v>
      </c>
      <c r="D438" s="79" t="s">
        <v>5253</v>
      </c>
      <c r="E438" s="79">
        <v>0</v>
      </c>
      <c r="F438" s="79" t="s">
        <v>5254</v>
      </c>
      <c r="G438" s="79">
        <v>0</v>
      </c>
      <c r="H438" s="79">
        <v>0</v>
      </c>
      <c r="I438" s="79">
        <v>0</v>
      </c>
      <c r="J438" s="79">
        <v>0</v>
      </c>
      <c r="K438" s="79" t="s">
        <v>4990</v>
      </c>
      <c r="L438" s="79"/>
      <c r="M438" s="79"/>
      <c r="N438" s="79"/>
    </row>
    <row r="439" spans="1:14" s="78" customFormat="1" ht="18">
      <c r="A439" s="74">
        <v>5</v>
      </c>
      <c r="B439" s="74" t="s">
        <v>1088</v>
      </c>
      <c r="C439" s="74" t="s">
        <v>5509</v>
      </c>
      <c r="D439" s="79" t="s">
        <v>5279</v>
      </c>
      <c r="E439" s="79">
        <v>0</v>
      </c>
      <c r="F439" s="79" t="s">
        <v>5280</v>
      </c>
      <c r="G439" s="79">
        <v>0</v>
      </c>
      <c r="H439" s="79">
        <v>0</v>
      </c>
      <c r="I439" s="79">
        <v>0</v>
      </c>
      <c r="J439" s="79">
        <v>0</v>
      </c>
      <c r="K439" s="79" t="s">
        <v>3231</v>
      </c>
      <c r="L439" s="79"/>
      <c r="M439" s="79"/>
      <c r="N439" s="79"/>
    </row>
    <row r="440" spans="1:14" s="78" customFormat="1" ht="18">
      <c r="A440" s="74">
        <v>6</v>
      </c>
      <c r="B440" s="74" t="s">
        <v>1071</v>
      </c>
      <c r="C440" s="74" t="s">
        <v>5510</v>
      </c>
      <c r="D440" s="79" t="s">
        <v>5264</v>
      </c>
      <c r="E440" s="79">
        <v>0</v>
      </c>
      <c r="F440" s="79" t="s">
        <v>5265</v>
      </c>
      <c r="G440" s="79">
        <v>0</v>
      </c>
      <c r="H440" s="79">
        <v>0</v>
      </c>
      <c r="I440" s="79">
        <v>0</v>
      </c>
      <c r="J440" s="79">
        <v>0</v>
      </c>
      <c r="K440" s="79" t="s">
        <v>3231</v>
      </c>
      <c r="L440" s="79"/>
      <c r="M440" s="79"/>
      <c r="N440" s="79"/>
    </row>
    <row r="441" spans="1:14" s="78" customFormat="1" ht="18">
      <c r="A441" s="74">
        <v>7</v>
      </c>
      <c r="B441" s="74" t="s">
        <v>1095</v>
      </c>
      <c r="C441" s="74" t="s">
        <v>5511</v>
      </c>
      <c r="D441" s="79" t="s">
        <v>6033</v>
      </c>
      <c r="E441" s="79">
        <v>0</v>
      </c>
      <c r="F441" s="79" t="s">
        <v>6034</v>
      </c>
      <c r="G441" s="79">
        <v>0</v>
      </c>
      <c r="H441" s="79">
        <v>0</v>
      </c>
      <c r="I441" s="79">
        <v>0</v>
      </c>
      <c r="J441" s="79">
        <v>0</v>
      </c>
      <c r="K441" s="79" t="s">
        <v>6035</v>
      </c>
      <c r="L441" s="79"/>
      <c r="M441" s="79"/>
      <c r="N441" s="79"/>
    </row>
    <row r="442" spans="1:14" s="78" customFormat="1" ht="18">
      <c r="A442" s="74">
        <v>8</v>
      </c>
      <c r="B442" s="74" t="s">
        <v>588</v>
      </c>
      <c r="C442" s="74" t="s">
        <v>5512</v>
      </c>
      <c r="D442" s="79" t="s">
        <v>5270</v>
      </c>
      <c r="E442" s="79">
        <v>0</v>
      </c>
      <c r="F442" s="79" t="s">
        <v>5271</v>
      </c>
      <c r="G442" s="79">
        <v>0</v>
      </c>
      <c r="H442" s="79">
        <v>0</v>
      </c>
      <c r="I442" s="79">
        <v>0</v>
      </c>
      <c r="J442" s="79">
        <v>0</v>
      </c>
      <c r="K442" s="79" t="s">
        <v>5272</v>
      </c>
      <c r="L442" s="79"/>
      <c r="M442" s="79"/>
      <c r="N442" s="79"/>
    </row>
    <row r="443" spans="1:14" s="78" customFormat="1" ht="18">
      <c r="A443" s="74">
        <v>9</v>
      </c>
      <c r="B443" s="74" t="s">
        <v>267</v>
      </c>
      <c r="C443" s="74" t="s">
        <v>5513</v>
      </c>
      <c r="D443" s="79" t="s">
        <v>4992</v>
      </c>
      <c r="E443" s="79">
        <v>0</v>
      </c>
      <c r="F443" s="79" t="s">
        <v>5319</v>
      </c>
      <c r="G443" s="79">
        <v>0</v>
      </c>
      <c r="H443" s="79">
        <v>0</v>
      </c>
      <c r="I443" s="79">
        <v>0</v>
      </c>
      <c r="J443" s="79">
        <v>0</v>
      </c>
      <c r="K443" s="79" t="s">
        <v>3568</v>
      </c>
      <c r="L443" s="79"/>
      <c r="M443" s="79"/>
      <c r="N443" s="79"/>
    </row>
    <row r="444" spans="1:14" s="78" customFormat="1" ht="18">
      <c r="A444" s="74">
        <v>10</v>
      </c>
      <c r="B444" s="74" t="s">
        <v>1078</v>
      </c>
      <c r="C444" s="74" t="s">
        <v>5514</v>
      </c>
      <c r="D444" s="79" t="s">
        <v>4694</v>
      </c>
      <c r="E444" s="79">
        <v>0</v>
      </c>
      <c r="F444" s="79" t="s">
        <v>5274</v>
      </c>
      <c r="G444" s="79">
        <v>0</v>
      </c>
      <c r="H444" s="79">
        <v>0</v>
      </c>
      <c r="I444" s="79">
        <v>0</v>
      </c>
      <c r="J444" s="79">
        <v>0</v>
      </c>
      <c r="K444" s="79" t="s">
        <v>5275</v>
      </c>
      <c r="L444" s="79"/>
      <c r="M444" s="79"/>
      <c r="N444" s="79"/>
    </row>
    <row r="445" spans="1:14" s="78" customFormat="1" ht="18">
      <c r="A445" s="74">
        <v>11</v>
      </c>
      <c r="B445" s="74" t="s">
        <v>454</v>
      </c>
      <c r="C445" s="74" t="s">
        <v>5515</v>
      </c>
      <c r="D445" s="79" t="s">
        <v>4315</v>
      </c>
      <c r="E445" s="79">
        <v>0</v>
      </c>
      <c r="F445" s="79" t="s">
        <v>6036</v>
      </c>
      <c r="G445" s="79">
        <v>0</v>
      </c>
      <c r="H445" s="79">
        <v>0</v>
      </c>
      <c r="I445" s="79">
        <v>0</v>
      </c>
      <c r="J445" s="79">
        <v>0</v>
      </c>
      <c r="K445" s="79" t="s">
        <v>5955</v>
      </c>
      <c r="L445" s="79"/>
      <c r="M445" s="79"/>
      <c r="N445" s="79"/>
    </row>
    <row r="446" spans="1:14" s="78" customFormat="1" ht="18">
      <c r="A446" s="74">
        <v>13</v>
      </c>
      <c r="B446" s="74" t="s">
        <v>84</v>
      </c>
      <c r="C446" s="74" t="s">
        <v>5516</v>
      </c>
      <c r="D446" s="79" t="s">
        <v>4544</v>
      </c>
      <c r="E446" s="79">
        <v>0</v>
      </c>
      <c r="F446" s="79" t="s">
        <v>5300</v>
      </c>
      <c r="G446" s="79">
        <v>0</v>
      </c>
      <c r="H446" s="79">
        <v>0</v>
      </c>
      <c r="I446" s="79">
        <v>0</v>
      </c>
      <c r="J446" s="79">
        <v>0</v>
      </c>
      <c r="K446" s="79" t="s">
        <v>3272</v>
      </c>
      <c r="L446" s="79"/>
      <c r="M446" s="79"/>
      <c r="N446" s="79"/>
    </row>
    <row r="447" spans="1:14" s="78" customFormat="1" ht="18">
      <c r="A447" s="74">
        <v>14</v>
      </c>
      <c r="B447" s="74" t="s">
        <v>45</v>
      </c>
      <c r="C447" s="74" t="s">
        <v>5517</v>
      </c>
      <c r="D447" s="79" t="s">
        <v>5329</v>
      </c>
      <c r="E447" s="79">
        <v>0</v>
      </c>
      <c r="F447" s="79" t="s">
        <v>5330</v>
      </c>
      <c r="G447" s="79">
        <v>0</v>
      </c>
      <c r="H447" s="79">
        <v>0</v>
      </c>
      <c r="I447" s="79">
        <v>0</v>
      </c>
      <c r="J447" s="79">
        <v>0</v>
      </c>
      <c r="K447" s="79" t="s">
        <v>5331</v>
      </c>
      <c r="L447" s="79"/>
      <c r="M447" s="79"/>
      <c r="N447" s="79"/>
    </row>
    <row r="448" spans="1:14" s="78" customFormat="1" ht="18">
      <c r="A448" s="74">
        <v>15</v>
      </c>
      <c r="B448" s="74" t="s">
        <v>1099</v>
      </c>
      <c r="C448" s="74" t="s">
        <v>5518</v>
      </c>
      <c r="D448" s="79" t="s">
        <v>4918</v>
      </c>
      <c r="E448" s="79">
        <v>0</v>
      </c>
      <c r="F448" s="79" t="s">
        <v>5256</v>
      </c>
      <c r="G448" s="79">
        <v>0</v>
      </c>
      <c r="H448" s="79">
        <v>0</v>
      </c>
      <c r="I448" s="79">
        <v>0</v>
      </c>
      <c r="J448" s="79">
        <v>0</v>
      </c>
      <c r="K448" s="79" t="s">
        <v>3803</v>
      </c>
      <c r="L448" s="79"/>
      <c r="M448" s="79"/>
      <c r="N448" s="79"/>
    </row>
    <row r="449" spans="1:14" s="78" customFormat="1" ht="18">
      <c r="A449" s="74">
        <v>16</v>
      </c>
      <c r="B449" s="74" t="s">
        <v>5332</v>
      </c>
      <c r="C449" s="74" t="s">
        <v>5519</v>
      </c>
      <c r="D449" s="79" t="s">
        <v>3805</v>
      </c>
      <c r="E449" s="79">
        <v>0</v>
      </c>
      <c r="F449" s="79" t="s">
        <v>5334</v>
      </c>
      <c r="G449" s="79">
        <v>0</v>
      </c>
      <c r="H449" s="79">
        <v>0</v>
      </c>
      <c r="I449" s="79">
        <v>0</v>
      </c>
      <c r="J449" s="79">
        <v>0</v>
      </c>
      <c r="K449" s="79" t="s">
        <v>5335</v>
      </c>
      <c r="L449" s="79"/>
      <c r="M449" s="79"/>
      <c r="N449" s="79"/>
    </row>
    <row r="450" spans="1:14" s="78" customFormat="1" ht="18">
      <c r="A450" s="74">
        <v>17</v>
      </c>
      <c r="B450" s="74" t="s">
        <v>1080</v>
      </c>
      <c r="C450" s="74" t="s">
        <v>6037</v>
      </c>
      <c r="D450" s="79" t="s">
        <v>4669</v>
      </c>
      <c r="E450" s="79">
        <v>0</v>
      </c>
      <c r="F450" s="79" t="s">
        <v>5277</v>
      </c>
      <c r="G450" s="79">
        <v>0</v>
      </c>
      <c r="H450" s="79">
        <v>0</v>
      </c>
      <c r="I450" s="79">
        <v>0</v>
      </c>
      <c r="J450" s="79">
        <v>0</v>
      </c>
      <c r="K450" s="79" t="s">
        <v>3231</v>
      </c>
      <c r="L450" s="79"/>
      <c r="M450" s="79"/>
      <c r="N450" s="79"/>
    </row>
    <row r="451" spans="1:14" s="78" customFormat="1" ht="18">
      <c r="A451" s="74">
        <v>19</v>
      </c>
      <c r="B451" s="74" t="s">
        <v>1084</v>
      </c>
      <c r="C451" s="74" t="s">
        <v>6038</v>
      </c>
      <c r="D451" s="79" t="s">
        <v>6039</v>
      </c>
      <c r="E451" s="79">
        <v>0</v>
      </c>
      <c r="F451" s="79" t="s">
        <v>6040</v>
      </c>
      <c r="G451" s="79">
        <v>0</v>
      </c>
      <c r="H451" s="79">
        <v>0</v>
      </c>
      <c r="I451" s="79">
        <v>0</v>
      </c>
      <c r="J451" s="79">
        <v>0</v>
      </c>
      <c r="K451" s="79" t="s">
        <v>6041</v>
      </c>
      <c r="L451" s="79"/>
      <c r="M451" s="79"/>
      <c r="N451" s="79"/>
    </row>
    <row r="452" spans="1:14" s="78" customFormat="1" ht="18">
      <c r="A452" s="74">
        <v>20</v>
      </c>
      <c r="B452" s="74" t="s">
        <v>1103</v>
      </c>
      <c r="C452" s="74" t="s">
        <v>6042</v>
      </c>
      <c r="D452" s="79" t="s">
        <v>5261</v>
      </c>
      <c r="E452" s="79">
        <v>0</v>
      </c>
      <c r="F452" s="79" t="s">
        <v>5262</v>
      </c>
      <c r="G452" s="79">
        <v>0</v>
      </c>
      <c r="H452" s="79">
        <v>0</v>
      </c>
      <c r="I452" s="79">
        <v>0</v>
      </c>
      <c r="J452" s="79">
        <v>0</v>
      </c>
      <c r="K452" s="79" t="s">
        <v>3465</v>
      </c>
      <c r="L452" s="79"/>
      <c r="M452" s="79"/>
      <c r="N452" s="79"/>
    </row>
    <row r="453" spans="1:14" s="78" customFormat="1" ht="18">
      <c r="A453" s="74">
        <v>21</v>
      </c>
      <c r="B453" s="74" t="s">
        <v>1082</v>
      </c>
      <c r="C453" s="74" t="s">
        <v>6043</v>
      </c>
      <c r="D453" s="79" t="s">
        <v>5282</v>
      </c>
      <c r="E453" s="79">
        <v>0</v>
      </c>
      <c r="F453" s="79" t="s">
        <v>5283</v>
      </c>
      <c r="G453" s="79">
        <v>0</v>
      </c>
      <c r="H453" s="79">
        <v>0</v>
      </c>
      <c r="I453" s="79">
        <v>0</v>
      </c>
      <c r="J453" s="79">
        <v>0</v>
      </c>
      <c r="K453" s="79" t="s">
        <v>5284</v>
      </c>
      <c r="L453" s="79"/>
      <c r="M453" s="79"/>
      <c r="N453" s="79"/>
    </row>
    <row r="454" spans="1:14" s="78" customFormat="1" ht="18">
      <c r="A454" s="74">
        <v>22</v>
      </c>
      <c r="B454" s="74" t="s">
        <v>1074</v>
      </c>
      <c r="C454" s="74" t="s">
        <v>6044</v>
      </c>
      <c r="D454" s="79" t="s">
        <v>5315</v>
      </c>
      <c r="E454" s="79">
        <v>0</v>
      </c>
      <c r="F454" s="79" t="s">
        <v>5316</v>
      </c>
      <c r="G454" s="79">
        <v>0</v>
      </c>
      <c r="H454" s="79">
        <v>0</v>
      </c>
      <c r="I454" s="79">
        <v>0</v>
      </c>
      <c r="J454" s="79">
        <v>0</v>
      </c>
      <c r="K454" s="79" t="s">
        <v>5317</v>
      </c>
      <c r="L454" s="79"/>
      <c r="M454" s="79"/>
      <c r="N454" s="79"/>
    </row>
    <row r="455" spans="1:14">
      <c r="B455" s="72">
        <f>COUNTA(B2:B454)</f>
        <v>453</v>
      </c>
    </row>
    <row r="456" spans="1:14" ht="18">
      <c r="B456" s="82" t="s">
        <v>1872</v>
      </c>
      <c r="C456" s="83">
        <v>5</v>
      </c>
    </row>
    <row r="457" spans="1:14" ht="18">
      <c r="B457" s="84" t="s">
        <v>1873</v>
      </c>
      <c r="C457" s="85" t="e">
        <f>#REF!</f>
        <v>#REF!</v>
      </c>
    </row>
    <row r="458" spans="1:14" ht="18">
      <c r="B458" s="86" t="s">
        <v>1874</v>
      </c>
      <c r="C458" s="87">
        <v>453</v>
      </c>
    </row>
    <row r="459" spans="1:14" ht="18">
      <c r="B459" s="86" t="s">
        <v>1875</v>
      </c>
      <c r="C459" s="88" t="e">
        <f>#REF!*100000</f>
        <v>#REF!</v>
      </c>
    </row>
    <row r="460" spans="1:14" ht="18">
      <c r="B460" s="86" t="s">
        <v>1876</v>
      </c>
      <c r="C460" s="88" t="e">
        <f>#REF!</f>
        <v>#REF!</v>
      </c>
    </row>
    <row r="461" spans="1:14" ht="18">
      <c r="B461" s="86" t="s">
        <v>1877</v>
      </c>
      <c r="C461" s="88" t="e">
        <f>C459-C460</f>
        <v>#REF!</v>
      </c>
    </row>
    <row r="462" spans="1:14" ht="18">
      <c r="B462" s="86" t="s">
        <v>1878</v>
      </c>
      <c r="C462" s="89" t="e">
        <f>C460/C459*100</f>
        <v>#REF!</v>
      </c>
    </row>
    <row r="463" spans="1:14" ht="18">
      <c r="B463" s="86" t="s">
        <v>1879</v>
      </c>
      <c r="C463" s="88" t="e">
        <f>SUMIF(#REF!,"*",#REF!)</f>
        <v>#REF!</v>
      </c>
    </row>
    <row r="464" spans="1:14" ht="18">
      <c r="B464" s="86" t="s">
        <v>1880</v>
      </c>
      <c r="C464" s="88" t="e">
        <f>SUMIF(#REF!,"*",#REF!)</f>
        <v>#REF!</v>
      </c>
    </row>
    <row r="465" spans="2:3" ht="18">
      <c r="B465" s="86" t="s">
        <v>1881</v>
      </c>
      <c r="C465" s="88" t="e">
        <f>SUMIF(#REF!,"*",#REF!)</f>
        <v>#REF!</v>
      </c>
    </row>
    <row r="466" spans="2:3">
      <c r="B466" s="90" t="s">
        <v>1882</v>
      </c>
      <c r="C466" s="91" t="e">
        <f>SUM(#REF!)</f>
        <v>#REF!</v>
      </c>
    </row>
  </sheetData>
  <autoFilter ref="A1:K468" xr:uid="{00000000-0001-0000-0300-000000000000}"/>
  <pageMargins left="0.7" right="0.7" top="0.75" bottom="0.75" header="0.3" footer="0.3"/>
  <pageSetup paperSize="9" scale="60" fitToHeight="0" orientation="portrait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BaoCao202510</vt:lpstr>
      <vt:lpstr>CT</vt:lpstr>
      <vt:lpstr>TH</vt:lpstr>
      <vt:lpstr>Data_HS t5</vt:lpstr>
      <vt:lpstr>Data_HS t9</vt:lpstr>
      <vt:lpstr>JR_PAGE_ANCHOR_0_1</vt:lpstr>
      <vt:lpstr>BaoCao202510!Print_Titles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GAMMA SERVICES CENTER</cp:lastModifiedBy>
  <cp:lastPrinted>2025-11-06T16:05:04Z</cp:lastPrinted>
  <dcterms:created xsi:type="dcterms:W3CDTF">2025-10-21T14:03:55Z</dcterms:created>
  <dcterms:modified xsi:type="dcterms:W3CDTF">2025-11-21T15:26:12Z</dcterms:modified>
</cp:coreProperties>
</file>