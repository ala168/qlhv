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space\profile_workspace\QLHV\DATA TEST\"/>
    </mc:Choice>
  </mc:AlternateContent>
  <bookViews>
    <workbookView xWindow="-108" yWindow="-108" windowWidth="23256" windowHeight="12456"/>
  </bookViews>
  <sheets>
    <sheet name="Bang tong hop" sheetId="7" r:id="rId1"/>
    <sheet name="bang dk" sheetId="9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7" l="1"/>
  <c r="E18" i="7"/>
  <c r="E7" i="7"/>
  <c r="D23" i="7" l="1"/>
  <c r="E23" i="7" l="1"/>
</calcChain>
</file>

<file path=xl/sharedStrings.xml><?xml version="1.0" encoding="utf-8"?>
<sst xmlns="http://schemas.openxmlformats.org/spreadsheetml/2006/main" count="86" uniqueCount="53">
  <si>
    <t>Toán</t>
  </si>
  <si>
    <t>Ngữ Văn</t>
  </si>
  <si>
    <t>Tiếng Anh</t>
  </si>
  <si>
    <t>Mai Thị Trang</t>
  </si>
  <si>
    <t>Nguyễn Thị Mỹ Hạnh</t>
  </si>
  <si>
    <t>Lê Thị Hiền</t>
  </si>
  <si>
    <t>Trần Thị Linh</t>
  </si>
  <si>
    <t>Nguyễn Thị Nhung</t>
  </si>
  <si>
    <t>Nguyễn Quỳnh Liên</t>
  </si>
  <si>
    <t>Nguyễn Thị Thu</t>
  </si>
  <si>
    <t>Hoàng Thị Thúy</t>
  </si>
  <si>
    <t>Vũ Thị Lụa</t>
  </si>
  <si>
    <t>Trần Thu Hậu</t>
  </si>
  <si>
    <t>Lê Thị Đích</t>
  </si>
  <si>
    <t>Vật Lí</t>
  </si>
  <si>
    <t>Nguyễn Thị Huyền</t>
  </si>
  <si>
    <t>Trịnh Thị Xuân</t>
  </si>
  <si>
    <t>Hà Dương Bích Thục</t>
  </si>
  <si>
    <t>Hóa Học</t>
  </si>
  <si>
    <t>Nguyễn Thị Liên</t>
  </si>
  <si>
    <t>Đinh Thị Lành</t>
  </si>
  <si>
    <t>Nguyễn Thị Hồng Thơm</t>
  </si>
  <si>
    <t>TỔNG THÁNG</t>
  </si>
  <si>
    <t>mon day</t>
  </si>
  <si>
    <t>Nguyễn Thị Thu Uyên</t>
  </si>
  <si>
    <t>Nguyễn Thị Thu Hà</t>
  </si>
  <si>
    <t>Vũ Thị Hoa</t>
  </si>
  <si>
    <t>Nguyễn Minh Huy</t>
  </si>
  <si>
    <t>ty le huong
% 
(5)</t>
  </si>
  <si>
    <t>Tong luot hs
(4)</t>
  </si>
  <si>
    <t>so ca tt
(2)</t>
  </si>
  <si>
    <t>STT</t>
  </si>
  <si>
    <t>Ho va ten
(1)</t>
  </si>
  <si>
    <t>Mức áp dụng</t>
  </si>
  <si>
    <t>Tỷ lệ của giáo viên</t>
  </si>
  <si>
    <t>Tỷ lệ của công ty</t>
  </si>
  <si>
    <t>Điều kiện áp dụng tỷ lệ cộng thêm(70%_.....%)</t>
  </si>
  <si>
    <t>Mức 4</t>
  </si>
  <si>
    <t>Mức CB</t>
  </si>
  <si>
    <t>Lưu ý: chỉ đạt 1 trong 2 chỉ tiêu thì áp dụng mức thấp hơn 1 bâc</t>
  </si>
  <si>
    <t>Mức 5</t>
  </si>
  <si>
    <t>Mức 3</t>
  </si>
  <si>
    <t>Mức 2</t>
  </si>
  <si>
    <t>Mức 1</t>
  </si>
  <si>
    <t>Tổng số lượt học sinh tham gia các buổi học ≥ 1440, ≤40 ca</t>
  </si>
  <si>
    <t>Tổng số lượt học sinh tham gia các buổi học ≥ 1080, ≤36 ca</t>
  </si>
  <si>
    <t>Tổng số lượt học sinh tham gia các buổi học ≥ 760, ≤32 ca</t>
  </si>
  <si>
    <t>Tổng số lượt học sinh tham gia các buổi học ≥ 480, ≤28 ca</t>
  </si>
  <si>
    <t>Tổng số lượt học sinh tham gia các buổi học ≥ 240, ≤24 ca</t>
  </si>
  <si>
    <t>Số ca TT</t>
  </si>
  <si>
    <t>Tổng lượt</t>
  </si>
  <si>
    <t>Tỷ lệ hưởng</t>
  </si>
  <si>
    <t>250 lượt nhưng 26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</si>
</sst>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0.0"/>
    <numFmt numFmtId="167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1"/>
      <color theme="1"/>
      <name val="Times New Roman"/>
      <family val="1"/>
    </font>
    <font>
      <b/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8"/>
      <name val="Calibri"/>
      <family val="2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  <charset val="163"/>
    </font>
    <font>
      <sz val="11"/>
      <name val="Arial"/>
      <family val="2"/>
      <charset val="163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/>
    <xf numFmtId="0" fontId="6" fillId="0" borderId="3" xfId="0" applyFont="1" applyBorder="1"/>
    <xf numFmtId="0" fontId="6" fillId="2" borderId="3" xfId="0" applyFont="1" applyFill="1" applyBorder="1"/>
    <xf numFmtId="0" fontId="6" fillId="2" borderId="3" xfId="0" applyFont="1" applyFill="1" applyBorder="1" applyAlignment="1">
      <alignment horizontal="center"/>
    </xf>
    <xf numFmtId="9" fontId="1" fillId="0" borderId="2" xfId="0" applyNumberFormat="1" applyFont="1" applyBorder="1"/>
    <xf numFmtId="9" fontId="1" fillId="0" borderId="3" xfId="0" applyNumberFormat="1" applyFont="1" applyBorder="1"/>
    <xf numFmtId="9" fontId="1" fillId="0" borderId="4" xfId="0" applyNumberFormat="1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0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167" fontId="9" fillId="2" borderId="2" xfId="1" applyNumberFormat="1" applyFont="1" applyFill="1" applyBorder="1"/>
    <xf numFmtId="0" fontId="11" fillId="2" borderId="2" xfId="0" applyFont="1" applyFill="1" applyBorder="1"/>
    <xf numFmtId="0" fontId="6" fillId="0" borderId="2" xfId="0" applyFont="1" applyBorder="1"/>
    <xf numFmtId="9" fontId="6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10" fillId="0" borderId="3" xfId="0" applyFont="1" applyBorder="1"/>
    <xf numFmtId="167" fontId="9" fillId="2" borderId="3" xfId="1" applyNumberFormat="1" applyFont="1" applyFill="1" applyBorder="1"/>
    <xf numFmtId="0" fontId="11" fillId="2" borderId="3" xfId="0" applyFont="1" applyFill="1" applyBorder="1"/>
    <xf numFmtId="9" fontId="6" fillId="0" borderId="3" xfId="0" applyNumberFormat="1" applyFont="1" applyBorder="1"/>
    <xf numFmtId="0" fontId="9" fillId="0" borderId="3" xfId="0" applyFont="1" applyBorder="1"/>
    <xf numFmtId="0" fontId="9" fillId="2" borderId="3" xfId="0" applyFont="1" applyFill="1" applyBorder="1"/>
    <xf numFmtId="0" fontId="9" fillId="2" borderId="3" xfId="0" applyFont="1" applyFill="1" applyBorder="1" applyAlignment="1">
      <alignment horizontal="center"/>
    </xf>
    <xf numFmtId="0" fontId="6" fillId="2" borderId="0" xfId="0" applyFont="1" applyFill="1"/>
    <xf numFmtId="0" fontId="6" fillId="0" borderId="4" xfId="0" applyFont="1" applyBorder="1"/>
    <xf numFmtId="9" fontId="6" fillId="0" borderId="4" xfId="0" applyNumberFormat="1" applyFont="1" applyBorder="1"/>
    <xf numFmtId="165" fontId="12" fillId="2" borderId="0" xfId="3" applyNumberFormat="1" applyFont="1" applyFill="1" applyAlignment="1">
      <alignment horizontal="center"/>
    </xf>
    <xf numFmtId="165" fontId="12" fillId="0" borderId="0" xfId="3" applyNumberFormat="1" applyFont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167" fontId="9" fillId="2" borderId="3" xfId="1" applyNumberFormat="1" applyFont="1" applyFill="1" applyBorder="1" applyAlignment="1">
      <alignment horizontal="left"/>
    </xf>
    <xf numFmtId="167" fontId="9" fillId="0" borderId="3" xfId="1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167" fontId="9" fillId="0" borderId="4" xfId="0" applyNumberFormat="1" applyFont="1" applyBorder="1" applyAlignment="1">
      <alignment horizontal="center"/>
    </xf>
    <xf numFmtId="167" fontId="9" fillId="2" borderId="4" xfId="1" applyNumberFormat="1" applyFont="1" applyFill="1" applyBorder="1"/>
    <xf numFmtId="0" fontId="11" fillId="2" borderId="4" xfId="0" applyFont="1" applyFill="1" applyBorder="1"/>
    <xf numFmtId="0" fontId="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64" fontId="13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/>
    <xf numFmtId="9" fontId="13" fillId="0" borderId="1" xfId="2" applyFont="1" applyFill="1" applyBorder="1" applyAlignment="1">
      <alignment vertical="center"/>
    </xf>
    <xf numFmtId="3" fontId="6" fillId="0" borderId="0" xfId="0" applyNumberFormat="1" applyFont="1"/>
    <xf numFmtId="166" fontId="6" fillId="0" borderId="0" xfId="0" applyNumberFormat="1" applyFont="1"/>
    <xf numFmtId="0" fontId="6" fillId="0" borderId="0" xfId="0" applyFont="1" applyAlignment="1"/>
    <xf numFmtId="0" fontId="0" fillId="0" borderId="1" xfId="0" applyBorder="1"/>
    <xf numFmtId="9" fontId="0" fillId="0" borderId="1" xfId="2" applyFont="1" applyBorder="1"/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N12" sqref="N12"/>
    </sheetView>
  </sheetViews>
  <sheetFormatPr defaultColWidth="8.6640625" defaultRowHeight="14.4" x14ac:dyDescent="0.3"/>
  <cols>
    <col min="1" max="1" width="4.88671875" style="14" bestFit="1" customWidth="1"/>
    <col min="2" max="2" width="21.33203125" style="14" bestFit="1" customWidth="1"/>
    <col min="3" max="3" width="11.109375" style="14" bestFit="1" customWidth="1"/>
    <col min="4" max="4" width="7.5546875" style="50" bestFit="1" customWidth="1"/>
    <col min="5" max="5" width="6.77734375" style="14" bestFit="1" customWidth="1"/>
    <col min="6" max="6" width="10.5546875" style="51" bestFit="1" customWidth="1"/>
    <col min="7" max="7" width="8.6640625" style="14"/>
    <col min="8" max="8" width="4.109375" style="14" bestFit="1" customWidth="1"/>
    <col min="9" max="9" width="8" style="14" bestFit="1" customWidth="1"/>
    <col min="10" max="10" width="9.44140625" style="14" bestFit="1" customWidth="1"/>
    <col min="11" max="11" width="11.21875" style="14" bestFit="1" customWidth="1"/>
    <col min="12" max="16" width="8.6640625" style="14"/>
    <col min="17" max="17" width="52.5546875" style="14" bestFit="1" customWidth="1"/>
    <col min="18" max="16384" width="8.6640625" style="14"/>
  </cols>
  <sheetData>
    <row r="1" spans="1:22" ht="57.6" x14ac:dyDescent="0.3">
      <c r="A1" s="3" t="s">
        <v>31</v>
      </c>
      <c r="B1" s="3" t="s">
        <v>32</v>
      </c>
      <c r="C1" s="3" t="s">
        <v>23</v>
      </c>
      <c r="D1" s="3" t="s">
        <v>30</v>
      </c>
      <c r="E1" s="3" t="s">
        <v>29</v>
      </c>
      <c r="F1" s="3" t="s">
        <v>28</v>
      </c>
      <c r="H1" s="53" t="s">
        <v>31</v>
      </c>
      <c r="I1" s="53" t="s">
        <v>49</v>
      </c>
      <c r="J1" s="53" t="s">
        <v>50</v>
      </c>
      <c r="K1" s="53" t="s">
        <v>51</v>
      </c>
      <c r="N1" s="16" t="s">
        <v>33</v>
      </c>
      <c r="O1" s="16" t="s">
        <v>34</v>
      </c>
      <c r="P1" s="16" t="s">
        <v>35</v>
      </c>
      <c r="Q1" s="17" t="s">
        <v>36</v>
      </c>
    </row>
    <row r="2" spans="1:22" ht="21" customHeight="1" x14ac:dyDescent="0.3">
      <c r="A2" s="18">
        <v>1</v>
      </c>
      <c r="B2" s="19" t="s">
        <v>4</v>
      </c>
      <c r="C2" s="18" t="s">
        <v>0</v>
      </c>
      <c r="D2" s="20">
        <v>7</v>
      </c>
      <c r="E2" s="21">
        <v>133</v>
      </c>
      <c r="F2" s="21">
        <v>70</v>
      </c>
      <c r="H2" s="53">
        <v>1</v>
      </c>
      <c r="I2" s="53">
        <v>23</v>
      </c>
      <c r="J2" s="53">
        <v>418</v>
      </c>
      <c r="K2" s="54">
        <v>0.72</v>
      </c>
      <c r="N2" s="22" t="s">
        <v>40</v>
      </c>
      <c r="O2" s="23">
        <v>0.8</v>
      </c>
      <c r="P2" s="23">
        <v>0.2</v>
      </c>
      <c r="Q2" s="22" t="s">
        <v>44</v>
      </c>
    </row>
    <row r="3" spans="1:22" ht="21" customHeight="1" x14ac:dyDescent="0.3">
      <c r="A3" s="24">
        <v>2</v>
      </c>
      <c r="B3" s="25" t="s">
        <v>5</v>
      </c>
      <c r="C3" s="24" t="s">
        <v>0</v>
      </c>
      <c r="D3" s="26">
        <v>8</v>
      </c>
      <c r="E3" s="27">
        <v>238</v>
      </c>
      <c r="F3" s="27">
        <v>70</v>
      </c>
      <c r="H3" s="53">
        <v>2</v>
      </c>
      <c r="I3" s="53">
        <v>19</v>
      </c>
      <c r="J3" s="53">
        <v>484</v>
      </c>
      <c r="K3" s="54">
        <v>0.74</v>
      </c>
      <c r="N3" s="5" t="s">
        <v>37</v>
      </c>
      <c r="O3" s="28">
        <v>0.78</v>
      </c>
      <c r="P3" s="28">
        <v>0.22</v>
      </c>
      <c r="Q3" s="5" t="s">
        <v>45</v>
      </c>
    </row>
    <row r="4" spans="1:22" ht="21" customHeight="1" x14ac:dyDescent="0.3">
      <c r="A4" s="24">
        <v>3</v>
      </c>
      <c r="B4" s="29" t="s">
        <v>6</v>
      </c>
      <c r="C4" s="24" t="s">
        <v>0</v>
      </c>
      <c r="D4" s="26">
        <v>23</v>
      </c>
      <c r="E4" s="27">
        <v>289</v>
      </c>
      <c r="F4" s="27">
        <v>72</v>
      </c>
      <c r="H4" s="53">
        <v>3</v>
      </c>
      <c r="I4" s="53">
        <v>29</v>
      </c>
      <c r="J4" s="53">
        <v>553</v>
      </c>
      <c r="K4" s="54">
        <v>0.72</v>
      </c>
      <c r="N4" s="5" t="s">
        <v>41</v>
      </c>
      <c r="O4" s="28">
        <v>0.76</v>
      </c>
      <c r="P4" s="28">
        <v>0.24</v>
      </c>
      <c r="Q4" s="5" t="s">
        <v>46</v>
      </c>
    </row>
    <row r="5" spans="1:22" ht="21" customHeight="1" x14ac:dyDescent="0.3">
      <c r="A5" s="24">
        <v>4</v>
      </c>
      <c r="B5" s="29" t="s">
        <v>7</v>
      </c>
      <c r="C5" s="24" t="s">
        <v>0</v>
      </c>
      <c r="D5" s="26">
        <v>8</v>
      </c>
      <c r="E5" s="27">
        <v>152</v>
      </c>
      <c r="F5" s="27">
        <v>70</v>
      </c>
      <c r="H5" s="53">
        <v>4</v>
      </c>
      <c r="I5" s="53">
        <v>5</v>
      </c>
      <c r="J5" s="53">
        <v>72.5</v>
      </c>
      <c r="K5" s="54">
        <v>0.7</v>
      </c>
      <c r="N5" s="5" t="s">
        <v>42</v>
      </c>
      <c r="O5" s="28">
        <v>0.74</v>
      </c>
      <c r="P5" s="28">
        <v>0.26</v>
      </c>
      <c r="Q5" s="5" t="s">
        <v>47</v>
      </c>
    </row>
    <row r="6" spans="1:22" s="32" customFormat="1" ht="21" customHeight="1" x14ac:dyDescent="0.3">
      <c r="A6" s="24">
        <v>5</v>
      </c>
      <c r="B6" s="30" t="s">
        <v>8</v>
      </c>
      <c r="C6" s="31" t="s">
        <v>0</v>
      </c>
      <c r="D6" s="26">
        <v>27</v>
      </c>
      <c r="E6" s="27">
        <v>413</v>
      </c>
      <c r="F6" s="27">
        <v>72</v>
      </c>
      <c r="H6" s="53">
        <v>5</v>
      </c>
      <c r="I6" s="53">
        <v>19</v>
      </c>
      <c r="J6" s="53">
        <v>409</v>
      </c>
      <c r="K6" s="54">
        <v>0.72</v>
      </c>
      <c r="N6" s="5" t="s">
        <v>43</v>
      </c>
      <c r="O6" s="28">
        <v>0.72</v>
      </c>
      <c r="P6" s="28">
        <v>0.28000000000000003</v>
      </c>
      <c r="Q6" s="5" t="s">
        <v>48</v>
      </c>
    </row>
    <row r="7" spans="1:22" s="32" customFormat="1" ht="21" customHeight="1" x14ac:dyDescent="0.3">
      <c r="A7" s="24">
        <v>6</v>
      </c>
      <c r="B7" s="30" t="s">
        <v>9</v>
      </c>
      <c r="C7" s="31" t="s">
        <v>0</v>
      </c>
      <c r="D7" s="26">
        <v>5</v>
      </c>
      <c r="E7" s="27">
        <f>160+5</f>
        <v>165</v>
      </c>
      <c r="F7" s="27">
        <v>70</v>
      </c>
      <c r="H7" s="53">
        <v>6</v>
      </c>
      <c r="I7" s="53">
        <v>17</v>
      </c>
      <c r="J7" s="53">
        <v>290</v>
      </c>
      <c r="K7" s="54">
        <v>0.72</v>
      </c>
      <c r="N7" s="33" t="s">
        <v>38</v>
      </c>
      <c r="O7" s="34">
        <v>0.7</v>
      </c>
      <c r="P7" s="34">
        <v>0.3</v>
      </c>
      <c r="Q7" s="33"/>
    </row>
    <row r="8" spans="1:22" s="32" customFormat="1" ht="21" customHeight="1" x14ac:dyDescent="0.3">
      <c r="A8" s="24">
        <v>7</v>
      </c>
      <c r="B8" s="30" t="s">
        <v>10</v>
      </c>
      <c r="C8" s="31" t="s">
        <v>0</v>
      </c>
      <c r="D8" s="26">
        <v>14</v>
      </c>
      <c r="E8" s="27">
        <v>192.5</v>
      </c>
      <c r="F8" s="27">
        <v>70</v>
      </c>
      <c r="H8" s="53">
        <v>7</v>
      </c>
      <c r="I8" s="53">
        <v>5</v>
      </c>
      <c r="J8" s="53">
        <v>50</v>
      </c>
      <c r="K8" s="54">
        <v>0.7</v>
      </c>
      <c r="N8" s="52" t="s">
        <v>39</v>
      </c>
      <c r="O8" s="52"/>
      <c r="P8" s="52"/>
      <c r="Q8" s="52"/>
      <c r="R8" s="52"/>
      <c r="S8" s="52"/>
      <c r="T8" s="52"/>
      <c r="U8" s="52"/>
      <c r="V8" s="52"/>
    </row>
    <row r="9" spans="1:22" s="32" customFormat="1" ht="21" customHeight="1" x14ac:dyDescent="0.3">
      <c r="A9" s="24">
        <v>8</v>
      </c>
      <c r="B9" s="30" t="s">
        <v>27</v>
      </c>
      <c r="C9" s="31" t="s">
        <v>0</v>
      </c>
      <c r="D9" s="26">
        <v>6</v>
      </c>
      <c r="E9" s="27">
        <v>59</v>
      </c>
      <c r="F9" s="27">
        <v>70</v>
      </c>
      <c r="H9" s="53">
        <v>8</v>
      </c>
      <c r="I9" s="53">
        <v>22</v>
      </c>
      <c r="J9" s="53">
        <v>600</v>
      </c>
      <c r="K9" s="54">
        <v>0.74</v>
      </c>
      <c r="N9" s="15"/>
      <c r="O9" s="15"/>
      <c r="P9" s="15"/>
      <c r="Q9" s="15"/>
    </row>
    <row r="10" spans="1:22" s="32" customFormat="1" ht="21" customHeight="1" x14ac:dyDescent="0.3">
      <c r="A10" s="31">
        <v>9</v>
      </c>
      <c r="B10" s="6" t="s">
        <v>26</v>
      </c>
      <c r="C10" s="7" t="s">
        <v>0</v>
      </c>
      <c r="D10" s="26">
        <v>22</v>
      </c>
      <c r="E10" s="27">
        <v>366</v>
      </c>
      <c r="F10" s="27">
        <v>72</v>
      </c>
      <c r="H10" s="53">
        <v>9</v>
      </c>
      <c r="I10" s="53">
        <v>5</v>
      </c>
      <c r="J10" s="53">
        <v>55</v>
      </c>
      <c r="K10" s="54">
        <v>0.7</v>
      </c>
    </row>
    <row r="11" spans="1:22" s="32" customFormat="1" ht="21" customHeight="1" x14ac:dyDescent="0.3">
      <c r="A11" s="24">
        <v>10</v>
      </c>
      <c r="B11" s="30" t="s">
        <v>11</v>
      </c>
      <c r="C11" s="31" t="s">
        <v>1</v>
      </c>
      <c r="D11" s="26">
        <v>9</v>
      </c>
      <c r="E11" s="27">
        <v>157</v>
      </c>
      <c r="F11" s="27">
        <v>70</v>
      </c>
      <c r="G11" s="35"/>
      <c r="H11" s="53">
        <v>10</v>
      </c>
      <c r="I11" s="53">
        <v>30</v>
      </c>
      <c r="J11" s="53">
        <v>595</v>
      </c>
      <c r="K11" s="54">
        <v>0.72</v>
      </c>
    </row>
    <row r="12" spans="1:22" ht="21" customHeight="1" x14ac:dyDescent="0.3">
      <c r="A12" s="24">
        <v>11</v>
      </c>
      <c r="B12" s="29" t="s">
        <v>12</v>
      </c>
      <c r="C12" s="24" t="s">
        <v>1</v>
      </c>
      <c r="D12" s="26">
        <v>8</v>
      </c>
      <c r="E12" s="27">
        <v>322</v>
      </c>
      <c r="F12" s="27">
        <v>72</v>
      </c>
      <c r="G12" s="36"/>
      <c r="H12" s="53">
        <v>11</v>
      </c>
      <c r="I12" s="53">
        <v>18</v>
      </c>
      <c r="J12" s="53">
        <v>432</v>
      </c>
      <c r="K12" s="54">
        <v>0.72</v>
      </c>
      <c r="N12" s="14" t="s">
        <v>52</v>
      </c>
    </row>
    <row r="13" spans="1:22" ht="21" customHeight="1" x14ac:dyDescent="0.3">
      <c r="A13" s="24">
        <v>12</v>
      </c>
      <c r="B13" s="29" t="s">
        <v>13</v>
      </c>
      <c r="C13" s="24" t="s">
        <v>1</v>
      </c>
      <c r="D13" s="26">
        <v>6</v>
      </c>
      <c r="E13" s="27">
        <v>111</v>
      </c>
      <c r="F13" s="27">
        <v>70</v>
      </c>
      <c r="G13" s="36"/>
      <c r="H13" s="53">
        <v>12</v>
      </c>
      <c r="I13" s="53">
        <v>19</v>
      </c>
      <c r="J13" s="53">
        <v>388</v>
      </c>
      <c r="K13" s="54">
        <v>0.72</v>
      </c>
    </row>
    <row r="14" spans="1:22" ht="21" customHeight="1" x14ac:dyDescent="0.3">
      <c r="A14" s="24">
        <v>13</v>
      </c>
      <c r="B14" s="5" t="s">
        <v>24</v>
      </c>
      <c r="C14" s="37" t="s">
        <v>2</v>
      </c>
      <c r="D14" s="26">
        <v>33</v>
      </c>
      <c r="E14" s="27">
        <v>196</v>
      </c>
      <c r="F14" s="27">
        <v>70</v>
      </c>
      <c r="H14" s="53">
        <v>13</v>
      </c>
      <c r="I14" s="53">
        <v>9</v>
      </c>
      <c r="J14" s="53">
        <v>117</v>
      </c>
      <c r="K14" s="54">
        <v>0.7</v>
      </c>
    </row>
    <row r="15" spans="1:22" ht="21" customHeight="1" x14ac:dyDescent="0.3">
      <c r="A15" s="24">
        <v>14</v>
      </c>
      <c r="B15" s="5" t="s">
        <v>25</v>
      </c>
      <c r="C15" s="37" t="s">
        <v>2</v>
      </c>
      <c r="D15" s="26">
        <v>6</v>
      </c>
      <c r="E15" s="27">
        <v>118</v>
      </c>
      <c r="F15" s="27">
        <v>70</v>
      </c>
      <c r="H15" s="53">
        <v>14</v>
      </c>
      <c r="I15" s="53">
        <v>9</v>
      </c>
      <c r="J15" s="53">
        <v>131</v>
      </c>
      <c r="K15" s="54">
        <v>0.7</v>
      </c>
    </row>
    <row r="16" spans="1:22" ht="21" customHeight="1" x14ac:dyDescent="0.3">
      <c r="A16" s="24">
        <v>15</v>
      </c>
      <c r="B16" s="38" t="s">
        <v>3</v>
      </c>
      <c r="C16" s="37" t="s">
        <v>14</v>
      </c>
      <c r="D16" s="26">
        <v>6</v>
      </c>
      <c r="E16" s="27">
        <v>114</v>
      </c>
      <c r="F16" s="27">
        <v>70</v>
      </c>
      <c r="H16" s="53">
        <v>15</v>
      </c>
      <c r="I16" s="53">
        <v>18</v>
      </c>
      <c r="J16" s="53">
        <v>318</v>
      </c>
      <c r="K16" s="54">
        <v>0.72</v>
      </c>
    </row>
    <row r="17" spans="1:11" ht="21" customHeight="1" x14ac:dyDescent="0.3">
      <c r="A17" s="24">
        <v>16</v>
      </c>
      <c r="B17" s="29" t="s">
        <v>15</v>
      </c>
      <c r="C17" s="37" t="s">
        <v>14</v>
      </c>
      <c r="D17" s="26">
        <v>30</v>
      </c>
      <c r="E17" s="27">
        <f>581+9</f>
        <v>590</v>
      </c>
      <c r="F17" s="27">
        <v>74</v>
      </c>
      <c r="H17" s="53">
        <v>16</v>
      </c>
      <c r="I17" s="53">
        <v>13</v>
      </c>
      <c r="J17" s="53">
        <v>269</v>
      </c>
      <c r="K17" s="54">
        <v>0.72</v>
      </c>
    </row>
    <row r="18" spans="1:11" ht="21" customHeight="1" x14ac:dyDescent="0.3">
      <c r="A18" s="24">
        <v>17</v>
      </c>
      <c r="B18" s="29" t="s">
        <v>16</v>
      </c>
      <c r="C18" s="39" t="s">
        <v>14</v>
      </c>
      <c r="D18" s="26">
        <v>24</v>
      </c>
      <c r="E18" s="27">
        <f>242</f>
        <v>242</v>
      </c>
      <c r="F18" s="27">
        <v>72</v>
      </c>
      <c r="H18" s="53">
        <v>17</v>
      </c>
      <c r="I18" s="53">
        <v>20</v>
      </c>
      <c r="J18" s="53">
        <v>360</v>
      </c>
      <c r="K18" s="54">
        <v>0.72</v>
      </c>
    </row>
    <row r="19" spans="1:11" ht="21" customHeight="1" x14ac:dyDescent="0.3">
      <c r="A19" s="24">
        <v>18</v>
      </c>
      <c r="B19" s="29" t="s">
        <v>17</v>
      </c>
      <c r="C19" s="39" t="s">
        <v>14</v>
      </c>
      <c r="D19" s="26">
        <v>12</v>
      </c>
      <c r="E19" s="27">
        <v>66</v>
      </c>
      <c r="F19" s="27">
        <v>70</v>
      </c>
      <c r="H19" s="53">
        <v>18</v>
      </c>
      <c r="I19" s="53">
        <v>13</v>
      </c>
      <c r="J19" s="53">
        <v>234</v>
      </c>
      <c r="K19" s="54">
        <v>0.7</v>
      </c>
    </row>
    <row r="20" spans="1:11" x14ac:dyDescent="0.3">
      <c r="A20" s="24">
        <v>19</v>
      </c>
      <c r="B20" s="29" t="s">
        <v>19</v>
      </c>
      <c r="C20" s="37" t="s">
        <v>18</v>
      </c>
      <c r="D20" s="26">
        <v>14</v>
      </c>
      <c r="E20" s="27">
        <v>178.5</v>
      </c>
      <c r="F20" s="27">
        <v>70</v>
      </c>
      <c r="H20" s="53">
        <v>19</v>
      </c>
      <c r="I20" s="53">
        <v>9</v>
      </c>
      <c r="J20" s="53">
        <v>171</v>
      </c>
      <c r="K20" s="54">
        <v>0.7</v>
      </c>
    </row>
    <row r="21" spans="1:11" x14ac:dyDescent="0.3">
      <c r="A21" s="24">
        <v>20</v>
      </c>
      <c r="B21" s="29" t="s">
        <v>20</v>
      </c>
      <c r="C21" s="37" t="s">
        <v>18</v>
      </c>
      <c r="D21" s="26">
        <v>13</v>
      </c>
      <c r="E21" s="27">
        <v>225</v>
      </c>
      <c r="F21" s="27">
        <v>70</v>
      </c>
      <c r="H21" s="53">
        <v>20</v>
      </c>
      <c r="I21" s="53">
        <v>8</v>
      </c>
      <c r="J21" s="53">
        <v>192</v>
      </c>
      <c r="K21" s="54">
        <v>0.7</v>
      </c>
    </row>
    <row r="22" spans="1:11" x14ac:dyDescent="0.3">
      <c r="A22" s="40">
        <v>21</v>
      </c>
      <c r="B22" s="41" t="s">
        <v>21</v>
      </c>
      <c r="C22" s="42" t="s">
        <v>18</v>
      </c>
      <c r="D22" s="43">
        <v>38</v>
      </c>
      <c r="E22" s="44">
        <v>408</v>
      </c>
      <c r="F22" s="44">
        <v>70</v>
      </c>
      <c r="H22" s="53">
        <v>21</v>
      </c>
      <c r="I22" s="53">
        <v>36</v>
      </c>
      <c r="J22" s="53">
        <v>563</v>
      </c>
      <c r="K22" s="54">
        <v>0.72</v>
      </c>
    </row>
    <row r="23" spans="1:11" ht="24" customHeight="1" x14ac:dyDescent="0.3">
      <c r="A23" s="45"/>
      <c r="B23" s="46" t="s">
        <v>22</v>
      </c>
      <c r="C23" s="46"/>
      <c r="D23" s="47">
        <f>SUM(D2:D22)</f>
        <v>319</v>
      </c>
      <c r="E23" s="48">
        <f>SUM(E2:E22)</f>
        <v>4735</v>
      </c>
      <c r="F23" s="49"/>
      <c r="H23" s="53">
        <v>22</v>
      </c>
      <c r="I23" s="53">
        <v>24</v>
      </c>
      <c r="J23" s="53">
        <v>504</v>
      </c>
      <c r="K23" s="54">
        <v>0.74</v>
      </c>
    </row>
    <row r="24" spans="1:11" x14ac:dyDescent="0.3">
      <c r="H24" s="53">
        <v>23</v>
      </c>
      <c r="I24" s="53">
        <v>5</v>
      </c>
      <c r="J24" s="53">
        <v>60</v>
      </c>
      <c r="K24" s="54">
        <v>0.7</v>
      </c>
    </row>
    <row r="25" spans="1:11" x14ac:dyDescent="0.3">
      <c r="H25" s="53">
        <v>24</v>
      </c>
      <c r="I25" s="53">
        <v>28</v>
      </c>
      <c r="J25" s="53">
        <v>678</v>
      </c>
      <c r="K25" s="54">
        <v>0.74</v>
      </c>
    </row>
    <row r="26" spans="1:11" x14ac:dyDescent="0.3">
      <c r="H26" s="53">
        <v>25</v>
      </c>
      <c r="I26" s="53">
        <v>10</v>
      </c>
      <c r="J26" s="53">
        <v>140</v>
      </c>
      <c r="K26" s="54">
        <v>0.7</v>
      </c>
    </row>
    <row r="27" spans="1:11" x14ac:dyDescent="0.3">
      <c r="H27" s="53">
        <v>26</v>
      </c>
      <c r="I27" s="53">
        <v>28</v>
      </c>
      <c r="J27" s="53">
        <v>351.5</v>
      </c>
      <c r="K27" s="54">
        <v>0.7</v>
      </c>
    </row>
  </sheetData>
  <printOptions horizontalCentered="1" verticalCentered="1"/>
  <pageMargins left="0.11811023622047245" right="0.11811023622047245" top="0.35433070866141736" bottom="0.35433070866141736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"/>
  <sheetViews>
    <sheetView zoomScale="85" zoomScaleNormal="85" workbookViewId="0">
      <selection activeCell="B1" sqref="B1:E9"/>
    </sheetView>
  </sheetViews>
  <sheetFormatPr defaultRowHeight="14.4" x14ac:dyDescent="0.3"/>
  <cols>
    <col min="2" max="2" width="10.44140625" customWidth="1"/>
    <col min="3" max="3" width="10.21875" customWidth="1"/>
    <col min="4" max="4" width="9.44140625" customWidth="1"/>
    <col min="5" max="5" width="64.6640625" bestFit="1" customWidth="1"/>
  </cols>
  <sheetData>
    <row r="1" spans="2:5" ht="47.4" customHeight="1" x14ac:dyDescent="0.3">
      <c r="B1" s="11" t="s">
        <v>33</v>
      </c>
      <c r="C1" s="11" t="s">
        <v>34</v>
      </c>
      <c r="D1" s="11" t="s">
        <v>35</v>
      </c>
      <c r="E1" s="12" t="s">
        <v>36</v>
      </c>
    </row>
    <row r="2" spans="2:5" ht="18" x14ac:dyDescent="0.35">
      <c r="B2" s="1" t="s">
        <v>40</v>
      </c>
      <c r="C2" s="8">
        <v>0.8</v>
      </c>
      <c r="D2" s="8">
        <v>0.2</v>
      </c>
      <c r="E2" s="1" t="s">
        <v>44</v>
      </c>
    </row>
    <row r="3" spans="2:5" ht="18" x14ac:dyDescent="0.35">
      <c r="B3" s="2" t="s">
        <v>37</v>
      </c>
      <c r="C3" s="9">
        <v>0.78</v>
      </c>
      <c r="D3" s="9">
        <v>0.22</v>
      </c>
      <c r="E3" s="2" t="s">
        <v>45</v>
      </c>
    </row>
    <row r="4" spans="2:5" ht="18" x14ac:dyDescent="0.35">
      <c r="B4" s="2" t="s">
        <v>41</v>
      </c>
      <c r="C4" s="9">
        <v>0.76</v>
      </c>
      <c r="D4" s="9">
        <v>0.24</v>
      </c>
      <c r="E4" s="2" t="s">
        <v>46</v>
      </c>
    </row>
    <row r="5" spans="2:5" ht="18" x14ac:dyDescent="0.35">
      <c r="B5" s="2" t="s">
        <v>42</v>
      </c>
      <c r="C5" s="9">
        <v>0.74</v>
      </c>
      <c r="D5" s="9">
        <v>0.26</v>
      </c>
      <c r="E5" s="2" t="s">
        <v>47</v>
      </c>
    </row>
    <row r="6" spans="2:5" ht="18" x14ac:dyDescent="0.35">
      <c r="B6" s="2" t="s">
        <v>43</v>
      </c>
      <c r="C6" s="9">
        <v>0.72</v>
      </c>
      <c r="D6" s="9">
        <v>0.28000000000000003</v>
      </c>
      <c r="E6" s="2" t="s">
        <v>48</v>
      </c>
    </row>
    <row r="7" spans="2:5" ht="18" x14ac:dyDescent="0.35">
      <c r="B7" s="4" t="s">
        <v>38</v>
      </c>
      <c r="C7" s="10">
        <v>0.7</v>
      </c>
      <c r="D7" s="10">
        <v>0.3</v>
      </c>
      <c r="E7" s="4"/>
    </row>
    <row r="8" spans="2:5" ht="18" x14ac:dyDescent="0.35">
      <c r="B8" s="13" t="s">
        <v>39</v>
      </c>
      <c r="C8" s="13"/>
      <c r="D8" s="13"/>
      <c r="E8" s="13"/>
    </row>
  </sheetData>
  <mergeCells count="1">
    <mergeCell ref="B8:E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tong hop</vt:lpstr>
      <vt:lpstr>bang 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GAMMA SERVICES CENTER</dc:creator>
  <cp:lastModifiedBy>test</cp:lastModifiedBy>
  <cp:lastPrinted>2025-10-07T18:16:17Z</cp:lastPrinted>
  <dcterms:created xsi:type="dcterms:W3CDTF">2015-06-05T18:17:20Z</dcterms:created>
  <dcterms:modified xsi:type="dcterms:W3CDTF">2025-10-13T04:39:26Z</dcterms:modified>
</cp:coreProperties>
</file>