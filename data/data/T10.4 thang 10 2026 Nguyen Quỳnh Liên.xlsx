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C:\duc harddisk\Tri thuc sao viet\van hanh day học\BM-mau bieu\BM-07 Thong bao thu tien\2026\thang 10 2026\DSLH thang 10-2026-Duc\"/>
    </mc:Choice>
  </mc:AlternateContent>
  <xr:revisionPtr revIDLastSave="0" documentId="13_ncr:1_{9FEF2D20-7F1E-4DE2-B8EC-BA5C467AF1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10.12" sheetId="1" r:id="rId1"/>
  </sheet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34xOR+flHGYwf4ZcuBFoah3pfnZGoAr4d8NnnqpC8lI="/>
    </ext>
  </extLst>
</workbook>
</file>

<file path=xl/calcChain.xml><?xml version="1.0" encoding="utf-8"?>
<calcChain xmlns="http://schemas.openxmlformats.org/spreadsheetml/2006/main">
  <c r="H23" i="1" l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D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ID#AAACBE-_QWQ
chỉ nhập    (2026-10-21 02:34:27)
Toán, Ngữ Văn, Tiếng Anh, Lý, Hóa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SF8FtvbIyuZbseFlACrzNfPSkrw=="/>
    </ext>
  </extLst>
</comments>
</file>

<file path=xl/sharedStrings.xml><?xml version="1.0" encoding="utf-8"?>
<sst xmlns="http://schemas.openxmlformats.org/spreadsheetml/2006/main" count="64" uniqueCount="37">
  <si>
    <t xml:space="preserve"> CÔNG TY TNHH TRI THỨC SAO VIỆT
Địa chỉ: P2-18 KDTM Thạch Bàn, Phường Long Biên, Thành Phố Hà Nội.  
MST: 0110940616; STK: 2588666868; Ngân hàng MB - Chi nhánh Đông Hà Nội
website: trithucsaoviet.vn; email: trithucsaoviet@gmail.com; SDT: 0763256433 (Mr Đức)</t>
  </si>
  <si>
    <t xml:space="preserve">DANH SÁCH HỌC SINH </t>
  </si>
  <si>
    <t>Tháng 10 Năm 2026</t>
  </si>
  <si>
    <t>Tên Lớp(Tại trung tâm)</t>
  </si>
  <si>
    <t>T10.4</t>
  </si>
  <si>
    <t>sĩ số</t>
  </si>
  <si>
    <t>Giáo viên phụ trách:</t>
  </si>
  <si>
    <t>Môn học</t>
  </si>
  <si>
    <t>Toán</t>
  </si>
  <si>
    <t>Nguyễn Quỳnh Liên</t>
  </si>
  <si>
    <t>Lich học</t>
  </si>
  <si>
    <t>Ca 1 Sáng thứ 6</t>
  </si>
  <si>
    <t>Stt</t>
  </si>
  <si>
    <t>Họ và tên học sinh</t>
  </si>
  <si>
    <t>Hiện đang học</t>
  </si>
  <si>
    <t>Ghi chú</t>
  </si>
  <si>
    <t>Số ca</t>
  </si>
  <si>
    <t>Đơn giá</t>
  </si>
  <si>
    <t>Thành tiền</t>
  </si>
  <si>
    <t>Lớp</t>
  </si>
  <si>
    <t>Trường</t>
  </si>
  <si>
    <t>Trần Duy Anh</t>
  </si>
  <si>
    <t>10A4</t>
  </si>
  <si>
    <t>THPT Thạch Bàn</t>
  </si>
  <si>
    <t>Đào Minh Dũng</t>
  </si>
  <si>
    <t>Hoàng Quốc Đạt</t>
  </si>
  <si>
    <t>Lương Tiến Đạt</t>
  </si>
  <si>
    <t>Mai Thanh Huyền</t>
  </si>
  <si>
    <t>Nguyễn Gia Khánh</t>
  </si>
  <si>
    <t>Nguyễn Bình Minh</t>
  </si>
  <si>
    <t>Nguyễn Thái Gia Ngân</t>
  </si>
  <si>
    <t>Hoàng Mai Phương</t>
  </si>
  <si>
    <t>Lê Ngọc Quỳnh</t>
  </si>
  <si>
    <t>Nguyễn Nam Sơn</t>
  </si>
  <si>
    <t>Nguyễn Ngọc Minh Thư</t>
  </si>
  <si>
    <t>Nguyễn Đăng Tú</t>
  </si>
  <si>
    <t>Nguyễn Anh Vũ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</si>
</sst>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\ _₫_-;\-* #,##0\ _₫_-;_-* &quot;-&quot;??\ _₫_-;_-@"/>
  </numFmts>
  <fonts count="10" x14ac:knownFonts="1">
    <font>
      <sz val="11"/>
      <color theme="1"/>
      <name val="Calibri"/>
      <scheme val="minor"/>
    </font>
    <font>
      <sz val="12"/>
      <color theme="1"/>
      <name val="Calibri"/>
      <family val="2"/>
    </font>
    <font>
      <sz val="8"/>
      <color theme="1"/>
      <name val="Times New Roman"/>
      <family val="1"/>
    </font>
    <font>
      <sz val="12"/>
      <color theme="1"/>
      <name val="Times New Roman"/>
      <family val="1"/>
    </font>
    <font>
      <sz val="11"/>
      <name val="Calibri"/>
      <family val="2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12"/>
      <color theme="1"/>
      <name val="Times New Roman"/>
      <family val="1"/>
      <charset val="163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1" fillId="0" borderId="3" xfId="0" applyFont="1" applyBorder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left" vertical="center"/>
    </xf>
    <xf numFmtId="164" fontId="1" fillId="0" borderId="6" xfId="0" applyNumberFormat="1" applyFont="1" applyBorder="1"/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164" fontId="6" fillId="0" borderId="8" xfId="0" applyNumberFormat="1" applyFont="1" applyBorder="1"/>
    <xf numFmtId="0" fontId="7" fillId="2" borderId="6" xfId="0" applyFont="1" applyFill="1" applyBorder="1" applyAlignment="1">
      <alignment horizontal="center" vertical="center"/>
    </xf>
    <xf numFmtId="0" fontId="7" fillId="0" borderId="6" xfId="0" applyFont="1" applyBorder="1" applyAlignment="1">
      <alignment vertical="center" wrapText="1"/>
    </xf>
    <xf numFmtId="0" fontId="8" fillId="0" borderId="6" xfId="0" applyFont="1" applyBorder="1" applyAlignment="1">
      <alignment horizontal="center" vertical="center" wrapText="1"/>
    </xf>
    <xf numFmtId="0" fontId="7" fillId="0" borderId="6" xfId="0" applyFont="1" applyBorder="1"/>
    <xf numFmtId="0" fontId="7" fillId="0" borderId="6" xfId="0" applyFont="1" applyBorder="1" applyAlignment="1">
      <alignment vertical="center"/>
    </xf>
    <xf numFmtId="164" fontId="6" fillId="3" borderId="8" xfId="0" applyNumberFormat="1" applyFont="1" applyFill="1" applyBorder="1"/>
    <xf numFmtId="0" fontId="7" fillId="2" borderId="8" xfId="0" applyFont="1" applyFill="1" applyBorder="1" applyAlignment="1">
      <alignment horizontal="center" vertical="center"/>
    </xf>
    <xf numFmtId="0" fontId="7" fillId="0" borderId="8" xfId="0" applyFont="1" applyBorder="1" applyAlignment="1">
      <alignment vertical="center" wrapText="1"/>
    </xf>
    <xf numFmtId="0" fontId="8" fillId="0" borderId="8" xfId="0" applyFont="1" applyBorder="1" applyAlignment="1">
      <alignment horizontal="center" vertical="center" wrapText="1"/>
    </xf>
    <xf numFmtId="0" fontId="7" fillId="0" borderId="8" xfId="0" applyFont="1" applyBorder="1"/>
    <xf numFmtId="0" fontId="5" fillId="0" borderId="5" xfId="0" applyFont="1" applyBorder="1" applyAlignment="1">
      <alignment horizontal="center" vertical="center"/>
    </xf>
    <xf numFmtId="0" fontId="4" fillId="0" borderId="7" xfId="0" applyFont="1" applyBorder="1"/>
    <xf numFmtId="0" fontId="5" fillId="0" borderId="1" xfId="0" applyFont="1" applyBorder="1" applyAlignment="1">
      <alignment horizontal="center" vertical="center" wrapText="1"/>
    </xf>
    <xf numFmtId="0" fontId="4" fillId="0" borderId="2" xfId="0" applyFont="1" applyBorder="1"/>
    <xf numFmtId="0" fontId="2" fillId="0" borderId="0" xfId="0" applyFont="1" applyAlignment="1">
      <alignment horizontal="right" wrapText="1"/>
    </xf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9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28650" cy="68580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628650" cy="685800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628650" cy="685800"/>
    <xdr:pic>
      <xdr:nvPicPr>
        <xdr:cNvPr id="4" name="image1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628650" cy="685800"/>
    <xdr:pic>
      <xdr:nvPicPr>
        <xdr:cNvPr id="5" name="image1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628650" cy="685800"/>
    <xdr:pic>
      <xdr:nvPicPr>
        <xdr:cNvPr id="6" name="image1.jp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1"/>
  <sheetViews>
    <sheetView tabSelected="1" workbookViewId="0">
      <selection activeCell="E10" sqref="E10"/>
    </sheetView>
  </sheetViews>
  <sheetFormatPr defaultColWidth="14.44140625" defaultRowHeight="15" customHeight="1" x14ac:dyDescent="0.3"/>
  <cols>
    <col min="1" max="1" width="4.44140625" customWidth="1"/>
    <col min="2" max="2" width="23.109375" customWidth="1"/>
    <col min="3" max="3" width="8.44140625" customWidth="1"/>
    <col min="4" max="4" width="15.88671875" customWidth="1"/>
    <col min="5" max="5" width="21" customWidth="1"/>
    <col min="6" max="6" width="7.33203125" customWidth="1"/>
    <col min="7" max="7" width="10.5546875" customWidth="1"/>
    <col min="8" max="8" width="12.33203125" customWidth="1"/>
    <col min="9" max="26" width="8.6640625" customWidth="1"/>
  </cols>
  <sheetData>
    <row r="1" spans="1:26" ht="61.5" customHeight="1" x14ac:dyDescent="0.3">
      <c r="A1" s="1"/>
      <c r="B1" s="23" t="s">
        <v>0</v>
      </c>
      <c r="C1" s="24"/>
      <c r="D1" s="24"/>
      <c r="E1" s="24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3">
      <c r="A2" s="25" t="s">
        <v>1</v>
      </c>
      <c r="B2" s="24"/>
      <c r="C2" s="24"/>
      <c r="D2" s="24"/>
      <c r="E2" s="2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3">
      <c r="A3" s="26" t="s">
        <v>2</v>
      </c>
      <c r="B3" s="24"/>
      <c r="C3" s="24"/>
      <c r="D3" s="24"/>
      <c r="E3" s="24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3">
      <c r="A4" s="27" t="s">
        <v>3</v>
      </c>
      <c r="B4" s="22"/>
      <c r="C4" s="2" t="s">
        <v>4</v>
      </c>
      <c r="D4" s="3" t="s">
        <v>5</v>
      </c>
      <c r="E4" s="2" t="s">
        <v>6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3">
      <c r="A5" s="27" t="s">
        <v>7</v>
      </c>
      <c r="B5" s="22"/>
      <c r="C5" s="2" t="s">
        <v>8</v>
      </c>
      <c r="D5" s="3">
        <f>COUNTA($C$10:$C$23)</f>
        <v>14</v>
      </c>
      <c r="E5" s="30" t="s">
        <v>9</v>
      </c>
      <c r="F5" s="30" t="s">
        <v>9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8" customHeight="1" x14ac:dyDescent="0.3">
      <c r="A6" s="28" t="s">
        <v>10</v>
      </c>
      <c r="B6" s="22"/>
      <c r="C6" s="29" t="s">
        <v>11</v>
      </c>
      <c r="D6" s="22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customHeight="1" x14ac:dyDescent="0.3">
      <c r="A7" s="4"/>
      <c r="B7" s="4"/>
      <c r="C7" s="4"/>
      <c r="D7" s="4"/>
      <c r="E7" s="4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3">
      <c r="A8" s="19" t="s">
        <v>12</v>
      </c>
      <c r="B8" s="19" t="s">
        <v>13</v>
      </c>
      <c r="C8" s="21" t="s">
        <v>14</v>
      </c>
      <c r="D8" s="22"/>
      <c r="E8" s="19" t="s">
        <v>15</v>
      </c>
      <c r="F8" s="5" t="s">
        <v>16</v>
      </c>
      <c r="G8" s="5" t="s">
        <v>17</v>
      </c>
      <c r="H8" s="5" t="s">
        <v>18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3">
      <c r="A9" s="20"/>
      <c r="B9" s="20"/>
      <c r="C9" s="6" t="s">
        <v>19</v>
      </c>
      <c r="D9" s="7" t="s">
        <v>20</v>
      </c>
      <c r="E9" s="20"/>
      <c r="F9" s="8"/>
      <c r="G9" s="8"/>
      <c r="H9" s="8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3">
      <c r="A10" s="9">
        <v>1</v>
      </c>
      <c r="B10" s="10" t="s">
        <v>21</v>
      </c>
      <c r="C10" s="11" t="s">
        <v>22</v>
      </c>
      <c r="D10" s="12" t="s">
        <v>23</v>
      </c>
      <c r="E10" s="13"/>
      <c r="F10" s="14">
        <v>6</v>
      </c>
      <c r="G10" s="8">
        <v>100000</v>
      </c>
      <c r="H10" s="8">
        <f t="shared" ref="H10:H23" si="0">G10*F10</f>
        <v>600000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3">
      <c r="A11" s="15">
        <v>2</v>
      </c>
      <c r="B11" s="16" t="s">
        <v>24</v>
      </c>
      <c r="C11" s="17" t="s">
        <v>22</v>
      </c>
      <c r="D11" s="18" t="s">
        <v>23</v>
      </c>
      <c r="E11" s="18"/>
      <c r="F11" s="14">
        <v>6</v>
      </c>
      <c r="G11" s="8">
        <v>100000</v>
      </c>
      <c r="H11" s="8">
        <f t="shared" si="0"/>
        <v>600000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3">
      <c r="A12" s="15">
        <v>3</v>
      </c>
      <c r="B12" s="16" t="s">
        <v>25</v>
      </c>
      <c r="C12" s="17" t="s">
        <v>22</v>
      </c>
      <c r="D12" s="18" t="s">
        <v>23</v>
      </c>
      <c r="E12" s="18"/>
      <c r="F12" s="14">
        <v>6</v>
      </c>
      <c r="G12" s="8">
        <v>100000</v>
      </c>
      <c r="H12" s="8">
        <f t="shared" si="0"/>
        <v>600000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3">
      <c r="A13" s="15">
        <v>4</v>
      </c>
      <c r="B13" s="16" t="s">
        <v>26</v>
      </c>
      <c r="C13" s="17" t="s">
        <v>22</v>
      </c>
      <c r="D13" s="18" t="s">
        <v>23</v>
      </c>
      <c r="E13" s="18"/>
      <c r="F13" s="14">
        <v>6</v>
      </c>
      <c r="G13" s="8">
        <v>100000</v>
      </c>
      <c r="H13" s="8">
        <f t="shared" si="0"/>
        <v>600000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3">
      <c r="A14" s="15">
        <v>5</v>
      </c>
      <c r="B14" s="16" t="s">
        <v>27</v>
      </c>
      <c r="C14" s="17" t="s">
        <v>22</v>
      </c>
      <c r="D14" s="18" t="s">
        <v>23</v>
      </c>
      <c r="E14" s="18"/>
      <c r="F14" s="14">
        <v>6</v>
      </c>
      <c r="G14" s="8">
        <v>100000</v>
      </c>
      <c r="H14" s="8">
        <f t="shared" si="0"/>
        <v>600000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3">
      <c r="A15" s="15">
        <v>6</v>
      </c>
      <c r="B15" s="16" t="s">
        <v>28</v>
      </c>
      <c r="C15" s="17" t="s">
        <v>22</v>
      </c>
      <c r="D15" s="18" t="s">
        <v>23</v>
      </c>
      <c r="E15" s="18"/>
      <c r="F15" s="14">
        <v>6</v>
      </c>
      <c r="G15" s="8">
        <v>100000</v>
      </c>
      <c r="H15" s="8">
        <f t="shared" si="0"/>
        <v>600000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3">
      <c r="A16" s="15">
        <v>7</v>
      </c>
      <c r="B16" s="16" t="s">
        <v>29</v>
      </c>
      <c r="C16" s="17" t="s">
        <v>22</v>
      </c>
      <c r="D16" s="18" t="s">
        <v>23</v>
      </c>
      <c r="E16" s="18"/>
      <c r="F16" s="14">
        <v>6</v>
      </c>
      <c r="G16" s="8">
        <v>100000</v>
      </c>
      <c r="H16" s="8">
        <f t="shared" si="0"/>
        <v>600000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3">
      <c r="A17" s="15">
        <v>8</v>
      </c>
      <c r="B17" s="16" t="s">
        <v>30</v>
      </c>
      <c r="C17" s="17" t="s">
        <v>22</v>
      </c>
      <c r="D17" s="18" t="s">
        <v>23</v>
      </c>
      <c r="E17" s="18"/>
      <c r="F17" s="14">
        <v>6</v>
      </c>
      <c r="G17" s="8">
        <v>100000</v>
      </c>
      <c r="H17" s="8">
        <f t="shared" si="0"/>
        <v>600000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3">
      <c r="A18" s="15">
        <v>9</v>
      </c>
      <c r="B18" s="16" t="s">
        <v>31</v>
      </c>
      <c r="C18" s="17" t="s">
        <v>22</v>
      </c>
      <c r="D18" s="18" t="s">
        <v>23</v>
      </c>
      <c r="E18" s="18"/>
      <c r="F18" s="14">
        <v>6</v>
      </c>
      <c r="G18" s="8">
        <v>100000</v>
      </c>
      <c r="H18" s="8">
        <f t="shared" si="0"/>
        <v>600000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3">
      <c r="A19" s="15">
        <v>10</v>
      </c>
      <c r="B19" s="16" t="s">
        <v>32</v>
      </c>
      <c r="C19" s="17" t="s">
        <v>22</v>
      </c>
      <c r="D19" s="18" t="s">
        <v>23</v>
      </c>
      <c r="E19" s="18"/>
      <c r="F19" s="14">
        <v>5</v>
      </c>
      <c r="G19" s="8">
        <v>100000</v>
      </c>
      <c r="H19" s="8">
        <f t="shared" si="0"/>
        <v>500000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3">
      <c r="A20" s="15">
        <v>11</v>
      </c>
      <c r="B20" s="16" t="s">
        <v>33</v>
      </c>
      <c r="C20" s="17" t="s">
        <v>22</v>
      </c>
      <c r="D20" s="18" t="s">
        <v>23</v>
      </c>
      <c r="E20" s="18"/>
      <c r="F20" s="14">
        <v>6</v>
      </c>
      <c r="G20" s="8">
        <v>100000</v>
      </c>
      <c r="H20" s="8">
        <f t="shared" si="0"/>
        <v>600000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15">
        <v>12</v>
      </c>
      <c r="B21" s="16" t="s">
        <v>34</v>
      </c>
      <c r="C21" s="17" t="s">
        <v>22</v>
      </c>
      <c r="D21" s="18" t="s">
        <v>23</v>
      </c>
      <c r="E21" s="18"/>
      <c r="F21" s="14">
        <v>6</v>
      </c>
      <c r="G21" s="8">
        <v>100000</v>
      </c>
      <c r="H21" s="8">
        <f t="shared" si="0"/>
        <v>600000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15">
        <v>13</v>
      </c>
      <c r="B22" s="16" t="s">
        <v>35</v>
      </c>
      <c r="C22" s="17" t="s">
        <v>22</v>
      </c>
      <c r="D22" s="18" t="s">
        <v>23</v>
      </c>
      <c r="E22" s="18"/>
      <c r="F22" s="14">
        <v>6</v>
      </c>
      <c r="G22" s="8">
        <v>100000</v>
      </c>
      <c r="H22" s="8">
        <f t="shared" si="0"/>
        <v>600000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15">
        <v>14</v>
      </c>
      <c r="B23" s="16" t="s">
        <v>36</v>
      </c>
      <c r="C23" s="17" t="s">
        <v>22</v>
      </c>
      <c r="D23" s="18" t="s">
        <v>23</v>
      </c>
      <c r="E23" s="18"/>
      <c r="F23" s="14">
        <v>5</v>
      </c>
      <c r="G23" s="8">
        <v>100000</v>
      </c>
      <c r="H23" s="8">
        <f t="shared" si="0"/>
        <v>500000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 x14ac:dyDescent="0.3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11">
    <mergeCell ref="A8:A9"/>
    <mergeCell ref="B8:B9"/>
    <mergeCell ref="C8:D8"/>
    <mergeCell ref="E8:E9"/>
    <mergeCell ref="B1:E1"/>
    <mergeCell ref="A2:E2"/>
    <mergeCell ref="A3:E3"/>
    <mergeCell ref="A4:B4"/>
    <mergeCell ref="A5:B5"/>
    <mergeCell ref="A6:B6"/>
    <mergeCell ref="C6:D6"/>
  </mergeCells>
  <pageMargins left="0.98425196850393704" right="0.70866141732283472" top="0.74803149606299213" bottom="0.74803149606299213" header="0" footer="0"/>
  <pageSetup paperSize="9" orientation="portrait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L10.12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GAMMA SERVICES CENTER</cp:lastModifiedBy>
  <dcterms:created xsi:type="dcterms:W3CDTF">2025-08-29T03:13:12Z</dcterms:created>
  <dcterms:modified xsi:type="dcterms:W3CDTF">2026-10-22T13:23:06Z</dcterms:modified>
</cp:coreProperties>
</file>